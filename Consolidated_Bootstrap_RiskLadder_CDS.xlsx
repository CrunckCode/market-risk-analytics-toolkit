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8096bc9a08d064/Desktop/Rutgers MSQF/Prep/Class Study/Sem 2/Special Topics Market Risk/Final Sheets/"/>
    </mc:Choice>
  </mc:AlternateContent>
  <xr:revisionPtr revIDLastSave="180" documentId="8_{A4406D0D-B6FC-49CE-B62C-CD3BBD5DD7AB}" xr6:coauthVersionLast="47" xr6:coauthVersionMax="47" xr10:uidLastSave="{EBF7C3FF-8ECE-4C72-872A-CDA917826EBB}"/>
  <bookViews>
    <workbookView xWindow="-110" yWindow="-110" windowWidth="25820" windowHeight="15500" activeTab="4" xr2:uid="{E79C9185-ACC8-4CE8-8BB4-F2D12E208C0D}"/>
  </bookViews>
  <sheets>
    <sheet name="Bootstrap" sheetId="1" r:id="rId1"/>
    <sheet name="Swap Cashflows" sheetId="2" r:id="rId2"/>
    <sheet name="Risk Ladder" sheetId="3" r:id="rId3"/>
    <sheet name="CDS Bootstrap" sheetId="5" r:id="rId4"/>
    <sheet name="CDS Valuation" sheetId="6" r:id="rId5"/>
  </sheets>
  <calcPr calcId="191029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6" l="1"/>
  <c r="I5" i="6"/>
  <c r="G7" i="5"/>
  <c r="G8" i="5"/>
  <c r="G9" i="5"/>
  <c r="G10" i="5"/>
  <c r="G11" i="5"/>
  <c r="G12" i="5"/>
  <c r="G13" i="5"/>
  <c r="G14" i="5"/>
  <c r="G15" i="5"/>
  <c r="G6" i="5"/>
  <c r="F6" i="5"/>
  <c r="D6" i="6" l="1"/>
  <c r="E6" i="6" s="1"/>
  <c r="C6" i="6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L5" i="6"/>
  <c r="I6" i="6" l="1"/>
  <c r="M6" i="6"/>
  <c r="H6" i="6"/>
  <c r="D7" i="6"/>
  <c r="E7" i="6" s="1"/>
  <c r="I7" i="6" l="1"/>
  <c r="M7" i="6"/>
  <c r="L7" i="6"/>
  <c r="D8" i="6"/>
  <c r="E8" i="6" s="1"/>
  <c r="H7" i="6"/>
  <c r="L6" i="6"/>
  <c r="K6" i="6"/>
  <c r="K7" i="6" l="1"/>
  <c r="N7" i="6" s="1"/>
  <c r="I8" i="6"/>
  <c r="M8" i="6"/>
  <c r="L8" i="6"/>
  <c r="D9" i="6"/>
  <c r="E9" i="6" s="1"/>
  <c r="H8" i="6"/>
  <c r="N6" i="6"/>
  <c r="K8" i="6" l="1"/>
  <c r="I9" i="6"/>
  <c r="M9" i="6"/>
  <c r="L9" i="6"/>
  <c r="H9" i="6"/>
  <c r="K9" i="6" s="1"/>
  <c r="D10" i="6"/>
  <c r="E10" i="6" s="1"/>
  <c r="N8" i="6"/>
  <c r="I10" i="6" l="1"/>
  <c r="L10" i="6" s="1"/>
  <c r="M10" i="6"/>
  <c r="H10" i="6"/>
  <c r="D11" i="6"/>
  <c r="E11" i="6" s="1"/>
  <c r="N9" i="6"/>
  <c r="K10" i="6" l="1"/>
  <c r="I11" i="6"/>
  <c r="M11" i="6"/>
  <c r="L11" i="6"/>
  <c r="D12" i="6"/>
  <c r="E12" i="6" s="1"/>
  <c r="H11" i="6"/>
  <c r="K11" i="6" s="1"/>
  <c r="N10" i="6"/>
  <c r="I12" i="6" l="1"/>
  <c r="L12" i="6" s="1"/>
  <c r="M12" i="6"/>
  <c r="H12" i="6"/>
  <c r="D13" i="6"/>
  <c r="E13" i="6" s="1"/>
  <c r="N11" i="6"/>
  <c r="I13" i="6" l="1"/>
  <c r="L13" i="6" s="1"/>
  <c r="M13" i="6"/>
  <c r="K12" i="6"/>
  <c r="H13" i="6"/>
  <c r="D14" i="6"/>
  <c r="E14" i="6" s="1"/>
  <c r="N12" i="6"/>
  <c r="K13" i="6" l="1"/>
  <c r="I14" i="6"/>
  <c r="M14" i="6"/>
  <c r="L14" i="6"/>
  <c r="D15" i="6"/>
  <c r="E15" i="6" s="1"/>
  <c r="H14" i="6"/>
  <c r="N13" i="6"/>
  <c r="I15" i="6" l="1"/>
  <c r="M15" i="6"/>
  <c r="L15" i="6"/>
  <c r="K14" i="6"/>
  <c r="N14" i="6" s="1"/>
  <c r="H15" i="6"/>
  <c r="K15" i="6" s="1"/>
  <c r="D16" i="6"/>
  <c r="E16" i="6" s="1"/>
  <c r="I16" i="6" l="1"/>
  <c r="M16" i="6"/>
  <c r="L16" i="6"/>
  <c r="D17" i="6"/>
  <c r="E17" i="6" s="1"/>
  <c r="H16" i="6"/>
  <c r="K16" i="6" s="1"/>
  <c r="N15" i="6"/>
  <c r="I17" i="6" l="1"/>
  <c r="M17" i="6"/>
  <c r="L17" i="6"/>
  <c r="D18" i="6"/>
  <c r="E18" i="6" s="1"/>
  <c r="H17" i="6"/>
  <c r="K17" i="6" s="1"/>
  <c r="N16" i="6"/>
  <c r="I18" i="6" l="1"/>
  <c r="L18" i="6" s="1"/>
  <c r="M18" i="6"/>
  <c r="H18" i="6"/>
  <c r="K18" i="6" s="1"/>
  <c r="D19" i="6"/>
  <c r="E19" i="6" s="1"/>
  <c r="N17" i="6"/>
  <c r="I19" i="6" l="1"/>
  <c r="L19" i="6" s="1"/>
  <c r="M19" i="6"/>
  <c r="H19" i="6"/>
  <c r="D20" i="6"/>
  <c r="E20" i="6" s="1"/>
  <c r="N18" i="6"/>
  <c r="I20" i="6" l="1"/>
  <c r="M20" i="6"/>
  <c r="K19" i="6"/>
  <c r="L20" i="6"/>
  <c r="D21" i="6"/>
  <c r="E21" i="6" s="1"/>
  <c r="H20" i="6"/>
  <c r="K20" i="6" s="1"/>
  <c r="N19" i="6"/>
  <c r="I21" i="6" l="1"/>
  <c r="M21" i="6"/>
  <c r="L21" i="6"/>
  <c r="H21" i="6"/>
  <c r="D22" i="6"/>
  <c r="E22" i="6" s="1"/>
  <c r="N20" i="6"/>
  <c r="I22" i="6" l="1"/>
  <c r="M22" i="6"/>
  <c r="K21" i="6"/>
  <c r="L22" i="6"/>
  <c r="H22" i="6"/>
  <c r="K22" i="6" s="1"/>
  <c r="D23" i="6"/>
  <c r="E23" i="6" s="1"/>
  <c r="N21" i="6"/>
  <c r="I23" i="6" l="1"/>
  <c r="L23" i="6" s="1"/>
  <c r="M23" i="6"/>
  <c r="D24" i="6"/>
  <c r="E24" i="6" s="1"/>
  <c r="H23" i="6"/>
  <c r="N22" i="6"/>
  <c r="K23" i="6" l="1"/>
  <c r="I24" i="6"/>
  <c r="M24" i="6"/>
  <c r="L24" i="6"/>
  <c r="D25" i="6"/>
  <c r="E25" i="6" s="1"/>
  <c r="H24" i="6"/>
  <c r="K24" i="6" s="1"/>
  <c r="N23" i="6"/>
  <c r="I25" i="6" l="1"/>
  <c r="L25" i="6" s="1"/>
  <c r="M25" i="6"/>
  <c r="H25" i="6"/>
  <c r="D26" i="6"/>
  <c r="E26" i="6" s="1"/>
  <c r="N24" i="6"/>
  <c r="I26" i="6" l="1"/>
  <c r="M26" i="6"/>
  <c r="K25" i="6"/>
  <c r="L26" i="6"/>
  <c r="H26" i="6"/>
  <c r="K26" i="6" s="1"/>
  <c r="D27" i="6"/>
  <c r="E27" i="6" s="1"/>
  <c r="N25" i="6"/>
  <c r="I27" i="6" l="1"/>
  <c r="L27" i="6" s="1"/>
  <c r="M27" i="6"/>
  <c r="N26" i="6"/>
  <c r="D28" i="6"/>
  <c r="E28" i="6" s="1"/>
  <c r="H27" i="6"/>
  <c r="K27" i="6" l="1"/>
  <c r="I28" i="6"/>
  <c r="M28" i="6"/>
  <c r="L28" i="6"/>
  <c r="H28" i="6"/>
  <c r="K28" i="6" s="1"/>
  <c r="D29" i="6"/>
  <c r="E29" i="6" s="1"/>
  <c r="N27" i="6"/>
  <c r="I29" i="6" l="1"/>
  <c r="L29" i="6" s="1"/>
  <c r="M29" i="6"/>
  <c r="D30" i="6"/>
  <c r="E30" i="6" s="1"/>
  <c r="D31" i="6"/>
  <c r="E31" i="6" s="1"/>
  <c r="H29" i="6"/>
  <c r="N28" i="6"/>
  <c r="I31" i="6" l="1"/>
  <c r="L31" i="6" s="1"/>
  <c r="M31" i="6"/>
  <c r="I30" i="6"/>
  <c r="L30" i="6" s="1"/>
  <c r="M30" i="6"/>
  <c r="K29" i="6"/>
  <c r="H30" i="6"/>
  <c r="D32" i="6"/>
  <c r="E32" i="6" s="1"/>
  <c r="H31" i="6"/>
  <c r="N29" i="6"/>
  <c r="K31" i="6" l="1"/>
  <c r="I32" i="6"/>
  <c r="L32" i="6" s="1"/>
  <c r="M32" i="6"/>
  <c r="K30" i="6"/>
  <c r="N30" i="6"/>
  <c r="H32" i="6"/>
  <c r="N31" i="6"/>
  <c r="K32" i="6" l="1"/>
  <c r="N32" i="6" s="1"/>
  <c r="E5" i="5" l="1"/>
  <c r="H5" i="6"/>
  <c r="K5" i="6" s="1"/>
  <c r="N5" i="6" s="1"/>
  <c r="N33" i="6" s="1"/>
  <c r="I6" i="5"/>
  <c r="J7" i="5" s="1"/>
  <c r="F15" i="5"/>
  <c r="F14" i="5"/>
  <c r="F13" i="5"/>
  <c r="F12" i="5"/>
  <c r="F11" i="5"/>
  <c r="F10" i="5"/>
  <c r="F9" i="5"/>
  <c r="F8" i="5"/>
  <c r="F7" i="5"/>
  <c r="M6" i="5" l="1"/>
  <c r="L7" i="5" s="1"/>
  <c r="C24" i="1"/>
  <c r="C25" i="1" s="1"/>
  <c r="C26" i="1" s="1"/>
  <c r="C27" i="1" s="1"/>
  <c r="C19" i="1"/>
  <c r="C20" i="1" s="1"/>
  <c r="C21" i="1" s="1"/>
  <c r="C22" i="1" s="1"/>
  <c r="J6" i="1"/>
  <c r="N6" i="5" l="1"/>
  <c r="D4" i="1"/>
  <c r="F4" i="1" l="1"/>
  <c r="H7" i="5"/>
  <c r="K7" i="5"/>
  <c r="F53" i="2"/>
  <c r="F54" i="2"/>
  <c r="F55" i="2"/>
  <c r="F56" i="2"/>
  <c r="F52" i="2"/>
  <c r="F51" i="2"/>
  <c r="F50" i="2"/>
  <c r="F49" i="2"/>
  <c r="F48" i="2"/>
  <c r="F47" i="2"/>
  <c r="F46" i="2"/>
  <c r="F45" i="2"/>
  <c r="F44" i="2"/>
  <c r="F43" i="2"/>
  <c r="F42" i="2"/>
  <c r="F32" i="2"/>
  <c r="D32" i="2"/>
  <c r="D26" i="2"/>
  <c r="F26" i="2"/>
  <c r="D27" i="2"/>
  <c r="F27" i="2"/>
  <c r="D28" i="2"/>
  <c r="F28" i="2"/>
  <c r="D29" i="2"/>
  <c r="F29" i="2"/>
  <c r="D30" i="2"/>
  <c r="F30" i="2"/>
  <c r="D31" i="2"/>
  <c r="F31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5" i="1" l="1" a="1"/>
  <c r="F5" i="1" s="1"/>
  <c r="I7" i="5"/>
  <c r="J8" i="5" s="1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F6" i="1" l="1"/>
  <c r="M7" i="5"/>
  <c r="D14" i="2"/>
  <c r="F14" i="2"/>
  <c r="F38" i="2"/>
  <c r="D15" i="2"/>
  <c r="F15" i="2"/>
  <c r="F39" i="2"/>
  <c r="D16" i="2"/>
  <c r="F16" i="2"/>
  <c r="F40" i="2"/>
  <c r="D17" i="2"/>
  <c r="F17" i="2"/>
  <c r="F41" i="2"/>
  <c r="F37" i="2"/>
  <c r="B37" i="2"/>
  <c r="F13" i="2"/>
  <c r="D13" i="2"/>
  <c r="C13" i="2"/>
  <c r="B14" i="2" s="1"/>
  <c r="F7" i="1" l="1"/>
  <c r="N7" i="5"/>
  <c r="L8" i="5"/>
  <c r="K8" i="5"/>
  <c r="H8" i="5"/>
  <c r="C14" i="2"/>
  <c r="E14" i="2" s="1"/>
  <c r="B38" i="2"/>
  <c r="C37" i="2"/>
  <c r="E13" i="2"/>
  <c r="E4" i="1"/>
  <c r="E5" i="1" s="1"/>
  <c r="E6" i="1" s="1"/>
  <c r="E7" i="1" s="1"/>
  <c r="E8" i="1" s="1"/>
  <c r="E9" i="1" s="1"/>
  <c r="F8" i="1" l="1"/>
  <c r="I8" i="5"/>
  <c r="J9" i="5" s="1"/>
  <c r="C38" i="2"/>
  <c r="B15" i="2"/>
  <c r="G14" i="2"/>
  <c r="G13" i="2"/>
  <c r="E37" i="2"/>
  <c r="B39" i="2"/>
  <c r="C15" i="2"/>
  <c r="E38" i="2"/>
  <c r="D9" i="1"/>
  <c r="F9" i="1" l="1"/>
  <c r="M8" i="5"/>
  <c r="L9" i="5" s="1"/>
  <c r="E15" i="2"/>
  <c r="B16" i="2"/>
  <c r="C39" i="2"/>
  <c r="H5" i="1"/>
  <c r="M5" i="1" s="1"/>
  <c r="N5" i="1" s="1"/>
  <c r="H4" i="1"/>
  <c r="M4" i="1" s="1"/>
  <c r="N4" i="1" s="1"/>
  <c r="D10" i="1"/>
  <c r="H37" i="2" l="1"/>
  <c r="H13" i="2"/>
  <c r="N8" i="5"/>
  <c r="H9" i="5"/>
  <c r="I9" i="5" s="1"/>
  <c r="K9" i="5"/>
  <c r="G15" i="2"/>
  <c r="E39" i="2"/>
  <c r="B40" i="2"/>
  <c r="C16" i="2"/>
  <c r="D11" i="1"/>
  <c r="M9" i="5" l="1"/>
  <c r="N9" i="5" s="1"/>
  <c r="J10" i="5"/>
  <c r="E16" i="2"/>
  <c r="B17" i="2"/>
  <c r="C40" i="2"/>
  <c r="D12" i="1"/>
  <c r="H6" i="1"/>
  <c r="M6" i="1" s="1"/>
  <c r="N6" i="1" s="1"/>
  <c r="L10" i="5" l="1"/>
  <c r="H10" i="5"/>
  <c r="K10" i="5"/>
  <c r="G16" i="2"/>
  <c r="C17" i="2"/>
  <c r="B18" i="2" s="1"/>
  <c r="B41" i="2"/>
  <c r="E40" i="2"/>
  <c r="D13" i="1"/>
  <c r="H7" i="1"/>
  <c r="M7" i="1" s="1"/>
  <c r="N7" i="1" s="1"/>
  <c r="I10" i="5" l="1"/>
  <c r="M10" i="5" s="1"/>
  <c r="C18" i="2"/>
  <c r="C42" i="2" s="1"/>
  <c r="B42" i="2"/>
  <c r="C41" i="2"/>
  <c r="E17" i="2"/>
  <c r="D14" i="1"/>
  <c r="H8" i="1"/>
  <c r="M8" i="1" s="1"/>
  <c r="N8" i="1" s="1"/>
  <c r="N10" i="5" l="1"/>
  <c r="J11" i="5"/>
  <c r="I13" i="2"/>
  <c r="D37" i="2"/>
  <c r="G37" i="2" s="1"/>
  <c r="B19" i="2"/>
  <c r="E18" i="2"/>
  <c r="G18" i="2" s="1"/>
  <c r="C19" i="2"/>
  <c r="C43" i="2" s="1"/>
  <c r="B43" i="2"/>
  <c r="E42" i="2"/>
  <c r="G17" i="2"/>
  <c r="E41" i="2"/>
  <c r="H9" i="1"/>
  <c r="M9" i="1" s="1"/>
  <c r="N9" i="1" s="1"/>
  <c r="E10" i="1"/>
  <c r="D15" i="1"/>
  <c r="F10" i="1" l="1"/>
  <c r="H14" i="2" s="1"/>
  <c r="H38" i="2"/>
  <c r="K11" i="5"/>
  <c r="H11" i="5"/>
  <c r="L11" i="5"/>
  <c r="I37" i="2"/>
  <c r="B20" i="2"/>
  <c r="E19" i="2"/>
  <c r="G19" i="2" s="1"/>
  <c r="E43" i="2"/>
  <c r="D16" i="1"/>
  <c r="I11" i="5" l="1"/>
  <c r="H10" i="1"/>
  <c r="M10" i="1" s="1"/>
  <c r="N10" i="1" s="1"/>
  <c r="I14" i="2"/>
  <c r="D38" i="2"/>
  <c r="G38" i="2" s="1"/>
  <c r="C20" i="2"/>
  <c r="B44" i="2"/>
  <c r="E11" i="1"/>
  <c r="D17" i="1"/>
  <c r="F11" i="1" l="1"/>
  <c r="H15" i="2" s="1"/>
  <c r="I15" i="2" s="1"/>
  <c r="J12" i="5"/>
  <c r="M11" i="5"/>
  <c r="L12" i="5" s="1"/>
  <c r="I38" i="2"/>
  <c r="C44" i="2"/>
  <c r="E20" i="2"/>
  <c r="G20" i="2" s="1"/>
  <c r="B21" i="2"/>
  <c r="D18" i="1"/>
  <c r="E12" i="1" l="1"/>
  <c r="F12" i="1" s="1"/>
  <c r="H39" i="2"/>
  <c r="H11" i="1"/>
  <c r="M11" i="1" s="1"/>
  <c r="N11" i="1" s="1"/>
  <c r="D39" i="2"/>
  <c r="G39" i="2" s="1"/>
  <c r="K12" i="5"/>
  <c r="N11" i="5"/>
  <c r="H12" i="5"/>
  <c r="I12" i="5" s="1"/>
  <c r="M12" i="5" s="1"/>
  <c r="N12" i="5" s="1"/>
  <c r="C21" i="2"/>
  <c r="B45" i="2"/>
  <c r="E44" i="2"/>
  <c r="D19" i="1"/>
  <c r="D20" i="1" s="1"/>
  <c r="D21" i="1" s="1"/>
  <c r="D22" i="1" s="1"/>
  <c r="D23" i="1" s="1"/>
  <c r="D24" i="1" s="1"/>
  <c r="D25" i="1" s="1"/>
  <c r="D26" i="1" s="1"/>
  <c r="D27" i="1" s="1"/>
  <c r="D28" i="1" s="1"/>
  <c r="H16" i="2" l="1"/>
  <c r="I16" i="2" s="1"/>
  <c r="H40" i="2"/>
  <c r="D40" i="2"/>
  <c r="G40" i="2" s="1"/>
  <c r="I40" i="2" s="1"/>
  <c r="H12" i="1"/>
  <c r="M12" i="1" s="1"/>
  <c r="N12" i="1" s="1"/>
  <c r="E13" i="1"/>
  <c r="E14" i="1" s="1"/>
  <c r="I39" i="2"/>
  <c r="F13" i="1"/>
  <c r="H17" i="2" s="1"/>
  <c r="I17" i="2" s="1"/>
  <c r="J13" i="5"/>
  <c r="C45" i="2"/>
  <c r="E21" i="2"/>
  <c r="G21" i="2" s="1"/>
  <c r="B22" i="2"/>
  <c r="H13" i="1" l="1"/>
  <c r="M13" i="1" s="1"/>
  <c r="N13" i="1" s="1"/>
  <c r="D41" i="2"/>
  <c r="G41" i="2" s="1"/>
  <c r="I41" i="2" s="1"/>
  <c r="H41" i="2"/>
  <c r="F14" i="1"/>
  <c r="L13" i="5"/>
  <c r="K13" i="5"/>
  <c r="H13" i="5"/>
  <c r="C22" i="2"/>
  <c r="B46" i="2"/>
  <c r="E45" i="2"/>
  <c r="H42" i="2" l="1"/>
  <c r="E15" i="1"/>
  <c r="F15" i="1" s="1"/>
  <c r="D42" i="2"/>
  <c r="G42" i="2" s="1"/>
  <c r="H14" i="1"/>
  <c r="M14" i="1" s="1"/>
  <c r="N14" i="1" s="1"/>
  <c r="H18" i="2"/>
  <c r="I18" i="2" s="1"/>
  <c r="I13" i="5"/>
  <c r="J14" i="5" s="1"/>
  <c r="C46" i="2"/>
  <c r="B23" i="2"/>
  <c r="E22" i="2"/>
  <c r="G22" i="2" s="1"/>
  <c r="H19" i="2" l="1"/>
  <c r="I19" i="2" s="1"/>
  <c r="H43" i="2"/>
  <c r="I42" i="2"/>
  <c r="M13" i="5"/>
  <c r="K14" i="5" s="1"/>
  <c r="H15" i="1"/>
  <c r="M15" i="1" s="1"/>
  <c r="N15" i="1" s="1"/>
  <c r="D43" i="2"/>
  <c r="G43" i="2" s="1"/>
  <c r="C23" i="2"/>
  <c r="B47" i="2"/>
  <c r="E46" i="2"/>
  <c r="E16" i="1"/>
  <c r="F16" i="1" l="1"/>
  <c r="E17" i="1" s="1"/>
  <c r="H14" i="5"/>
  <c r="I14" i="5" s="1"/>
  <c r="J15" i="5" s="1"/>
  <c r="N13" i="5"/>
  <c r="L14" i="5"/>
  <c r="I43" i="2"/>
  <c r="C47" i="2"/>
  <c r="E23" i="2"/>
  <c r="G23" i="2" s="1"/>
  <c r="B24" i="2"/>
  <c r="F17" i="1" l="1"/>
  <c r="D44" i="2"/>
  <c r="G44" i="2" s="1"/>
  <c r="H16" i="1"/>
  <c r="M16" i="1" s="1"/>
  <c r="N16" i="1" s="1"/>
  <c r="H44" i="2"/>
  <c r="H20" i="2"/>
  <c r="I20" i="2" s="1"/>
  <c r="M14" i="5"/>
  <c r="N14" i="5" s="1"/>
  <c r="E47" i="2"/>
  <c r="C24" i="2"/>
  <c r="B48" i="2"/>
  <c r="I44" i="2" l="1"/>
  <c r="L15" i="5"/>
  <c r="E18" i="1"/>
  <c r="F18" i="1" s="1"/>
  <c r="D45" i="2"/>
  <c r="G45" i="2" s="1"/>
  <c r="H17" i="1"/>
  <c r="M17" i="1" s="1"/>
  <c r="N17" i="1" s="1"/>
  <c r="H45" i="2"/>
  <c r="H21" i="2"/>
  <c r="I21" i="2" s="1"/>
  <c r="K15" i="5"/>
  <c r="H15" i="5"/>
  <c r="I15" i="5" s="1"/>
  <c r="C48" i="2"/>
  <c r="B25" i="2"/>
  <c r="E24" i="2"/>
  <c r="G24" i="2" s="1"/>
  <c r="M15" i="5" l="1"/>
  <c r="N15" i="5" s="1"/>
  <c r="I45" i="2"/>
  <c r="H46" i="2"/>
  <c r="H22" i="2"/>
  <c r="I22" i="2"/>
  <c r="D46" i="2"/>
  <c r="G46" i="2" s="1"/>
  <c r="C25" i="2"/>
  <c r="B49" i="2"/>
  <c r="E48" i="2"/>
  <c r="H18" i="1"/>
  <c r="M18" i="1" s="1"/>
  <c r="N18" i="1" s="1"/>
  <c r="E19" i="1"/>
  <c r="F19" i="1" l="1"/>
  <c r="I46" i="2"/>
  <c r="C49" i="2"/>
  <c r="E25" i="2"/>
  <c r="G25" i="2" s="1"/>
  <c r="B26" i="2"/>
  <c r="H47" i="2" l="1"/>
  <c r="H23" i="2"/>
  <c r="I23" i="2" s="1"/>
  <c r="E20" i="1"/>
  <c r="H19" i="1"/>
  <c r="M19" i="1" s="1"/>
  <c r="N19" i="1" s="1"/>
  <c r="D47" i="2"/>
  <c r="G47" i="2" s="1"/>
  <c r="E49" i="2"/>
  <c r="C26" i="2"/>
  <c r="B50" i="2"/>
  <c r="F20" i="1" l="1"/>
  <c r="I47" i="2"/>
  <c r="C50" i="2"/>
  <c r="E26" i="2"/>
  <c r="G26" i="2" s="1"/>
  <c r="B27" i="2"/>
  <c r="H48" i="2" l="1"/>
  <c r="D48" i="2"/>
  <c r="G48" i="2" s="1"/>
  <c r="H20" i="1"/>
  <c r="M20" i="1" s="1"/>
  <c r="N20" i="1" s="1"/>
  <c r="E21" i="1"/>
  <c r="H24" i="2"/>
  <c r="I24" i="2" s="1"/>
  <c r="C27" i="2"/>
  <c r="B51" i="2"/>
  <c r="E50" i="2"/>
  <c r="I48" i="2" l="1"/>
  <c r="F21" i="1"/>
  <c r="C51" i="2"/>
  <c r="B28" i="2"/>
  <c r="E27" i="2"/>
  <c r="G27" i="2" s="1"/>
  <c r="E22" i="1" l="1"/>
  <c r="H25" i="2"/>
  <c r="I25" i="2" s="1"/>
  <c r="H49" i="2"/>
  <c r="D49" i="2"/>
  <c r="G49" i="2" s="1"/>
  <c r="I49" i="2" s="1"/>
  <c r="H21" i="1"/>
  <c r="M21" i="1" s="1"/>
  <c r="N21" i="1" s="1"/>
  <c r="C28" i="2"/>
  <c r="B52" i="2"/>
  <c r="E51" i="2"/>
  <c r="F22" i="1" l="1"/>
  <c r="E23" i="1" s="1"/>
  <c r="C52" i="2"/>
  <c r="E28" i="2"/>
  <c r="G28" i="2" s="1"/>
  <c r="B29" i="2"/>
  <c r="F23" i="1" l="1"/>
  <c r="E24" i="1" s="1"/>
  <c r="H26" i="2"/>
  <c r="I26" i="2" s="1"/>
  <c r="H50" i="2"/>
  <c r="D50" i="2"/>
  <c r="G50" i="2" s="1"/>
  <c r="H22" i="1"/>
  <c r="M22" i="1" s="1"/>
  <c r="N22" i="1" s="1"/>
  <c r="C29" i="2"/>
  <c r="C53" i="2" s="1"/>
  <c r="B53" i="2"/>
  <c r="E52" i="2"/>
  <c r="I50" i="2" l="1"/>
  <c r="F24" i="1"/>
  <c r="E25" i="1" s="1"/>
  <c r="H27" i="2"/>
  <c r="I27" i="2" s="1"/>
  <c r="H23" i="1"/>
  <c r="M23" i="1" s="1"/>
  <c r="N23" i="1" s="1"/>
  <c r="H51" i="2"/>
  <c r="D51" i="2"/>
  <c r="G51" i="2" s="1"/>
  <c r="E29" i="2"/>
  <c r="G29" i="2" s="1"/>
  <c r="B30" i="2"/>
  <c r="C30" i="2" s="1"/>
  <c r="E53" i="2"/>
  <c r="D52" i="2" l="1"/>
  <c r="G52" i="2" s="1"/>
  <c r="F25" i="1"/>
  <c r="E26" i="1" s="1"/>
  <c r="H52" i="2"/>
  <c r="I52" i="2" s="1"/>
  <c r="H28" i="2"/>
  <c r="I28" i="2" s="1"/>
  <c r="H24" i="1"/>
  <c r="M24" i="1" s="1"/>
  <c r="N24" i="1" s="1"/>
  <c r="I51" i="2"/>
  <c r="C54" i="2"/>
  <c r="E30" i="2"/>
  <c r="G30" i="2" s="1"/>
  <c r="B31" i="2"/>
  <c r="C31" i="2" s="1"/>
  <c r="B54" i="2"/>
  <c r="F26" i="1" l="1"/>
  <c r="D53" i="2"/>
  <c r="G53" i="2" s="1"/>
  <c r="H29" i="2"/>
  <c r="I29" i="2" s="1"/>
  <c r="H53" i="2"/>
  <c r="H25" i="1"/>
  <c r="M25" i="1" s="1"/>
  <c r="N25" i="1" s="1"/>
  <c r="C55" i="2"/>
  <c r="B32" i="2"/>
  <c r="C32" i="2" s="1"/>
  <c r="E31" i="2"/>
  <c r="G31" i="2" s="1"/>
  <c r="E54" i="2"/>
  <c r="B55" i="2"/>
  <c r="H30" i="2" l="1"/>
  <c r="I30" i="2" s="1"/>
  <c r="H54" i="2"/>
  <c r="H26" i="1"/>
  <c r="M26" i="1" s="1"/>
  <c r="N26" i="1" s="1"/>
  <c r="I53" i="2"/>
  <c r="D54" i="2"/>
  <c r="G54" i="2" s="1"/>
  <c r="E27" i="1"/>
  <c r="E55" i="2"/>
  <c r="B56" i="2"/>
  <c r="E32" i="2"/>
  <c r="G32" i="2" s="1"/>
  <c r="C56" i="2"/>
  <c r="I54" i="2" l="1"/>
  <c r="F27" i="1"/>
  <c r="E28" i="1" s="1"/>
  <c r="E56" i="2"/>
  <c r="F28" i="1" l="1"/>
  <c r="H55" i="2"/>
  <c r="H31" i="2"/>
  <c r="I31" i="2" s="1"/>
  <c r="H27" i="1"/>
  <c r="M27" i="1" s="1"/>
  <c r="N27" i="1" s="1"/>
  <c r="D55" i="2"/>
  <c r="G55" i="2" s="1"/>
  <c r="I55" i="2" l="1"/>
  <c r="H32" i="2"/>
  <c r="I32" i="2" s="1"/>
  <c r="I33" i="2" s="1"/>
  <c r="H56" i="2"/>
  <c r="H28" i="1"/>
  <c r="M28" i="1" s="1"/>
  <c r="N28" i="1" s="1"/>
  <c r="D56" i="2"/>
  <c r="G56" i="2" s="1"/>
  <c r="I56" i="2" l="1"/>
  <c r="I57" i="2" s="1"/>
  <c r="I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<sst xmlns="http://schemas.openxmlformats.org/spreadsheetml/2006/main" count="127" uniqueCount="80">
  <si>
    <t>Instrument</t>
  </si>
  <si>
    <t>Maturity</t>
  </si>
  <si>
    <t>Par Rate / Price</t>
  </si>
  <si>
    <t>Discount Factor</t>
  </si>
  <si>
    <t>Annuity</t>
  </si>
  <si>
    <t>Zero Rate</t>
  </si>
  <si>
    <t>USD SOFR Swap</t>
  </si>
  <si>
    <t>Fixed</t>
  </si>
  <si>
    <t>Floating</t>
  </si>
  <si>
    <t>Rate</t>
  </si>
  <si>
    <t>USD-SOFR-ON</t>
  </si>
  <si>
    <t>Accrual Convention</t>
  </si>
  <si>
    <t>Payment Frequency</t>
  </si>
  <si>
    <t>Actual/360</t>
  </si>
  <si>
    <t>Annual</t>
  </si>
  <si>
    <t>Reset Frequency</t>
  </si>
  <si>
    <t>Daily (Compounded)</t>
  </si>
  <si>
    <t>Effective</t>
  </si>
  <si>
    <t>Accrual Fraction</t>
  </si>
  <si>
    <t>Notional</t>
  </si>
  <si>
    <t>Cashflow</t>
  </si>
  <si>
    <t>Present Value</t>
  </si>
  <si>
    <t>Pay/Receive</t>
  </si>
  <si>
    <t>Pay</t>
  </si>
  <si>
    <t>Receive</t>
  </si>
  <si>
    <t>Effective Date</t>
  </si>
  <si>
    <t>Maturity Date</t>
  </si>
  <si>
    <t>First futures accrual start date:</t>
  </si>
  <si>
    <t>Interpolated Par Rate</t>
  </si>
  <si>
    <t>Cash rate 31-dec-2024 01-jan-2025</t>
  </si>
  <si>
    <t>Overnight Futures for SRAZ4</t>
  </si>
  <si>
    <t>Overnight Futures for SRAH5</t>
  </si>
  <si>
    <t>Overnight Futures for SRAM5</t>
  </si>
  <si>
    <t>Overnight Futures for SRAU5</t>
  </si>
  <si>
    <t>Swap rate 31-dec-2024 31-dec-2026</t>
  </si>
  <si>
    <t>Swap rate 31-dec-2024 31-dec-2027</t>
  </si>
  <si>
    <t>Swap rate 31-dec-2024 31-dec-2031</t>
  </si>
  <si>
    <t>Swap rate 31-dec-2024 31-dec-2032</t>
  </si>
  <si>
    <t>Swap rate 31-dec-2024 31-dec-2033</t>
  </si>
  <si>
    <t>Swap rate 31-dec-2024 31-dec-2034</t>
  </si>
  <si>
    <t>Swap rate 31-dec-2024 31-dec-2035</t>
  </si>
  <si>
    <t>Swap rate 31-dec-2024 31-dec-2025</t>
  </si>
  <si>
    <t>Swap rate 31-dec-2024 31-dec-2020</t>
  </si>
  <si>
    <t>Swap rate 31-dec-2024 31-dec-2036</t>
  </si>
  <si>
    <t>Swap rate 31-dec-2024 31-dec-2039</t>
  </si>
  <si>
    <t>Swap rate 31-dec-2024 31-dec-2044</t>
  </si>
  <si>
    <t>Actual Prior SOFR fixings</t>
  </si>
  <si>
    <t>Delta</t>
  </si>
  <si>
    <t>PD</t>
  </si>
  <si>
    <t>Valuation Date:</t>
  </si>
  <si>
    <t>Spread</t>
  </si>
  <si>
    <t>6M</t>
  </si>
  <si>
    <t>1Y</t>
  </si>
  <si>
    <t>2Y</t>
  </si>
  <si>
    <t>3Y</t>
  </si>
  <si>
    <t>4Y</t>
  </si>
  <si>
    <t>5Y</t>
  </si>
  <si>
    <t>7Y</t>
  </si>
  <si>
    <t>10Y</t>
  </si>
  <si>
    <t>15Y</t>
  </si>
  <si>
    <t>20Y</t>
  </si>
  <si>
    <t>Recovery</t>
  </si>
  <si>
    <t>PD_{i-1)</t>
  </si>
  <si>
    <t>PND_{i-1}</t>
  </si>
  <si>
    <t>Premium Leg Accrual</t>
  </si>
  <si>
    <t>Accumulated Expected Discounted Loss</t>
  </si>
  <si>
    <t>Accumulated Value of the Premium Leg</t>
  </si>
  <si>
    <t>Marginal PD</t>
  </si>
  <si>
    <t>Period Start</t>
  </si>
  <si>
    <t>Period #</t>
  </si>
  <si>
    <t>Period End</t>
  </si>
  <si>
    <t>Fixed Rate</t>
  </si>
  <si>
    <t>Fixed Cashflow</t>
  </si>
  <si>
    <t>Floating Cashflow</t>
  </si>
  <si>
    <t>Value</t>
  </si>
  <si>
    <t>=loglin(E5,Bootstrap!$D$3:$D$28,Bootstrap!$F$3:$F$28)</t>
  </si>
  <si>
    <t>Cumulative PD</t>
  </si>
  <si>
    <t>No Default</t>
  </si>
  <si>
    <t>Default</t>
  </si>
  <si>
    <t>=Linear('CDS Valuation'!E6,'CDS Bootstrap'!$E$5:$E$15,'CDS Bootstrap'!$N$5:$N$15)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</si>
</sst>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0%"/>
    <numFmt numFmtId="166" formatCode="0.00000000"/>
    <numFmt numFmtId="167" formatCode="_(* #,##0_);_(* \(#,##0\);_(* &quot;-&quot;??_);_(@_)"/>
    <numFmt numFmtId="168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15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4" fontId="0" fillId="0" borderId="1" xfId="1" applyFont="1" applyBorder="1"/>
    <xf numFmtId="14" fontId="0" fillId="0" borderId="1" xfId="0" applyNumberFormat="1" applyBorder="1"/>
    <xf numFmtId="0" fontId="2" fillId="0" borderId="0" xfId="0" applyFont="1"/>
    <xf numFmtId="167" fontId="0" fillId="0" borderId="1" xfId="0" applyNumberFormat="1" applyBorder="1"/>
    <xf numFmtId="167" fontId="2" fillId="0" borderId="0" xfId="0" applyNumberFormat="1" applyFont="1"/>
    <xf numFmtId="167" fontId="0" fillId="0" borderId="1" xfId="1" applyNumberFormat="1" applyFont="1" applyBorder="1"/>
    <xf numFmtId="168" fontId="0" fillId="0" borderId="1" xfId="0" applyNumberFormat="1" applyBorder="1"/>
    <xf numFmtId="167" fontId="0" fillId="0" borderId="0" xfId="0" applyNumberFormat="1"/>
    <xf numFmtId="14" fontId="0" fillId="0" borderId="0" xfId="0" applyNumberFormat="1"/>
    <xf numFmtId="10" fontId="0" fillId="0" borderId="0" xfId="0" applyNumberFormat="1"/>
    <xf numFmtId="164" fontId="2" fillId="0" borderId="0" xfId="1" applyFont="1"/>
    <xf numFmtId="9" fontId="0" fillId="0" borderId="0" xfId="0" applyNumberFormat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4" fontId="2" fillId="0" borderId="0" xfId="0" applyNumberFormat="1" applyFont="1"/>
    <xf numFmtId="167" fontId="0" fillId="0" borderId="0" xfId="1" applyNumberFormat="1" applyFont="1"/>
    <xf numFmtId="164" fontId="2" fillId="0" borderId="0" xfId="0" applyNumberFormat="1" applyFont="1"/>
    <xf numFmtId="0" fontId="0" fillId="0" borderId="0" xfId="0" quotePrefix="1"/>
    <xf numFmtId="0" fontId="0" fillId="0" borderId="0" xfId="0" applyAlignment="1">
      <alignment wrapText="1"/>
    </xf>
    <xf numFmtId="43" fontId="0" fillId="0" borderId="0" xfId="0" applyNumberFormat="1"/>
    <xf numFmtId="165" fontId="0" fillId="2" borderId="0" xfId="0" applyNumberFormat="1" applyFill="1"/>
    <xf numFmtId="0" fontId="0" fillId="2" borderId="0" xfId="0" applyFill="1"/>
    <xf numFmtId="14" fontId="0" fillId="2" borderId="1" xfId="0" applyNumberFormat="1" applyFill="1" applyBorder="1"/>
    <xf numFmtId="165" fontId="0" fillId="2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C28115-2BB4-473C-A690-3ECBB6D435E6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CCB0-7BA5-4D81-9A63-734693FBF1AC}">
  <sheetPr>
    <pageSetUpPr fitToPage="1"/>
  </sheetPr>
  <dimension ref="A2:AL30"/>
  <sheetViews>
    <sheetView zoomScale="70" zoomScaleNormal="70" workbookViewId="0">
      <selection activeCell="E5" sqref="E5"/>
    </sheetView>
  </sheetViews>
  <sheetFormatPr defaultRowHeight="14.5" outlineLevelCol="2" x14ac:dyDescent="0.35"/>
  <cols>
    <col min="1" max="1" width="30.453125" bestFit="1" customWidth="1"/>
    <col min="2" max="2" width="30.81640625" bestFit="1" customWidth="1"/>
    <col min="3" max="3" width="13.7265625" bestFit="1" customWidth="1"/>
    <col min="4" max="4" width="11.26953125" bestFit="1" customWidth="1"/>
    <col min="5" max="5" width="11.81640625" bestFit="1" customWidth="1"/>
    <col min="6" max="6" width="13.81640625" bestFit="1" customWidth="1"/>
    <col min="7" max="7" width="14.26953125" customWidth="1"/>
    <col min="8" max="8" width="11.81640625" bestFit="1" customWidth="1"/>
    <col min="9" max="9" width="8.7265625" customWidth="1"/>
    <col min="10" max="10" width="26.08984375" bestFit="1" customWidth="1"/>
    <col min="11" max="11" width="12.54296875" bestFit="1" customWidth="1"/>
    <col min="12" max="17" width="8.7265625" outlineLevel="2" collapsed="1"/>
    <col min="18" max="18" width="12.26953125" bestFit="1" customWidth="1" outlineLevel="2" collapsed="1"/>
    <col min="19" max="22" width="8.7265625" outlineLevel="2"/>
    <col min="39" max="16384" width="8.7265625" outlineLevel="2" collapsed="1"/>
  </cols>
  <sheetData>
    <row r="2" spans="1:18" x14ac:dyDescent="0.35">
      <c r="A2" s="1">
        <v>45657</v>
      </c>
      <c r="B2" t="s">
        <v>0</v>
      </c>
      <c r="C2" t="s">
        <v>2</v>
      </c>
      <c r="D2" t="s">
        <v>1</v>
      </c>
      <c r="E2" t="s">
        <v>4</v>
      </c>
      <c r="F2" t="s">
        <v>3</v>
      </c>
      <c r="H2" t="s">
        <v>5</v>
      </c>
      <c r="J2" t="s">
        <v>27</v>
      </c>
      <c r="K2" s="14">
        <v>45644</v>
      </c>
    </row>
    <row r="3" spans="1:18" x14ac:dyDescent="0.35">
      <c r="D3" s="1">
        <v>45657</v>
      </c>
      <c r="E3">
        <v>0</v>
      </c>
      <c r="F3">
        <v>1</v>
      </c>
      <c r="M3">
        <v>1</v>
      </c>
    </row>
    <row r="4" spans="1:18" x14ac:dyDescent="0.35">
      <c r="B4" t="s">
        <v>29</v>
      </c>
      <c r="C4" s="31">
        <v>4.4900000000000002E-2</v>
      </c>
      <c r="D4" s="1">
        <f>D3+1</f>
        <v>45658</v>
      </c>
      <c r="E4">
        <f>E3</f>
        <v>0</v>
      </c>
      <c r="F4">
        <f>1/(1+C4*(D4-D3)/360)</f>
        <v>0.99987529333147052</v>
      </c>
      <c r="H4" s="2">
        <f t="shared" ref="H4:H28" si="0">-LN(F4)/(($D4-$D$3)/365)</f>
        <v>4.5520772444199512E-2</v>
      </c>
      <c r="J4" t="s">
        <v>46</v>
      </c>
      <c r="M4" s="2">
        <f>H4+0.0001</f>
        <v>4.5620772444199514E-2</v>
      </c>
      <c r="N4">
        <f t="shared" ref="N4:N28" si="1">EXP(-M4*(D4-$D$3)/365)</f>
        <v>0.99987501939307155</v>
      </c>
    </row>
    <row r="5" spans="1:18" ht="87.5" customHeight="1" x14ac:dyDescent="0.35">
      <c r="B5" t="s">
        <v>30</v>
      </c>
      <c r="C5" s="32">
        <v>95.657499999999999</v>
      </c>
      <c r="D5" s="1">
        <v>45735</v>
      </c>
      <c r="E5">
        <f t="shared" ref="E5:E9" si="2">E4</f>
        <v>0</v>
      </c>
      <c r="F5" s="29" cm="1">
        <f t="array" ref="F5">F4/(1+(((((1+(100-C5)/100*(D5-K2)/360)*F4)/(PRODUCT(1+K5:K17/360)))^(1/(D5-D4))-1)*360)*(D5-D4)/360)</f>
        <v>0.99075517266580371</v>
      </c>
      <c r="H5" s="2">
        <f t="shared" si="0"/>
        <v>4.3462262531057561E-2</v>
      </c>
      <c r="J5" s="1">
        <v>45656</v>
      </c>
      <c r="K5" s="15">
        <v>4.3700000000000003E-2</v>
      </c>
      <c r="M5">
        <f t="shared" ref="M5:M28" si="3">H5+0.0001</f>
        <v>4.3562262531057563E-2</v>
      </c>
      <c r="N5">
        <f t="shared" si="1"/>
        <v>0.99073400058970673</v>
      </c>
    </row>
    <row r="6" spans="1:18" x14ac:dyDescent="0.35">
      <c r="B6" t="s">
        <v>31</v>
      </c>
      <c r="C6" s="32">
        <v>95.825000000000003</v>
      </c>
      <c r="D6" s="1">
        <v>45826</v>
      </c>
      <c r="E6">
        <f t="shared" si="2"/>
        <v>0</v>
      </c>
      <c r="F6">
        <f>F5/(1+(100-C6)/100*(D6-D5)/360)</f>
        <v>0.98040845922494158</v>
      </c>
      <c r="H6" s="2">
        <f t="shared" si="0"/>
        <v>4.2733074817285603E-2</v>
      </c>
      <c r="J6" s="1">
        <f t="shared" ref="J6:J17" si="4">J5-1</f>
        <v>45655</v>
      </c>
      <c r="K6" s="15">
        <v>4.4600000000000001E-2</v>
      </c>
      <c r="M6">
        <f t="shared" si="3"/>
        <v>4.2833074817285606E-2</v>
      </c>
      <c r="N6">
        <f t="shared" si="1"/>
        <v>0.98036306602114609</v>
      </c>
    </row>
    <row r="7" spans="1:18" x14ac:dyDescent="0.35">
      <c r="B7" t="s">
        <v>32</v>
      </c>
      <c r="C7" s="32">
        <v>95.954999999999998</v>
      </c>
      <c r="D7" s="1">
        <v>45917</v>
      </c>
      <c r="E7">
        <f t="shared" si="2"/>
        <v>0</v>
      </c>
      <c r="F7">
        <f>F6/(1+(100-C7)/100*(D7-D6)/360)</f>
        <v>0.97048538099391501</v>
      </c>
      <c r="H7" s="2">
        <f t="shared" si="0"/>
        <v>4.2057742498847944E-2</v>
      </c>
      <c r="J7" s="1">
        <f t="shared" si="4"/>
        <v>45654</v>
      </c>
      <c r="K7" s="15">
        <v>4.4600000000000001E-2</v>
      </c>
      <c r="M7">
        <f t="shared" si="3"/>
        <v>4.2157742498847947E-2</v>
      </c>
      <c r="N7">
        <f t="shared" si="1"/>
        <v>0.97041625299054202</v>
      </c>
    </row>
    <row r="8" spans="1:18" x14ac:dyDescent="0.35">
      <c r="B8" t="s">
        <v>33</v>
      </c>
      <c r="C8" s="32">
        <v>96.02</v>
      </c>
      <c r="D8" s="1">
        <v>46008</v>
      </c>
      <c r="E8">
        <f t="shared" si="2"/>
        <v>0</v>
      </c>
      <c r="F8">
        <f>F7/(1+(100-C8)/100*(D8-D7)/360)</f>
        <v>0.96081900798524567</v>
      </c>
      <c r="H8" s="2">
        <f t="shared" si="0"/>
        <v>4.156343901279265E-2</v>
      </c>
      <c r="J8" s="1">
        <f t="shared" si="4"/>
        <v>45653</v>
      </c>
      <c r="K8" s="15">
        <v>4.4600000000000001E-2</v>
      </c>
      <c r="M8">
        <f t="shared" si="3"/>
        <v>4.1663439012792652E-2</v>
      </c>
      <c r="N8">
        <f t="shared" si="1"/>
        <v>0.96072661586011554</v>
      </c>
    </row>
    <row r="9" spans="1:18" x14ac:dyDescent="0.35">
      <c r="B9" t="s">
        <v>41</v>
      </c>
      <c r="C9" s="31">
        <v>4.1759949999999997E-2</v>
      </c>
      <c r="D9" s="1">
        <f>EDATE(D3,12)</f>
        <v>46022</v>
      </c>
      <c r="E9">
        <f t="shared" si="2"/>
        <v>0</v>
      </c>
      <c r="F9">
        <f>(1-C9*E9)/(1+C9*(D9-D3)/360)</f>
        <v>0.95937990352018643</v>
      </c>
      <c r="H9" s="2">
        <f t="shared" si="0"/>
        <v>4.1468137058530641E-2</v>
      </c>
      <c r="J9" s="1">
        <f t="shared" si="4"/>
        <v>45652</v>
      </c>
      <c r="K9" s="15">
        <v>4.53E-2</v>
      </c>
      <c r="M9" s="2">
        <f t="shared" si="3"/>
        <v>4.1568137058530644E-2</v>
      </c>
      <c r="N9">
        <f t="shared" si="1"/>
        <v>0.95928397032657409</v>
      </c>
    </row>
    <row r="10" spans="1:18" x14ac:dyDescent="0.35">
      <c r="B10" t="s">
        <v>34</v>
      </c>
      <c r="C10" s="31">
        <v>4.0844000000000005E-2</v>
      </c>
      <c r="D10" s="1">
        <f>EDATE(D9,12)</f>
        <v>46387</v>
      </c>
      <c r="E10">
        <f>E9+(D9-D3)/360*F9</f>
        <v>0.97270462440241123</v>
      </c>
      <c r="F10" s="3">
        <f t="shared" ref="F10:F28" si="5">(1-C10*E10)/(1+C10*(D10-D9)/360)</f>
        <v>0.92208608914816836</v>
      </c>
      <c r="G10" s="3"/>
      <c r="H10" s="2">
        <f t="shared" si="0"/>
        <v>4.0558343803198456E-2</v>
      </c>
      <c r="J10" s="1">
        <f t="shared" si="4"/>
        <v>45651</v>
      </c>
      <c r="K10" s="15">
        <v>4.4000000000000004E-2</v>
      </c>
      <c r="M10" s="2">
        <f t="shared" si="3"/>
        <v>4.0658343803198459E-2</v>
      </c>
      <c r="N10">
        <f t="shared" si="1"/>
        <v>0.92190169037083114</v>
      </c>
    </row>
    <row r="11" spans="1:18" x14ac:dyDescent="0.35">
      <c r="B11" t="s">
        <v>35</v>
      </c>
      <c r="C11" s="31">
        <v>4.0632299999999996E-2</v>
      </c>
      <c r="D11" s="1">
        <f t="shared" ref="D11:D18" si="6">EDATE(D10,12)</f>
        <v>46752</v>
      </c>
      <c r="E11" s="3">
        <f t="shared" ref="E11:E28" si="7">E10+(D10-D9)/360*F10</f>
        <v>1.9075974647887486</v>
      </c>
      <c r="F11">
        <f t="shared" si="5"/>
        <v>0.8859901139773555</v>
      </c>
      <c r="H11" s="2">
        <f t="shared" si="0"/>
        <v>4.0349828826136545E-2</v>
      </c>
      <c r="J11" s="1">
        <f t="shared" si="4"/>
        <v>45650</v>
      </c>
      <c r="K11" s="15">
        <v>4.4000000000000004E-2</v>
      </c>
      <c r="M11" s="2">
        <f t="shared" si="3"/>
        <v>4.0449828826136548E-2</v>
      </c>
      <c r="N11">
        <f t="shared" si="1"/>
        <v>0.88572435680873074</v>
      </c>
      <c r="R11" s="2"/>
    </row>
    <row r="12" spans="1:18" x14ac:dyDescent="0.35">
      <c r="B12" t="s">
        <v>42</v>
      </c>
      <c r="C12" s="31">
        <v>4.0433450000000003E-2</v>
      </c>
      <c r="D12" s="1">
        <f t="shared" si="6"/>
        <v>47118</v>
      </c>
      <c r="E12">
        <f t="shared" si="7"/>
        <v>2.8058929970157895</v>
      </c>
      <c r="F12">
        <f t="shared" si="5"/>
        <v>0.85154338177098288</v>
      </c>
      <c r="H12" s="2">
        <f t="shared" si="0"/>
        <v>4.0148709060916353E-2</v>
      </c>
      <c r="J12" s="1">
        <f t="shared" si="4"/>
        <v>45649</v>
      </c>
      <c r="K12" s="15">
        <v>4.3099999999999999E-2</v>
      </c>
      <c r="M12" s="2">
        <f t="shared" si="3"/>
        <v>4.0248709060916356E-2</v>
      </c>
      <c r="N12">
        <f t="shared" si="1"/>
        <v>0.85120259932643927</v>
      </c>
    </row>
    <row r="13" spans="1:18" x14ac:dyDescent="0.35">
      <c r="B13" t="s">
        <v>36</v>
      </c>
      <c r="C13" s="31">
        <v>4.0384500000000004E-2</v>
      </c>
      <c r="D13" s="1">
        <f t="shared" si="6"/>
        <v>47483</v>
      </c>
      <c r="E13">
        <f t="shared" si="7"/>
        <v>3.6716287684829556</v>
      </c>
      <c r="F13">
        <f t="shared" si="5"/>
        <v>0.81822073608130952</v>
      </c>
      <c r="H13" s="2">
        <f t="shared" si="0"/>
        <v>4.0102651998468873E-2</v>
      </c>
      <c r="J13" s="1">
        <f t="shared" si="4"/>
        <v>45648</v>
      </c>
      <c r="K13" s="15">
        <v>4.2999999999999997E-2</v>
      </c>
      <c r="M13" s="2">
        <f t="shared" si="3"/>
        <v>4.0202651998468876E-2</v>
      </c>
      <c r="N13">
        <f t="shared" si="1"/>
        <v>0.81781150391583979</v>
      </c>
    </row>
    <row r="14" spans="1:18" x14ac:dyDescent="0.35">
      <c r="B14" t="s">
        <v>37</v>
      </c>
      <c r="C14" s="31">
        <v>4.0411099999999998E-2</v>
      </c>
      <c r="D14" s="1">
        <f t="shared" si="6"/>
        <v>47848</v>
      </c>
      <c r="E14">
        <f t="shared" si="7"/>
        <v>4.5012136814542831</v>
      </c>
      <c r="F14">
        <f t="shared" si="5"/>
        <v>0.7859007895748289</v>
      </c>
      <c r="H14" s="2">
        <f t="shared" si="0"/>
        <v>4.0135792559842724E-2</v>
      </c>
      <c r="J14" s="1">
        <f t="shared" si="4"/>
        <v>45647</v>
      </c>
      <c r="K14" s="15">
        <v>4.2999999999999997E-2</v>
      </c>
      <c r="M14" s="2">
        <f t="shared" si="3"/>
        <v>4.0235792559842727E-2</v>
      </c>
      <c r="N14">
        <f t="shared" si="1"/>
        <v>0.78542917534883294</v>
      </c>
      <c r="R14" s="3"/>
    </row>
    <row r="15" spans="1:18" x14ac:dyDescent="0.35">
      <c r="B15" t="s">
        <v>38</v>
      </c>
      <c r="C15" s="31">
        <v>4.0479649999999999E-2</v>
      </c>
      <c r="D15" s="1">
        <f t="shared" si="6"/>
        <v>48213</v>
      </c>
      <c r="E15">
        <f t="shared" si="7"/>
        <v>5.2980297597732067</v>
      </c>
      <c r="F15">
        <f t="shared" si="5"/>
        <v>0.75456870108982221</v>
      </c>
      <c r="H15" s="2">
        <f t="shared" si="0"/>
        <v>4.0214110593096687E-2</v>
      </c>
      <c r="J15" s="1">
        <f t="shared" si="4"/>
        <v>45646</v>
      </c>
      <c r="K15" s="15">
        <v>4.2999999999999997E-2</v>
      </c>
      <c r="M15" s="2">
        <f t="shared" si="3"/>
        <v>4.031411059309669E-2</v>
      </c>
      <c r="N15">
        <f t="shared" si="1"/>
        <v>0.75404048123880096</v>
      </c>
    </row>
    <row r="16" spans="1:18" x14ac:dyDescent="0.35">
      <c r="B16" t="s">
        <v>39</v>
      </c>
      <c r="C16" s="31">
        <v>4.0544950000000003E-2</v>
      </c>
      <c r="D16" s="1">
        <f t="shared" si="6"/>
        <v>48579</v>
      </c>
      <c r="E16">
        <f t="shared" si="7"/>
        <v>6.0630785817114985</v>
      </c>
      <c r="F16">
        <f t="shared" si="5"/>
        <v>0.72431597130371395</v>
      </c>
      <c r="H16" s="2">
        <f t="shared" si="0"/>
        <v>4.0288349908442433E-2</v>
      </c>
      <c r="J16" s="1">
        <f t="shared" si="4"/>
        <v>45645</v>
      </c>
      <c r="K16" s="15">
        <v>4.2999999999999997E-2</v>
      </c>
      <c r="M16" s="2">
        <f t="shared" si="3"/>
        <v>4.0388349908442436E-2</v>
      </c>
      <c r="N16">
        <f t="shared" si="1"/>
        <v>0.72373635367801215</v>
      </c>
    </row>
    <row r="17" spans="1:14" x14ac:dyDescent="0.35">
      <c r="B17" t="s">
        <v>40</v>
      </c>
      <c r="C17" s="31">
        <v>4.0619750000000003E-2</v>
      </c>
      <c r="D17" s="1">
        <f t="shared" si="6"/>
        <v>48944</v>
      </c>
      <c r="E17">
        <f t="shared" si="7"/>
        <v>6.7994664858702745</v>
      </c>
      <c r="F17">
        <f t="shared" si="5"/>
        <v>0.69517725162489852</v>
      </c>
      <c r="H17" s="2">
        <f t="shared" si="0"/>
        <v>4.0374133277481287E-2</v>
      </c>
      <c r="J17" s="1">
        <f t="shared" si="4"/>
        <v>45644</v>
      </c>
      <c r="K17" s="15">
        <v>4.5700000000000005E-2</v>
      </c>
      <c r="M17" s="2">
        <f t="shared" si="3"/>
        <v>4.047413327748129E-2</v>
      </c>
      <c r="N17">
        <f t="shared" si="1"/>
        <v>0.69455149298451313</v>
      </c>
    </row>
    <row r="18" spans="1:14" x14ac:dyDescent="0.35">
      <c r="B18" t="s">
        <v>43</v>
      </c>
      <c r="C18" s="31">
        <v>4.0718899999999995E-2</v>
      </c>
      <c r="D18" s="1">
        <f t="shared" si="6"/>
        <v>49309</v>
      </c>
      <c r="E18">
        <f t="shared" si="7"/>
        <v>7.5042989771010742</v>
      </c>
      <c r="F18">
        <f t="shared" si="5"/>
        <v>0.66690058308762312</v>
      </c>
      <c r="H18" s="2">
        <f t="shared" si="0"/>
        <v>4.0489243614971478E-2</v>
      </c>
      <c r="J18" s="1"/>
      <c r="K18" s="15"/>
      <c r="M18" s="2">
        <f t="shared" si="3"/>
        <v>4.0589243614971481E-2</v>
      </c>
      <c r="N18">
        <f t="shared" si="1"/>
        <v>0.66623365078407004</v>
      </c>
    </row>
    <row r="19" spans="1:14" x14ac:dyDescent="0.35">
      <c r="B19" t="s">
        <v>28</v>
      </c>
      <c r="C19" s="31">
        <f>($C$23-$C$18)/5+C18</f>
        <v>4.0813519999999999E-2</v>
      </c>
      <c r="D19" s="1">
        <f>EDATE(D18,12)</f>
        <v>49674</v>
      </c>
      <c r="E19">
        <f t="shared" si="7"/>
        <v>8.1804620682871363</v>
      </c>
      <c r="F19">
        <f t="shared" si="5"/>
        <v>0.63965728960667867</v>
      </c>
      <c r="H19" s="2">
        <f t="shared" si="0"/>
        <v>4.0600024105069708E-2</v>
      </c>
      <c r="M19" s="2">
        <f t="shared" si="3"/>
        <v>4.0700024105069711E-2</v>
      </c>
      <c r="N19">
        <f t="shared" si="1"/>
        <v>0.63895370332719903</v>
      </c>
    </row>
    <row r="20" spans="1:14" x14ac:dyDescent="0.35">
      <c r="B20" t="s">
        <v>28</v>
      </c>
      <c r="C20" s="31">
        <f>($C$23-$C$18)/5+C19</f>
        <v>4.0908140000000003E-2</v>
      </c>
      <c r="D20" s="1">
        <f t="shared" ref="D20:D28" si="8">EDATE(D19,12)</f>
        <v>50040</v>
      </c>
      <c r="E20">
        <f t="shared" si="7"/>
        <v>8.8290034869161307</v>
      </c>
      <c r="F20">
        <f t="shared" si="5"/>
        <v>0.61331418760215795</v>
      </c>
      <c r="H20" s="2">
        <f t="shared" si="0"/>
        <v>4.0711942890982886E-2</v>
      </c>
      <c r="M20" s="2">
        <f t="shared" si="3"/>
        <v>4.0811942890982889E-2</v>
      </c>
      <c r="N20">
        <f t="shared" si="1"/>
        <v>0.61257814849757275</v>
      </c>
    </row>
    <row r="21" spans="1:14" x14ac:dyDescent="0.35">
      <c r="B21" t="s">
        <v>28</v>
      </c>
      <c r="C21" s="31">
        <f>($C$23-$C$18)/5+C20</f>
        <v>4.1002760000000006E-2</v>
      </c>
      <c r="D21" s="1">
        <f t="shared" si="8"/>
        <v>50405</v>
      </c>
      <c r="E21">
        <f t="shared" si="7"/>
        <v>9.4525395776449912</v>
      </c>
      <c r="F21">
        <f t="shared" si="5"/>
        <v>0.58797629502304471</v>
      </c>
      <c r="H21" s="2">
        <f t="shared" si="0"/>
        <v>4.0825622570815213E-2</v>
      </c>
      <c r="M21" s="2">
        <f t="shared" si="3"/>
        <v>4.0925622570815216E-2</v>
      </c>
      <c r="N21">
        <f t="shared" si="1"/>
        <v>0.58721193982410769</v>
      </c>
    </row>
    <row r="22" spans="1:14" x14ac:dyDescent="0.35">
      <c r="A22" s="1"/>
      <c r="B22" t="s">
        <v>28</v>
      </c>
      <c r="C22" s="31">
        <f>($C$23-$C$18)/5+C21</f>
        <v>4.109738000000001E-2</v>
      </c>
      <c r="D22" s="1">
        <f t="shared" si="8"/>
        <v>50770</v>
      </c>
      <c r="E22">
        <f t="shared" si="7"/>
        <v>10.048682210098912</v>
      </c>
      <c r="F22">
        <f t="shared" si="5"/>
        <v>0.5635436521006757</v>
      </c>
      <c r="H22" s="2">
        <f t="shared" si="0"/>
        <v>4.0940998651906396E-2</v>
      </c>
      <c r="M22" s="2">
        <f t="shared" si="3"/>
        <v>4.1040998651906399E-2</v>
      </c>
      <c r="N22">
        <f t="shared" si="1"/>
        <v>0.56275478046451077</v>
      </c>
    </row>
    <row r="23" spans="1:14" x14ac:dyDescent="0.35">
      <c r="B23" t="s">
        <v>44</v>
      </c>
      <c r="C23" s="31">
        <v>4.1191999999999999E-2</v>
      </c>
      <c r="D23" s="1">
        <f t="shared" si="8"/>
        <v>51135</v>
      </c>
      <c r="E23">
        <f t="shared" si="7"/>
        <v>10.620052857367652</v>
      </c>
      <c r="F23">
        <f t="shared" si="5"/>
        <v>0.53998671743387905</v>
      </c>
      <c r="H23" s="2">
        <f t="shared" si="0"/>
        <v>4.1058218150952328E-2</v>
      </c>
      <c r="M23" s="2">
        <f t="shared" si="3"/>
        <v>4.115821815095233E-2</v>
      </c>
      <c r="N23">
        <f t="shared" si="1"/>
        <v>0.5391769013798775</v>
      </c>
    </row>
    <row r="24" spans="1:14" x14ac:dyDescent="0.35">
      <c r="B24" t="s">
        <v>28</v>
      </c>
      <c r="C24" s="31">
        <f>($C$28-$C$23)/5+C23</f>
        <v>4.1158099999999996E-2</v>
      </c>
      <c r="D24" s="1">
        <f t="shared" si="8"/>
        <v>51501</v>
      </c>
      <c r="E24">
        <f t="shared" si="7"/>
        <v>11.167539390321446</v>
      </c>
      <c r="F24">
        <f t="shared" si="5"/>
        <v>0.51866235403504113</v>
      </c>
      <c r="H24" s="2">
        <f t="shared" si="0"/>
        <v>4.1003301658618166E-2</v>
      </c>
      <c r="M24" s="2">
        <f t="shared" si="3"/>
        <v>4.1103301658618169E-2</v>
      </c>
      <c r="N24">
        <f t="shared" si="1"/>
        <v>0.51783259031438511</v>
      </c>
    </row>
    <row r="25" spans="1:14" x14ac:dyDescent="0.35">
      <c r="B25" t="s">
        <v>28</v>
      </c>
      <c r="C25" s="31">
        <f>($C$28-$C$23)/5+C24</f>
        <v>4.1124199999999993E-2</v>
      </c>
      <c r="D25" s="1">
        <f t="shared" si="8"/>
        <v>51866</v>
      </c>
      <c r="E25">
        <f t="shared" si="7"/>
        <v>11.694846116923738</v>
      </c>
      <c r="F25">
        <f t="shared" si="5"/>
        <v>0.49828272693122233</v>
      </c>
      <c r="H25" s="2">
        <f t="shared" si="0"/>
        <v>4.0949345784524943E-2</v>
      </c>
      <c r="M25" s="2">
        <f t="shared" si="3"/>
        <v>4.1049345784524946E-2</v>
      </c>
      <c r="N25">
        <f t="shared" si="1"/>
        <v>0.49743582077069781</v>
      </c>
    </row>
    <row r="26" spans="1:14" x14ac:dyDescent="0.35">
      <c r="B26" t="s">
        <v>28</v>
      </c>
      <c r="C26" s="31">
        <f>($C$28-$C$23)/5+C25</f>
        <v>4.1090299999999989E-2</v>
      </c>
      <c r="D26" s="1">
        <f t="shared" si="8"/>
        <v>52231</v>
      </c>
      <c r="E26">
        <f t="shared" si="7"/>
        <v>12.20004943728456</v>
      </c>
      <c r="F26">
        <f t="shared" si="5"/>
        <v>0.47875106130696871</v>
      </c>
      <c r="H26" s="2">
        <f t="shared" si="0"/>
        <v>4.0895908184682805E-2</v>
      </c>
      <c r="M26" s="2">
        <f t="shared" si="3"/>
        <v>4.0995908184682808E-2</v>
      </c>
      <c r="N26">
        <f t="shared" si="1"/>
        <v>0.47788956079332467</v>
      </c>
    </row>
    <row r="27" spans="1:14" x14ac:dyDescent="0.35">
      <c r="B27" t="s">
        <v>28</v>
      </c>
      <c r="C27" s="31">
        <f>($C$28-$C$23)/5+C26</f>
        <v>4.1056399999999986E-2</v>
      </c>
      <c r="D27" s="1">
        <f t="shared" si="8"/>
        <v>52596</v>
      </c>
      <c r="E27">
        <f t="shared" si="7"/>
        <v>12.685449818887459</v>
      </c>
      <c r="F27">
        <f t="shared" si="5"/>
        <v>0.460031536519109</v>
      </c>
      <c r="H27" s="2">
        <f t="shared" si="0"/>
        <v>4.0842770641668191E-2</v>
      </c>
      <c r="M27" s="2">
        <f t="shared" si="3"/>
        <v>4.0942770641668194E-2</v>
      </c>
      <c r="N27">
        <f t="shared" si="1"/>
        <v>0.45915780324409372</v>
      </c>
    </row>
    <row r="28" spans="1:14" x14ac:dyDescent="0.35">
      <c r="B28" t="s">
        <v>45</v>
      </c>
      <c r="C28" s="31">
        <v>4.1022499999999996E-2</v>
      </c>
      <c r="D28" s="1">
        <f t="shared" si="8"/>
        <v>52962</v>
      </c>
      <c r="E28">
        <f t="shared" si="7"/>
        <v>13.151870682302667</v>
      </c>
      <c r="F28">
        <f t="shared" si="5"/>
        <v>0.44204150964212341</v>
      </c>
      <c r="H28" s="2">
        <f t="shared" si="0"/>
        <v>4.0789636297773491E-2</v>
      </c>
      <c r="M28" s="2">
        <f t="shared" si="3"/>
        <v>4.0889636297773493E-2</v>
      </c>
      <c r="N28">
        <f t="shared" si="1"/>
        <v>0.44115770579072605</v>
      </c>
    </row>
    <row r="29" spans="1:14" x14ac:dyDescent="0.35">
      <c r="C29" s="2"/>
      <c r="D29" s="1"/>
      <c r="H29" s="2"/>
      <c r="M29" s="2"/>
    </row>
    <row r="30" spans="1:14" x14ac:dyDescent="0.35">
      <c r="M30" s="2"/>
    </row>
  </sheetData>
  <pageMargins left="0.7" right="0.7" top="0.75" bottom="0.75" header="0.3" footer="0.3"/>
  <pageSetup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22A3-37F5-4482-B5B5-0F2DF3503DE3}">
  <dimension ref="B2:K57"/>
  <sheetViews>
    <sheetView showGridLines="0" topLeftCell="A4" zoomScale="85" zoomScaleNormal="85" workbookViewId="0">
      <selection activeCell="D37" sqref="D37"/>
    </sheetView>
  </sheetViews>
  <sheetFormatPr defaultRowHeight="14.5" x14ac:dyDescent="0.35"/>
  <cols>
    <col min="1" max="1" width="10.08984375" bestFit="1" customWidth="1"/>
    <col min="2" max="2" width="17.453125" bestFit="1" customWidth="1"/>
    <col min="3" max="3" width="16.7265625" bestFit="1" customWidth="1"/>
    <col min="4" max="4" width="17.90625" bestFit="1" customWidth="1"/>
    <col min="5" max="5" width="14.81640625" bestFit="1" customWidth="1"/>
    <col min="6" max="6" width="13.81640625" bestFit="1" customWidth="1"/>
    <col min="7" max="7" width="11.81640625" bestFit="1" customWidth="1"/>
    <col min="8" max="8" width="14.26953125" bestFit="1" customWidth="1"/>
    <col min="9" max="9" width="17.7265625" bestFit="1" customWidth="1"/>
    <col min="10" max="11" width="10.08984375" bestFit="1" customWidth="1"/>
    <col min="12" max="12" width="7.90625" bestFit="1" customWidth="1"/>
    <col min="13" max="13" width="14.81640625" bestFit="1" customWidth="1"/>
    <col min="14" max="14" width="13.81640625" bestFit="1" customWidth="1"/>
    <col min="15" max="15" width="11.81640625" bestFit="1" customWidth="1"/>
    <col min="16" max="16" width="14.26953125" bestFit="1" customWidth="1"/>
    <col min="17" max="17" width="12.7265625" bestFit="1" customWidth="1"/>
  </cols>
  <sheetData>
    <row r="2" spans="2:11" x14ac:dyDescent="0.35">
      <c r="B2" t="s">
        <v>6</v>
      </c>
    </row>
    <row r="3" spans="2:11" x14ac:dyDescent="0.35">
      <c r="B3" s="4"/>
      <c r="C3" s="4" t="s">
        <v>7</v>
      </c>
      <c r="D3" s="4" t="s">
        <v>8</v>
      </c>
    </row>
    <row r="4" spans="2:11" x14ac:dyDescent="0.35">
      <c r="B4" s="4" t="s">
        <v>22</v>
      </c>
      <c r="C4" s="4" t="s">
        <v>23</v>
      </c>
      <c r="D4" s="4" t="s">
        <v>24</v>
      </c>
      <c r="H4" s="8" t="s">
        <v>21</v>
      </c>
      <c r="I4" s="16">
        <f>I57+I33</f>
        <v>-540990.89411870576</v>
      </c>
    </row>
    <row r="5" spans="2:11" x14ac:dyDescent="0.35">
      <c r="B5" s="4" t="s">
        <v>19</v>
      </c>
      <c r="C5" s="6">
        <v>10000000</v>
      </c>
      <c r="D5" s="6">
        <v>10000000</v>
      </c>
    </row>
    <row r="6" spans="2:11" x14ac:dyDescent="0.35">
      <c r="B6" s="4" t="s">
        <v>9</v>
      </c>
      <c r="C6" s="34">
        <v>4.4999999999999998E-2</v>
      </c>
      <c r="D6" s="4" t="s">
        <v>10</v>
      </c>
      <c r="I6" s="18"/>
    </row>
    <row r="7" spans="2:11" x14ac:dyDescent="0.35">
      <c r="B7" s="4" t="s">
        <v>11</v>
      </c>
      <c r="C7" s="4" t="s">
        <v>13</v>
      </c>
      <c r="D7" s="4" t="s">
        <v>13</v>
      </c>
    </row>
    <row r="8" spans="2:11" x14ac:dyDescent="0.35">
      <c r="B8" s="4" t="s">
        <v>12</v>
      </c>
      <c r="C8" s="4" t="s">
        <v>14</v>
      </c>
      <c r="D8" s="4" t="s">
        <v>14</v>
      </c>
    </row>
    <row r="9" spans="2:11" x14ac:dyDescent="0.35">
      <c r="B9" s="4" t="s">
        <v>15</v>
      </c>
      <c r="C9" s="4" t="s">
        <v>14</v>
      </c>
      <c r="D9" s="4" t="s">
        <v>16</v>
      </c>
    </row>
    <row r="11" spans="2:11" x14ac:dyDescent="0.35">
      <c r="B11" s="8" t="s">
        <v>7</v>
      </c>
    </row>
    <row r="12" spans="2:11" x14ac:dyDescent="0.35">
      <c r="B12" s="4" t="s">
        <v>25</v>
      </c>
      <c r="C12" s="4" t="s">
        <v>26</v>
      </c>
      <c r="D12" s="4" t="s">
        <v>9</v>
      </c>
      <c r="E12" s="4" t="s">
        <v>18</v>
      </c>
      <c r="F12" s="4" t="s">
        <v>19</v>
      </c>
      <c r="G12" s="4" t="s">
        <v>20</v>
      </c>
      <c r="H12" s="4" t="s">
        <v>3</v>
      </c>
      <c r="I12" s="4" t="s">
        <v>21</v>
      </c>
    </row>
    <row r="13" spans="2:11" x14ac:dyDescent="0.35">
      <c r="B13" s="33">
        <v>45657</v>
      </c>
      <c r="C13" s="33">
        <f>EDATE(B13,12)</f>
        <v>46022</v>
      </c>
      <c r="D13" s="34">
        <f>$C$6</f>
        <v>4.4999999999999998E-2</v>
      </c>
      <c r="E13" s="6">
        <f t="shared" ref="E13:E32" si="0">_xlfn.DAYS(C13,B13)/360</f>
        <v>1.0138888888888888</v>
      </c>
      <c r="F13" s="9">
        <f>$C$5</f>
        <v>10000000</v>
      </c>
      <c r="G13" s="11">
        <f t="shared" ref="G13:G32" si="1">-D13*E13*F13</f>
        <v>-456250</v>
      </c>
      <c r="H13" s="12">
        <f>Bootstrap!F9</f>
        <v>0.95937990352018643</v>
      </c>
      <c r="I13" s="9">
        <f>G13*H13</f>
        <v>-437717.08098108508</v>
      </c>
      <c r="K13" s="30"/>
    </row>
    <row r="14" spans="2:11" x14ac:dyDescent="0.35">
      <c r="B14" s="33">
        <f>C13</f>
        <v>46022</v>
      </c>
      <c r="C14" s="33">
        <f t="shared" ref="C14:C17" si="2">EDATE(B14,12)</f>
        <v>46387</v>
      </c>
      <c r="D14" s="34">
        <f>$C$6</f>
        <v>4.4999999999999998E-2</v>
      </c>
      <c r="E14" s="6">
        <f t="shared" si="0"/>
        <v>1.0138888888888888</v>
      </c>
      <c r="F14" s="9">
        <f>$C$5</f>
        <v>10000000</v>
      </c>
      <c r="G14" s="11">
        <f t="shared" si="1"/>
        <v>-456250</v>
      </c>
      <c r="H14" s="12">
        <f>Bootstrap!F10</f>
        <v>0.92208608914816836</v>
      </c>
      <c r="I14" s="9">
        <f t="shared" ref="I14:I17" si="3">G14*H14</f>
        <v>-420701.77817385184</v>
      </c>
    </row>
    <row r="15" spans="2:11" x14ac:dyDescent="0.35">
      <c r="B15" s="33">
        <f t="shared" ref="B15:B17" si="4">C14</f>
        <v>46387</v>
      </c>
      <c r="C15" s="33">
        <f t="shared" si="2"/>
        <v>46752</v>
      </c>
      <c r="D15" s="34">
        <f>$C$6</f>
        <v>4.4999999999999998E-2</v>
      </c>
      <c r="E15" s="6">
        <f t="shared" si="0"/>
        <v>1.0138888888888888</v>
      </c>
      <c r="F15" s="9">
        <f>$C$5</f>
        <v>10000000</v>
      </c>
      <c r="G15" s="11">
        <f t="shared" si="1"/>
        <v>-456250</v>
      </c>
      <c r="H15" s="12">
        <f>Bootstrap!F11</f>
        <v>0.8859901139773555</v>
      </c>
      <c r="I15" s="9">
        <f t="shared" si="3"/>
        <v>-404232.98950216844</v>
      </c>
    </row>
    <row r="16" spans="2:11" x14ac:dyDescent="0.35">
      <c r="B16" s="33">
        <f t="shared" si="4"/>
        <v>46752</v>
      </c>
      <c r="C16" s="33">
        <f t="shared" si="2"/>
        <v>47118</v>
      </c>
      <c r="D16" s="34">
        <f>$C$6</f>
        <v>4.4999999999999998E-2</v>
      </c>
      <c r="E16" s="6">
        <f t="shared" si="0"/>
        <v>1.0166666666666666</v>
      </c>
      <c r="F16" s="9">
        <f>$C$5</f>
        <v>10000000</v>
      </c>
      <c r="G16" s="11">
        <f t="shared" si="1"/>
        <v>-457500</v>
      </c>
      <c r="H16" s="12">
        <f>Bootstrap!F12</f>
        <v>0.85154338177098288</v>
      </c>
      <c r="I16" s="9">
        <f t="shared" si="3"/>
        <v>-389581.09716022469</v>
      </c>
    </row>
    <row r="17" spans="2:9" x14ac:dyDescent="0.35">
      <c r="B17" s="33">
        <f t="shared" si="4"/>
        <v>47118</v>
      </c>
      <c r="C17" s="33">
        <f t="shared" si="2"/>
        <v>47483</v>
      </c>
      <c r="D17" s="34">
        <f>$C$6</f>
        <v>4.4999999999999998E-2</v>
      </c>
      <c r="E17" s="6">
        <f t="shared" si="0"/>
        <v>1.0138888888888888</v>
      </c>
      <c r="F17" s="9">
        <f>$C$5</f>
        <v>10000000</v>
      </c>
      <c r="G17" s="11">
        <f t="shared" si="1"/>
        <v>-456250</v>
      </c>
      <c r="H17" s="12">
        <f>Bootstrap!F13</f>
        <v>0.81822073608130952</v>
      </c>
      <c r="I17" s="9">
        <f t="shared" si="3"/>
        <v>-373313.21083709749</v>
      </c>
    </row>
    <row r="18" spans="2:9" x14ac:dyDescent="0.35">
      <c r="B18" s="33">
        <f t="shared" ref="B18:B21" si="5">C17</f>
        <v>47483</v>
      </c>
      <c r="C18" s="33">
        <f t="shared" ref="C18:C21" si="6">EDATE(B18,12)</f>
        <v>47848</v>
      </c>
      <c r="D18" s="34">
        <f t="shared" ref="D18:D32" si="7">$C$6</f>
        <v>4.4999999999999998E-2</v>
      </c>
      <c r="E18" s="6">
        <f t="shared" si="0"/>
        <v>1.0138888888888888</v>
      </c>
      <c r="F18" s="9">
        <f t="shared" ref="F18:F32" si="8">$C$5</f>
        <v>10000000</v>
      </c>
      <c r="G18" s="11">
        <f t="shared" si="1"/>
        <v>-456250</v>
      </c>
      <c r="H18" s="12">
        <f>Bootstrap!F14</f>
        <v>0.7859007895748289</v>
      </c>
      <c r="I18" s="9">
        <f t="shared" ref="I18:I21" si="9">G18*H18</f>
        <v>-358567.23524351569</v>
      </c>
    </row>
    <row r="19" spans="2:9" x14ac:dyDescent="0.35">
      <c r="B19" s="33">
        <f t="shared" si="5"/>
        <v>47848</v>
      </c>
      <c r="C19" s="33">
        <f t="shared" si="6"/>
        <v>48213</v>
      </c>
      <c r="D19" s="34">
        <f t="shared" si="7"/>
        <v>4.4999999999999998E-2</v>
      </c>
      <c r="E19" s="6">
        <f t="shared" si="0"/>
        <v>1.0138888888888888</v>
      </c>
      <c r="F19" s="9">
        <f t="shared" si="8"/>
        <v>10000000</v>
      </c>
      <c r="G19" s="11">
        <f t="shared" si="1"/>
        <v>-456250</v>
      </c>
      <c r="H19" s="12">
        <f>Bootstrap!F15</f>
        <v>0.75456870108982221</v>
      </c>
      <c r="I19" s="9">
        <f t="shared" si="9"/>
        <v>-344271.96987223136</v>
      </c>
    </row>
    <row r="20" spans="2:9" x14ac:dyDescent="0.35">
      <c r="B20" s="33">
        <f t="shared" si="5"/>
        <v>48213</v>
      </c>
      <c r="C20" s="33">
        <f t="shared" si="6"/>
        <v>48579</v>
      </c>
      <c r="D20" s="34">
        <f t="shared" si="7"/>
        <v>4.4999999999999998E-2</v>
      </c>
      <c r="E20" s="6">
        <f t="shared" si="0"/>
        <v>1.0166666666666666</v>
      </c>
      <c r="F20" s="9">
        <f t="shared" si="8"/>
        <v>10000000</v>
      </c>
      <c r="G20" s="11">
        <f t="shared" si="1"/>
        <v>-457500</v>
      </c>
      <c r="H20" s="12">
        <f>Bootstrap!F16</f>
        <v>0.72431597130371395</v>
      </c>
      <c r="I20" s="9">
        <f t="shared" si="9"/>
        <v>-331374.55687144911</v>
      </c>
    </row>
    <row r="21" spans="2:9" x14ac:dyDescent="0.35">
      <c r="B21" s="33">
        <f t="shared" si="5"/>
        <v>48579</v>
      </c>
      <c r="C21" s="33">
        <f t="shared" si="6"/>
        <v>48944</v>
      </c>
      <c r="D21" s="34">
        <f t="shared" si="7"/>
        <v>4.4999999999999998E-2</v>
      </c>
      <c r="E21" s="6">
        <f t="shared" si="0"/>
        <v>1.0138888888888888</v>
      </c>
      <c r="F21" s="9">
        <f t="shared" si="8"/>
        <v>10000000</v>
      </c>
      <c r="G21" s="11">
        <f t="shared" si="1"/>
        <v>-456250</v>
      </c>
      <c r="H21" s="12">
        <f>Bootstrap!F17</f>
        <v>0.69517725162489852</v>
      </c>
      <c r="I21" s="9">
        <f t="shared" si="9"/>
        <v>-317174.62105385994</v>
      </c>
    </row>
    <row r="22" spans="2:9" x14ac:dyDescent="0.35">
      <c r="B22" s="33">
        <f t="shared" ref="B22:B25" si="10">C21</f>
        <v>48944</v>
      </c>
      <c r="C22" s="33">
        <f t="shared" ref="C22:C25" si="11">EDATE(B22,12)</f>
        <v>49309</v>
      </c>
      <c r="D22" s="34">
        <f t="shared" si="7"/>
        <v>4.4999999999999998E-2</v>
      </c>
      <c r="E22" s="6">
        <f t="shared" si="0"/>
        <v>1.0138888888888888</v>
      </c>
      <c r="F22" s="9">
        <f t="shared" si="8"/>
        <v>10000000</v>
      </c>
      <c r="G22" s="11">
        <f t="shared" si="1"/>
        <v>-456250</v>
      </c>
      <c r="H22" s="12">
        <f>Bootstrap!F18</f>
        <v>0.66690058308762312</v>
      </c>
      <c r="I22" s="9">
        <f t="shared" ref="I22:I25" si="12">G22*H22</f>
        <v>-304273.39103372802</v>
      </c>
    </row>
    <row r="23" spans="2:9" x14ac:dyDescent="0.35">
      <c r="B23" s="33">
        <f t="shared" si="10"/>
        <v>49309</v>
      </c>
      <c r="C23" s="33">
        <f t="shared" si="11"/>
        <v>49674</v>
      </c>
      <c r="D23" s="34">
        <f t="shared" si="7"/>
        <v>4.4999999999999998E-2</v>
      </c>
      <c r="E23" s="6">
        <f t="shared" si="0"/>
        <v>1.0138888888888888</v>
      </c>
      <c r="F23" s="9">
        <f t="shared" si="8"/>
        <v>10000000</v>
      </c>
      <c r="G23" s="11">
        <f t="shared" si="1"/>
        <v>-456250</v>
      </c>
      <c r="H23" s="12">
        <f>Bootstrap!F19</f>
        <v>0.63965728960667867</v>
      </c>
      <c r="I23" s="9">
        <f t="shared" si="12"/>
        <v>-291843.63838304713</v>
      </c>
    </row>
    <row r="24" spans="2:9" x14ac:dyDescent="0.35">
      <c r="B24" s="33">
        <f t="shared" si="10"/>
        <v>49674</v>
      </c>
      <c r="C24" s="33">
        <f t="shared" si="11"/>
        <v>50040</v>
      </c>
      <c r="D24" s="34">
        <f t="shared" si="7"/>
        <v>4.4999999999999998E-2</v>
      </c>
      <c r="E24" s="6">
        <f t="shared" si="0"/>
        <v>1.0166666666666666</v>
      </c>
      <c r="F24" s="9">
        <f t="shared" si="8"/>
        <v>10000000</v>
      </c>
      <c r="G24" s="11">
        <f t="shared" si="1"/>
        <v>-457500</v>
      </c>
      <c r="H24" s="12">
        <f>Bootstrap!F20</f>
        <v>0.61331418760215795</v>
      </c>
      <c r="I24" s="9">
        <f t="shared" si="12"/>
        <v>-280591.24082798726</v>
      </c>
    </row>
    <row r="25" spans="2:9" x14ac:dyDescent="0.35">
      <c r="B25" s="33">
        <f t="shared" si="10"/>
        <v>50040</v>
      </c>
      <c r="C25" s="33">
        <f t="shared" si="11"/>
        <v>50405</v>
      </c>
      <c r="D25" s="34">
        <f t="shared" si="7"/>
        <v>4.4999999999999998E-2</v>
      </c>
      <c r="E25" s="6">
        <f t="shared" si="0"/>
        <v>1.0138888888888888</v>
      </c>
      <c r="F25" s="9">
        <f t="shared" si="8"/>
        <v>10000000</v>
      </c>
      <c r="G25" s="11">
        <f t="shared" si="1"/>
        <v>-456250</v>
      </c>
      <c r="H25" s="12">
        <f>Bootstrap!F21</f>
        <v>0.58797629502304471</v>
      </c>
      <c r="I25" s="9">
        <f t="shared" si="12"/>
        <v>-268264.18460426416</v>
      </c>
    </row>
    <row r="26" spans="2:9" x14ac:dyDescent="0.35">
      <c r="B26" s="33">
        <f t="shared" ref="B26:B31" si="13">C25</f>
        <v>50405</v>
      </c>
      <c r="C26" s="33">
        <f t="shared" ref="C26:C31" si="14">EDATE(B26,12)</f>
        <v>50770</v>
      </c>
      <c r="D26" s="34">
        <f t="shared" si="7"/>
        <v>4.4999999999999998E-2</v>
      </c>
      <c r="E26" s="6">
        <f t="shared" si="0"/>
        <v>1.0138888888888888</v>
      </c>
      <c r="F26" s="9">
        <f t="shared" si="8"/>
        <v>10000000</v>
      </c>
      <c r="G26" s="11">
        <f t="shared" si="1"/>
        <v>-456250</v>
      </c>
      <c r="H26" s="12">
        <f>Bootstrap!F22</f>
        <v>0.5635436521006757</v>
      </c>
      <c r="I26" s="9">
        <f t="shared" ref="I26:I31" si="15">G26*H26</f>
        <v>-257116.79127093329</v>
      </c>
    </row>
    <row r="27" spans="2:9" x14ac:dyDescent="0.35">
      <c r="B27" s="33">
        <f t="shared" si="13"/>
        <v>50770</v>
      </c>
      <c r="C27" s="33">
        <f t="shared" si="14"/>
        <v>51135</v>
      </c>
      <c r="D27" s="34">
        <f t="shared" si="7"/>
        <v>4.4999999999999998E-2</v>
      </c>
      <c r="E27" s="6">
        <f t="shared" si="0"/>
        <v>1.0138888888888888</v>
      </c>
      <c r="F27" s="9">
        <f t="shared" si="8"/>
        <v>10000000</v>
      </c>
      <c r="G27" s="11">
        <f t="shared" si="1"/>
        <v>-456250</v>
      </c>
      <c r="H27" s="12">
        <f>Bootstrap!F23</f>
        <v>0.53998671743387905</v>
      </c>
      <c r="I27" s="9">
        <f t="shared" si="15"/>
        <v>-246368.93982920732</v>
      </c>
    </row>
    <row r="28" spans="2:9" x14ac:dyDescent="0.35">
      <c r="B28" s="33">
        <f t="shared" si="13"/>
        <v>51135</v>
      </c>
      <c r="C28" s="33">
        <f t="shared" si="14"/>
        <v>51501</v>
      </c>
      <c r="D28" s="34">
        <f t="shared" si="7"/>
        <v>4.4999999999999998E-2</v>
      </c>
      <c r="E28" s="6">
        <f t="shared" si="0"/>
        <v>1.0166666666666666</v>
      </c>
      <c r="F28" s="9">
        <f t="shared" si="8"/>
        <v>10000000</v>
      </c>
      <c r="G28" s="11">
        <f t="shared" si="1"/>
        <v>-457500</v>
      </c>
      <c r="H28" s="12">
        <f>Bootstrap!F24</f>
        <v>0.51866235403504113</v>
      </c>
      <c r="I28" s="9">
        <f t="shared" si="15"/>
        <v>-237288.02697103133</v>
      </c>
    </row>
    <row r="29" spans="2:9" x14ac:dyDescent="0.35">
      <c r="B29" s="33">
        <f t="shared" si="13"/>
        <v>51501</v>
      </c>
      <c r="C29" s="33">
        <f t="shared" si="14"/>
        <v>51866</v>
      </c>
      <c r="D29" s="34">
        <f t="shared" si="7"/>
        <v>4.4999999999999998E-2</v>
      </c>
      <c r="E29" s="6">
        <f t="shared" si="0"/>
        <v>1.0138888888888888</v>
      </c>
      <c r="F29" s="9">
        <f t="shared" si="8"/>
        <v>10000000</v>
      </c>
      <c r="G29" s="11">
        <f t="shared" si="1"/>
        <v>-456250</v>
      </c>
      <c r="H29" s="12">
        <f>Bootstrap!F25</f>
        <v>0.49828272693122233</v>
      </c>
      <c r="I29" s="9">
        <f t="shared" si="15"/>
        <v>-227341.49416237019</v>
      </c>
    </row>
    <row r="30" spans="2:9" x14ac:dyDescent="0.35">
      <c r="B30" s="33">
        <f t="shared" si="13"/>
        <v>51866</v>
      </c>
      <c r="C30" s="33">
        <f t="shared" si="14"/>
        <v>52231</v>
      </c>
      <c r="D30" s="34">
        <f t="shared" si="7"/>
        <v>4.4999999999999998E-2</v>
      </c>
      <c r="E30" s="6">
        <f t="shared" si="0"/>
        <v>1.0138888888888888</v>
      </c>
      <c r="F30" s="9">
        <f t="shared" si="8"/>
        <v>10000000</v>
      </c>
      <c r="G30" s="11">
        <f t="shared" si="1"/>
        <v>-456250</v>
      </c>
      <c r="H30" s="12">
        <f>Bootstrap!F26</f>
        <v>0.47875106130696871</v>
      </c>
      <c r="I30" s="9">
        <f t="shared" si="15"/>
        <v>-218430.17172130448</v>
      </c>
    </row>
    <row r="31" spans="2:9" x14ac:dyDescent="0.35">
      <c r="B31" s="33">
        <f t="shared" si="13"/>
        <v>52231</v>
      </c>
      <c r="C31" s="33">
        <f t="shared" si="14"/>
        <v>52596</v>
      </c>
      <c r="D31" s="34">
        <f t="shared" si="7"/>
        <v>4.4999999999999998E-2</v>
      </c>
      <c r="E31" s="6">
        <f t="shared" si="0"/>
        <v>1.0138888888888888</v>
      </c>
      <c r="F31" s="9">
        <f t="shared" si="8"/>
        <v>10000000</v>
      </c>
      <c r="G31" s="11">
        <f t="shared" si="1"/>
        <v>-456250</v>
      </c>
      <c r="H31" s="12">
        <f>Bootstrap!F27</f>
        <v>0.460031536519109</v>
      </c>
      <c r="I31" s="9">
        <f t="shared" si="15"/>
        <v>-209889.38853684347</v>
      </c>
    </row>
    <row r="32" spans="2:9" x14ac:dyDescent="0.35">
      <c r="B32" s="33">
        <f t="shared" ref="B32" si="16">C31</f>
        <v>52596</v>
      </c>
      <c r="C32" s="33">
        <f t="shared" ref="C32" si="17">EDATE(B32,12)</f>
        <v>52962</v>
      </c>
      <c r="D32" s="34">
        <f t="shared" si="7"/>
        <v>4.4999999999999998E-2</v>
      </c>
      <c r="E32" s="6">
        <f t="shared" si="0"/>
        <v>1.0166666666666666</v>
      </c>
      <c r="F32" s="9">
        <f t="shared" si="8"/>
        <v>10000000</v>
      </c>
      <c r="G32" s="11">
        <f t="shared" si="1"/>
        <v>-457500</v>
      </c>
      <c r="H32" s="12">
        <f>Bootstrap!F28</f>
        <v>0.44204150964212341</v>
      </c>
      <c r="I32" s="9">
        <f t="shared" ref="I32" si="18">G32*H32</f>
        <v>-202233.99066127147</v>
      </c>
    </row>
    <row r="33" spans="2:9" x14ac:dyDescent="0.35">
      <c r="F33" s="13"/>
      <c r="G33" s="13"/>
      <c r="I33" s="10">
        <f>SUM(I13:I32)</f>
        <v>-6120575.7976974715</v>
      </c>
    </row>
    <row r="35" spans="2:9" x14ac:dyDescent="0.35">
      <c r="B35" s="8" t="s">
        <v>8</v>
      </c>
    </row>
    <row r="36" spans="2:9" x14ac:dyDescent="0.35">
      <c r="B36" s="4" t="s">
        <v>17</v>
      </c>
      <c r="C36" s="4" t="s">
        <v>1</v>
      </c>
      <c r="D36" s="4" t="s">
        <v>9</v>
      </c>
      <c r="E36" s="4" t="s">
        <v>18</v>
      </c>
      <c r="F36" s="4" t="s">
        <v>19</v>
      </c>
      <c r="G36" s="4" t="s">
        <v>20</v>
      </c>
      <c r="H36" s="4" t="s">
        <v>3</v>
      </c>
      <c r="I36" s="4" t="s">
        <v>21</v>
      </c>
    </row>
    <row r="37" spans="2:9" x14ac:dyDescent="0.35">
      <c r="B37" s="7">
        <f t="shared" ref="B37:C41" si="19">B13</f>
        <v>45657</v>
      </c>
      <c r="C37" s="7">
        <f t="shared" si="19"/>
        <v>46022</v>
      </c>
      <c r="D37" s="5">
        <f>(Bootstrap!F3/Bootstrap!F9-1)*360/(C37-B37)</f>
        <v>4.1759950000000066E-2</v>
      </c>
      <c r="E37" s="6">
        <f t="shared" ref="E37:E56" si="20">_xlfn.DAYS(C37,B37)/360</f>
        <v>1.0138888888888888</v>
      </c>
      <c r="F37" s="9">
        <f>$D$5</f>
        <v>10000000</v>
      </c>
      <c r="G37" s="11">
        <f t="shared" ref="G37:G56" si="21">D37*E37*F37</f>
        <v>423399.49305555626</v>
      </c>
      <c r="H37" s="12">
        <f>Bootstrap!F9</f>
        <v>0.95937990352018643</v>
      </c>
      <c r="I37" s="9">
        <f>G37*H37</f>
        <v>406200.96479813539</v>
      </c>
    </row>
    <row r="38" spans="2:9" x14ac:dyDescent="0.35">
      <c r="B38" s="7">
        <f t="shared" si="19"/>
        <v>46022</v>
      </c>
      <c r="C38" s="7">
        <f t="shared" si="19"/>
        <v>46387</v>
      </c>
      <c r="D38" s="5">
        <f>(Bootstrap!F9/Bootstrap!F10-1)*360/(C38-B38)</f>
        <v>3.9891004360036238E-2</v>
      </c>
      <c r="E38" s="6">
        <f t="shared" si="20"/>
        <v>1.0138888888888888</v>
      </c>
      <c r="F38" s="9">
        <f>$D$5</f>
        <v>10000000</v>
      </c>
      <c r="G38" s="11">
        <f t="shared" si="21"/>
        <v>404450.46087258961</v>
      </c>
      <c r="H38" s="12">
        <f>Bootstrap!F10</f>
        <v>0.92208608914816836</v>
      </c>
      <c r="I38" s="9">
        <f t="shared" ref="I38:I41" si="22">G38*H38</f>
        <v>372938.14372018044</v>
      </c>
    </row>
    <row r="39" spans="2:9" x14ac:dyDescent="0.35">
      <c r="B39" s="7">
        <f t="shared" si="19"/>
        <v>46387</v>
      </c>
      <c r="C39" s="7">
        <f t="shared" si="19"/>
        <v>46752</v>
      </c>
      <c r="D39" s="5">
        <f>(Bootstrap!F10/Bootstrap!F11-1)*360/(C39-B39)</f>
        <v>4.0182739283278333E-2</v>
      </c>
      <c r="E39" s="6">
        <f t="shared" si="20"/>
        <v>1.0138888888888888</v>
      </c>
      <c r="F39" s="9">
        <f>$D$5</f>
        <v>10000000</v>
      </c>
      <c r="G39" s="11">
        <f t="shared" si="21"/>
        <v>407408.32884434971</v>
      </c>
      <c r="H39" s="12">
        <f>Bootstrap!F11</f>
        <v>0.8859901139773555</v>
      </c>
      <c r="I39" s="9">
        <f t="shared" si="22"/>
        <v>360959.7517081293</v>
      </c>
    </row>
    <row r="40" spans="2:9" x14ac:dyDescent="0.35">
      <c r="B40" s="7">
        <f t="shared" si="19"/>
        <v>46752</v>
      </c>
      <c r="C40" s="7">
        <f t="shared" si="19"/>
        <v>47118</v>
      </c>
      <c r="D40" s="5">
        <f>(Bootstrap!F11/Bootstrap!F12-1)*360/(C40-B40)</f>
        <v>3.9788967190295885E-2</v>
      </c>
      <c r="E40" s="6">
        <f t="shared" si="20"/>
        <v>1.0166666666666666</v>
      </c>
      <c r="F40" s="9">
        <f>$D$5</f>
        <v>10000000</v>
      </c>
      <c r="G40" s="11">
        <f t="shared" si="21"/>
        <v>404521.16643467476</v>
      </c>
      <c r="H40" s="12">
        <f>Bootstrap!F12</f>
        <v>0.85154338177098288</v>
      </c>
      <c r="I40" s="9">
        <f t="shared" si="22"/>
        <v>344467.32206372556</v>
      </c>
    </row>
    <row r="41" spans="2:9" x14ac:dyDescent="0.35">
      <c r="B41" s="7">
        <f t="shared" si="19"/>
        <v>47118</v>
      </c>
      <c r="C41" s="7">
        <f t="shared" si="19"/>
        <v>47483</v>
      </c>
      <c r="D41" s="5">
        <f>(Bootstrap!F12/Bootstrap!F13-1)*360/(C41-B41)</f>
        <v>4.0167854029940678E-2</v>
      </c>
      <c r="E41" s="6">
        <f t="shared" si="20"/>
        <v>1.0138888888888888</v>
      </c>
      <c r="F41" s="9">
        <f>$D$5</f>
        <v>10000000</v>
      </c>
      <c r="G41" s="11">
        <f t="shared" si="21"/>
        <v>407257.40891467634</v>
      </c>
      <c r="H41" s="12">
        <f>Bootstrap!F13</f>
        <v>0.81822073608130952</v>
      </c>
      <c r="I41" s="9">
        <f t="shared" si="22"/>
        <v>333226.45689673332</v>
      </c>
    </row>
    <row r="42" spans="2:9" x14ac:dyDescent="0.35">
      <c r="B42" s="7">
        <f t="shared" ref="B42:C42" si="23">B18</f>
        <v>47483</v>
      </c>
      <c r="C42" s="7">
        <f t="shared" si="23"/>
        <v>47848</v>
      </c>
      <c r="D42" s="5">
        <f>(Bootstrap!F13/Bootstrap!F14-1)*360/(C42-B42)</f>
        <v>4.056136338848404E-2</v>
      </c>
      <c r="E42" s="6">
        <f t="shared" si="20"/>
        <v>1.0138888888888888</v>
      </c>
      <c r="F42" s="9">
        <f t="shared" ref="F42:F56" si="24">$D$5</f>
        <v>10000000</v>
      </c>
      <c r="G42" s="11">
        <f t="shared" si="21"/>
        <v>411247.15657768538</v>
      </c>
      <c r="H42" s="12">
        <f>Bootstrap!F14</f>
        <v>0.7859007895748289</v>
      </c>
      <c r="I42" s="9">
        <f t="shared" ref="I42:I52" si="25">G42*H42</f>
        <v>323199.46506480622</v>
      </c>
    </row>
    <row r="43" spans="2:9" x14ac:dyDescent="0.35">
      <c r="B43" s="7">
        <f t="shared" ref="B43:C43" si="26">B19</f>
        <v>47848</v>
      </c>
      <c r="C43" s="7">
        <f t="shared" si="26"/>
        <v>48213</v>
      </c>
      <c r="D43" s="5">
        <f>(Bootstrap!F14/Bootstrap!F15-1)*360/(C43-B43)</f>
        <v>4.0954364723580966E-2</v>
      </c>
      <c r="E43" s="6">
        <f t="shared" si="20"/>
        <v>1.0138888888888888</v>
      </c>
      <c r="F43" s="9">
        <f t="shared" si="24"/>
        <v>10000000</v>
      </c>
      <c r="G43" s="11">
        <f t="shared" si="21"/>
        <v>415231.75344741816</v>
      </c>
      <c r="H43" s="12">
        <f>Bootstrap!F15</f>
        <v>0.75456870108982221</v>
      </c>
      <c r="I43" s="9">
        <f t="shared" si="25"/>
        <v>313320.88485006761</v>
      </c>
    </row>
    <row r="44" spans="2:9" x14ac:dyDescent="0.35">
      <c r="B44" s="7">
        <f t="shared" ref="B44:C44" si="27">B20</f>
        <v>48213</v>
      </c>
      <c r="C44" s="7">
        <f t="shared" si="27"/>
        <v>48579</v>
      </c>
      <c r="D44" s="5">
        <f>(Bootstrap!F15/Bootstrap!F16-1)*360/(C44-B44)</f>
        <v>4.1082600101461357E-2</v>
      </c>
      <c r="E44" s="6">
        <f t="shared" si="20"/>
        <v>1.0166666666666666</v>
      </c>
      <c r="F44" s="9">
        <f t="shared" si="24"/>
        <v>10000000</v>
      </c>
      <c r="G44" s="11">
        <f t="shared" si="21"/>
        <v>417673.10103152378</v>
      </c>
      <c r="H44" s="12">
        <f>Bootstrap!F16</f>
        <v>0.72431597130371395</v>
      </c>
      <c r="I44" s="9">
        <f t="shared" si="25"/>
        <v>302527.29786108242</v>
      </c>
    </row>
    <row r="45" spans="2:9" x14ac:dyDescent="0.35">
      <c r="B45" s="7">
        <f t="shared" ref="B45:C45" si="28">B21</f>
        <v>48579</v>
      </c>
      <c r="C45" s="7">
        <f t="shared" si="28"/>
        <v>48944</v>
      </c>
      <c r="D45" s="5">
        <f>(Bootstrap!F16/Bootstrap!F17-1)*360/(C45-B45)</f>
        <v>4.1341340022410869E-2</v>
      </c>
      <c r="E45" s="6">
        <f t="shared" si="20"/>
        <v>1.0138888888888888</v>
      </c>
      <c r="F45" s="9">
        <f t="shared" si="24"/>
        <v>10000000</v>
      </c>
      <c r="G45" s="11">
        <f t="shared" si="21"/>
        <v>419155.25300499907</v>
      </c>
      <c r="H45" s="12">
        <f>Bootstrap!F17</f>
        <v>0.69517725162489852</v>
      </c>
      <c r="I45" s="9">
        <f t="shared" si="25"/>
        <v>291387.19678815425</v>
      </c>
    </row>
    <row r="46" spans="2:9" x14ac:dyDescent="0.35">
      <c r="B46" s="7">
        <f t="shared" ref="B46:C46" si="29">B22</f>
        <v>48944</v>
      </c>
      <c r="C46" s="7">
        <f t="shared" si="29"/>
        <v>49309</v>
      </c>
      <c r="D46" s="5">
        <f>(Bootstrap!F17/Bootstrap!F18-1)*360/(C46-B46)</f>
        <v>4.18193020380263E-2</v>
      </c>
      <c r="E46" s="6">
        <f t="shared" si="20"/>
        <v>1.0138888888888888</v>
      </c>
      <c r="F46" s="9">
        <f t="shared" si="24"/>
        <v>10000000</v>
      </c>
      <c r="G46" s="11">
        <f t="shared" si="21"/>
        <v>424001.25677443325</v>
      </c>
      <c r="H46" s="12">
        <f>Bootstrap!F18</f>
        <v>0.66690058308762312</v>
      </c>
      <c r="I46" s="9">
        <f t="shared" si="25"/>
        <v>282766.68537275452</v>
      </c>
    </row>
    <row r="47" spans="2:9" x14ac:dyDescent="0.35">
      <c r="B47" s="7">
        <f t="shared" ref="B47:C47" si="30">B23</f>
        <v>49309</v>
      </c>
      <c r="C47" s="7">
        <f t="shared" si="30"/>
        <v>49674</v>
      </c>
      <c r="D47" s="5">
        <f>(Bootstrap!F18/Bootstrap!F19-1)*360/(C47-B47)</f>
        <v>4.2007021754348901E-2</v>
      </c>
      <c r="E47" s="6">
        <f t="shared" si="20"/>
        <v>1.0138888888888888</v>
      </c>
      <c r="F47" s="9">
        <f t="shared" si="24"/>
        <v>10000000</v>
      </c>
      <c r="G47" s="11">
        <f t="shared" si="21"/>
        <v>425904.5261204819</v>
      </c>
      <c r="H47" s="12">
        <f>Bootstrap!F19</f>
        <v>0.63965728960667867</v>
      </c>
      <c r="I47" s="9">
        <f t="shared" si="25"/>
        <v>272432.93480944436</v>
      </c>
    </row>
    <row r="48" spans="2:9" x14ac:dyDescent="0.35">
      <c r="B48" s="7">
        <f t="shared" ref="B48:C48" si="31">B24</f>
        <v>49674</v>
      </c>
      <c r="C48" s="7">
        <f t="shared" si="31"/>
        <v>50040</v>
      </c>
      <c r="D48" s="5">
        <f>(Bootstrap!F19/Bootstrap!F20-1)*360/(C48-B48)</f>
        <v>4.2247918598790103E-2</v>
      </c>
      <c r="E48" s="6">
        <f t="shared" si="20"/>
        <v>1.0166666666666666</v>
      </c>
      <c r="F48" s="9">
        <f t="shared" si="24"/>
        <v>10000000</v>
      </c>
      <c r="G48" s="11">
        <f t="shared" si="21"/>
        <v>429520.50575436599</v>
      </c>
      <c r="H48" s="12">
        <f>Bootstrap!F20</f>
        <v>0.61331418760215795</v>
      </c>
      <c r="I48" s="9">
        <f t="shared" si="25"/>
        <v>263431.020045207</v>
      </c>
    </row>
    <row r="49" spans="2:9" x14ac:dyDescent="0.35">
      <c r="B49" s="7">
        <f t="shared" ref="B49:C49" si="32">B25</f>
        <v>50040</v>
      </c>
      <c r="C49" s="7">
        <f t="shared" si="32"/>
        <v>50405</v>
      </c>
      <c r="D49" s="5">
        <f>(Bootstrap!F20/Bootstrap!F21-1)*360/(C49-B49)</f>
        <v>4.2503070909077678E-2</v>
      </c>
      <c r="E49" s="6">
        <f t="shared" si="20"/>
        <v>1.0138888888888888</v>
      </c>
      <c r="F49" s="9">
        <f t="shared" si="24"/>
        <v>10000000</v>
      </c>
      <c r="G49" s="11">
        <f t="shared" si="21"/>
        <v>430933.91338370426</v>
      </c>
      <c r="H49" s="12">
        <f>Bootstrap!F21</f>
        <v>0.58797629502304471</v>
      </c>
      <c r="I49" s="9">
        <f t="shared" si="25"/>
        <v>253378.92579113209</v>
      </c>
    </row>
    <row r="50" spans="2:9" x14ac:dyDescent="0.35">
      <c r="B50" s="7">
        <f t="shared" ref="B50:C50" si="33">B26</f>
        <v>50405</v>
      </c>
      <c r="C50" s="7">
        <f t="shared" si="33"/>
        <v>50770</v>
      </c>
      <c r="D50" s="5">
        <f>(Bootstrap!F21/Bootstrap!F22-1)*360/(C50-B50)</f>
        <v>4.2761459726994425E-2</v>
      </c>
      <c r="E50" s="6">
        <f t="shared" si="20"/>
        <v>1.0138888888888888</v>
      </c>
      <c r="F50" s="9">
        <f t="shared" si="24"/>
        <v>10000000</v>
      </c>
      <c r="G50" s="11">
        <f t="shared" si="21"/>
        <v>433553.68889869342</v>
      </c>
      <c r="H50" s="12">
        <f>Bootstrap!F22</f>
        <v>0.5635436521006757</v>
      </c>
      <c r="I50" s="9">
        <f t="shared" si="25"/>
        <v>244326.42922368986</v>
      </c>
    </row>
    <row r="51" spans="2:9" x14ac:dyDescent="0.35">
      <c r="B51" s="7">
        <f t="shared" ref="B51:C51" si="34">B27</f>
        <v>50770</v>
      </c>
      <c r="C51" s="7">
        <f t="shared" si="34"/>
        <v>51135</v>
      </c>
      <c r="D51" s="5">
        <f>(Bootstrap!F22/Bootstrap!F23-1)*360/(C51-B51)</f>
        <v>4.302742304856802E-2</v>
      </c>
      <c r="E51" s="6">
        <f t="shared" si="20"/>
        <v>1.0138888888888888</v>
      </c>
      <c r="F51" s="9">
        <f t="shared" si="24"/>
        <v>10000000</v>
      </c>
      <c r="G51" s="11">
        <f t="shared" si="21"/>
        <v>436250.26146464795</v>
      </c>
      <c r="H51" s="12">
        <f>Bootstrap!F23</f>
        <v>0.53998671743387905</v>
      </c>
      <c r="I51" s="9">
        <f t="shared" si="25"/>
        <v>235569.34666796672</v>
      </c>
    </row>
    <row r="52" spans="2:9" x14ac:dyDescent="0.35">
      <c r="B52" s="7">
        <f t="shared" ref="B52:C52" si="35">B28</f>
        <v>51135</v>
      </c>
      <c r="C52" s="7">
        <f t="shared" si="35"/>
        <v>51501</v>
      </c>
      <c r="D52" s="5">
        <f>(Bootstrap!F23/Bootstrap!F24-1)*360/(C52-B52)</f>
        <v>4.0440150529164963E-2</v>
      </c>
      <c r="E52" s="6">
        <f t="shared" si="20"/>
        <v>1.0166666666666666</v>
      </c>
      <c r="F52" s="9">
        <f t="shared" si="24"/>
        <v>10000000</v>
      </c>
      <c r="G52" s="11">
        <f t="shared" si="21"/>
        <v>411141.53037984378</v>
      </c>
      <c r="H52" s="12">
        <f>Bootstrap!F24</f>
        <v>0.51866235403504113</v>
      </c>
      <c r="I52" s="9">
        <f t="shared" si="25"/>
        <v>213243.63398837915</v>
      </c>
    </row>
    <row r="53" spans="2:9" x14ac:dyDescent="0.35">
      <c r="B53" s="7">
        <f t="shared" ref="B53:C53" si="36">B29</f>
        <v>51501</v>
      </c>
      <c r="C53" s="7">
        <f t="shared" si="36"/>
        <v>51866</v>
      </c>
      <c r="D53" s="5">
        <f>(Bootstrap!F24/Bootstrap!F25-1)*360/(C53-B53)</f>
        <v>4.0339455982322893E-2</v>
      </c>
      <c r="E53" s="6">
        <f t="shared" si="20"/>
        <v>1.0138888888888888</v>
      </c>
      <c r="F53" s="9">
        <f t="shared" si="24"/>
        <v>10000000</v>
      </c>
      <c r="G53" s="11">
        <f t="shared" si="21"/>
        <v>408997.26204299595</v>
      </c>
      <c r="H53" s="12">
        <f>Bootstrap!F25</f>
        <v>0.49828272693122233</v>
      </c>
      <c r="I53" s="9">
        <f t="shared" ref="I53:I56" si="37">G53*H53</f>
        <v>203796.27103818773</v>
      </c>
    </row>
    <row r="54" spans="2:9" x14ac:dyDescent="0.35">
      <c r="B54" s="7">
        <f t="shared" ref="B54:C54" si="38">B30</f>
        <v>51866</v>
      </c>
      <c r="C54" s="7">
        <f t="shared" si="38"/>
        <v>52231</v>
      </c>
      <c r="D54" s="5">
        <f>(Bootstrap!F25/Bootstrap!F26-1)*360/(C54-B54)</f>
        <v>4.0238257662171074E-2</v>
      </c>
      <c r="E54" s="6">
        <f t="shared" si="20"/>
        <v>1.0138888888888888</v>
      </c>
      <c r="F54" s="9">
        <f t="shared" si="24"/>
        <v>10000000</v>
      </c>
      <c r="G54" s="11">
        <f t="shared" si="21"/>
        <v>407971.22351923445</v>
      </c>
      <c r="H54" s="12">
        <f>Bootstrap!F26</f>
        <v>0.47875106130696871</v>
      </c>
      <c r="I54" s="9">
        <f t="shared" si="37"/>
        <v>195316.65624253606</v>
      </c>
    </row>
    <row r="55" spans="2:9" x14ac:dyDescent="0.35">
      <c r="B55" s="7">
        <f t="shared" ref="B55:C55" si="39">B31</f>
        <v>52231</v>
      </c>
      <c r="C55" s="7">
        <f t="shared" si="39"/>
        <v>52596</v>
      </c>
      <c r="D55" s="5">
        <f>(Bootstrap!F26/Bootstrap!F27-1)*360/(C55-B55)</f>
        <v>4.0134407047730185E-2</v>
      </c>
      <c r="E55" s="6">
        <f t="shared" si="20"/>
        <v>1.0138888888888888</v>
      </c>
      <c r="F55" s="9">
        <f t="shared" si="24"/>
        <v>10000000</v>
      </c>
      <c r="G55" s="11">
        <f t="shared" si="21"/>
        <v>406918.29367837543</v>
      </c>
      <c r="H55" s="12">
        <f>Bootstrap!F27</f>
        <v>0.460031536519109</v>
      </c>
      <c r="I55" s="9">
        <f t="shared" si="37"/>
        <v>187195.24787859709</v>
      </c>
    </row>
    <row r="56" spans="2:9" x14ac:dyDescent="0.35">
      <c r="B56" s="7">
        <f t="shared" ref="B56:C56" si="40">B32</f>
        <v>52596</v>
      </c>
      <c r="C56" s="7">
        <f t="shared" si="40"/>
        <v>52962</v>
      </c>
      <c r="D56" s="5">
        <f>(Bootstrap!F27/Bootstrap!F28-1)*360/(C56-B56)</f>
        <v>4.0030422522804074E-2</v>
      </c>
      <c r="E56" s="6">
        <f t="shared" si="20"/>
        <v>1.0166666666666666</v>
      </c>
      <c r="F56" s="9">
        <f t="shared" si="24"/>
        <v>10000000</v>
      </c>
      <c r="G56" s="11">
        <f t="shared" si="21"/>
        <v>406975.96231517475</v>
      </c>
      <c r="H56" s="12">
        <f>Bootstrap!F28</f>
        <v>0.44204150964212341</v>
      </c>
      <c r="I56" s="9">
        <f t="shared" si="37"/>
        <v>179900.26876985579</v>
      </c>
    </row>
    <row r="57" spans="2:9" x14ac:dyDescent="0.35">
      <c r="I57" s="10">
        <f>SUM(I37:I56)</f>
        <v>5579584.9035787657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30B4-6112-4454-9D0C-33AE1FC5328B}">
  <dimension ref="B3:E21"/>
  <sheetViews>
    <sheetView topLeftCell="A4" zoomScale="145" zoomScaleNormal="145" workbookViewId="0">
      <selection activeCell="C10" sqref="C10"/>
    </sheetView>
  </sheetViews>
  <sheetFormatPr defaultRowHeight="14.5" x14ac:dyDescent="0.35"/>
  <cols>
    <col min="2" max="2" width="30.453125" bestFit="1" customWidth="1"/>
    <col min="3" max="3" width="11.81640625" bestFit="1" customWidth="1"/>
    <col min="5" max="5" width="11.81640625" bestFit="1" customWidth="1"/>
  </cols>
  <sheetData>
    <row r="3" spans="2:5" x14ac:dyDescent="0.35">
      <c r="B3" t="s">
        <v>0</v>
      </c>
      <c r="C3" t="s">
        <v>47</v>
      </c>
    </row>
    <row r="4" spans="2:5" x14ac:dyDescent="0.35">
      <c r="B4" s="19" t="s">
        <v>29</v>
      </c>
      <c r="C4" s="22">
        <v>0</v>
      </c>
      <c r="E4" s="18"/>
    </row>
    <row r="5" spans="2:5" x14ac:dyDescent="0.35">
      <c r="B5" s="20" t="s">
        <v>30</v>
      </c>
      <c r="C5" s="23">
        <v>0</v>
      </c>
      <c r="E5" s="18"/>
    </row>
    <row r="6" spans="2:5" x14ac:dyDescent="0.35">
      <c r="B6" s="20" t="s">
        <v>31</v>
      </c>
      <c r="C6" s="23">
        <v>0</v>
      </c>
      <c r="E6" s="18"/>
    </row>
    <row r="7" spans="2:5" x14ac:dyDescent="0.35">
      <c r="B7" s="20" t="s">
        <v>32</v>
      </c>
      <c r="C7" s="23">
        <v>0</v>
      </c>
      <c r="E7" s="18"/>
    </row>
    <row r="8" spans="2:5" x14ac:dyDescent="0.35">
      <c r="B8" s="20" t="s">
        <v>33</v>
      </c>
      <c r="C8" s="23">
        <v>0</v>
      </c>
      <c r="E8" s="18"/>
    </row>
    <row r="9" spans="2:5" x14ac:dyDescent="0.35">
      <c r="B9" s="20" t="s">
        <v>41</v>
      </c>
      <c r="C9" s="23">
        <v>1.7405353970825672</v>
      </c>
      <c r="E9" s="18"/>
    </row>
    <row r="10" spans="2:5" x14ac:dyDescent="0.35">
      <c r="B10" s="20" t="s">
        <v>34</v>
      </c>
      <c r="C10" s="23">
        <v>3.5579345989972353</v>
      </c>
      <c r="E10" s="18"/>
    </row>
    <row r="11" spans="2:5" x14ac:dyDescent="0.35">
      <c r="B11" s="20" t="s">
        <v>35</v>
      </c>
      <c r="C11" s="23">
        <v>5.4501015888527036</v>
      </c>
      <c r="E11" s="18"/>
    </row>
    <row r="12" spans="2:5" x14ac:dyDescent="0.35">
      <c r="B12" s="20" t="s">
        <v>42</v>
      </c>
      <c r="C12" s="23">
        <v>7.4458299716934562</v>
      </c>
      <c r="E12" s="18"/>
    </row>
    <row r="13" spans="2:5" x14ac:dyDescent="0.35">
      <c r="B13" s="20" t="s">
        <v>36</v>
      </c>
      <c r="C13" s="23">
        <v>9.4774472927674651</v>
      </c>
      <c r="E13" s="18"/>
    </row>
    <row r="14" spans="2:5" x14ac:dyDescent="0.35">
      <c r="B14" s="20" t="s">
        <v>37</v>
      </c>
      <c r="C14" s="23">
        <v>11.611921488307416</v>
      </c>
      <c r="E14" s="18"/>
    </row>
    <row r="15" spans="2:5" x14ac:dyDescent="0.35">
      <c r="B15" s="20" t="s">
        <v>38</v>
      </c>
      <c r="C15" s="23">
        <v>13.833182211965322</v>
      </c>
      <c r="E15" s="18"/>
    </row>
    <row r="16" spans="2:5" x14ac:dyDescent="0.35">
      <c r="B16" s="20" t="s">
        <v>39</v>
      </c>
      <c r="C16" s="23">
        <v>16.194220420904458</v>
      </c>
      <c r="E16" s="18"/>
    </row>
    <row r="17" spans="2:5" x14ac:dyDescent="0.35">
      <c r="B17" s="20" t="s">
        <v>40</v>
      </c>
      <c r="C17" s="23">
        <v>18.558805639855564</v>
      </c>
      <c r="E17" s="18"/>
    </row>
    <row r="18" spans="2:5" x14ac:dyDescent="0.35">
      <c r="B18" s="20" t="s">
        <v>43</v>
      </c>
      <c r="C18" s="23">
        <v>21.064210397191346</v>
      </c>
      <c r="E18" s="18"/>
    </row>
    <row r="19" spans="2:5" x14ac:dyDescent="0.35">
      <c r="B19" s="20" t="s">
        <v>44</v>
      </c>
      <c r="C19" s="23">
        <v>23.672734092921019</v>
      </c>
      <c r="E19" s="18"/>
    </row>
    <row r="20" spans="2:5" x14ac:dyDescent="0.35">
      <c r="B20" s="21" t="s">
        <v>45</v>
      </c>
      <c r="C20" s="24">
        <v>26.46566057857126</v>
      </c>
      <c r="E20" s="18"/>
    </row>
    <row r="21" spans="2:5" x14ac:dyDescent="0.35">
      <c r="C21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BEE9-3481-4E16-AFF9-CCF4D01703A8}">
  <dimension ref="B2:N16"/>
  <sheetViews>
    <sheetView zoomScale="85" zoomScaleNormal="85" workbookViewId="0">
      <selection activeCell="H6" sqref="H1:H1048576"/>
    </sheetView>
  </sheetViews>
  <sheetFormatPr defaultRowHeight="14.5" x14ac:dyDescent="0.35"/>
  <cols>
    <col min="2" max="2" width="13.36328125" bestFit="1" customWidth="1"/>
    <col min="3" max="3" width="10.54296875" bestFit="1" customWidth="1"/>
    <col min="4" max="4" width="9.26953125" bestFit="1" customWidth="1"/>
    <col min="5" max="5" width="10.54296875" bestFit="1" customWidth="1"/>
    <col min="6" max="6" width="14.6328125" bestFit="1" customWidth="1"/>
    <col min="7" max="7" width="18.26953125" bestFit="1" customWidth="1"/>
    <col min="8" max="9" width="11.81640625" bestFit="1" customWidth="1"/>
    <col min="10" max="10" width="32.6328125" bestFit="1" customWidth="1"/>
    <col min="11" max="11" width="33.6328125" bestFit="1" customWidth="1"/>
    <col min="12" max="12" width="28.36328125" bestFit="1" customWidth="1"/>
    <col min="13" max="13" width="11.81640625" bestFit="1" customWidth="1"/>
  </cols>
  <sheetData>
    <row r="2" spans="2:14" x14ac:dyDescent="0.35">
      <c r="B2" t="s">
        <v>49</v>
      </c>
      <c r="C2" s="14">
        <v>45657</v>
      </c>
    </row>
    <row r="4" spans="2:14" x14ac:dyDescent="0.35">
      <c r="C4" s="8" t="s">
        <v>50</v>
      </c>
      <c r="D4" s="8" t="s">
        <v>61</v>
      </c>
      <c r="E4" s="8"/>
      <c r="F4" s="25" t="s">
        <v>18</v>
      </c>
      <c r="G4" s="8" t="s">
        <v>3</v>
      </c>
      <c r="H4" s="8" t="s">
        <v>62</v>
      </c>
      <c r="I4" s="8" t="s">
        <v>63</v>
      </c>
      <c r="J4" s="8" t="s">
        <v>66</v>
      </c>
      <c r="K4" s="8" t="s">
        <v>65</v>
      </c>
      <c r="L4" s="8" t="s">
        <v>64</v>
      </c>
      <c r="M4" s="8" t="s">
        <v>67</v>
      </c>
      <c r="N4" s="8" t="s">
        <v>48</v>
      </c>
    </row>
    <row r="5" spans="2:14" x14ac:dyDescent="0.35">
      <c r="C5" s="8"/>
      <c r="D5" s="8"/>
      <c r="E5" s="14">
        <f>C2</f>
        <v>45657</v>
      </c>
      <c r="F5" s="25"/>
      <c r="G5" s="8"/>
      <c r="H5" s="8"/>
      <c r="I5" s="8"/>
      <c r="J5" s="8"/>
      <c r="K5" s="8"/>
      <c r="L5" s="8"/>
      <c r="M5" s="8"/>
      <c r="N5">
        <v>0</v>
      </c>
    </row>
    <row r="6" spans="2:14" x14ac:dyDescent="0.35">
      <c r="B6" s="8" t="s">
        <v>51</v>
      </c>
      <c r="C6" s="31">
        <v>8.0586000000000004E-4</v>
      </c>
      <c r="D6" s="2">
        <v>0.4</v>
      </c>
      <c r="E6" s="14">
        <v>45828</v>
      </c>
      <c r="F6">
        <f>YEARFRAC($C$2, E6, 2)</f>
        <v>0.47499999999999998</v>
      </c>
      <c r="G6">
        <f>EXP(LN(_xlfn.XLOOKUP(E6,Bootstrap!$D$4:$D$28,Bootstrap!$F$4:$F$28,,-1))+(E6-_xlfn.XLOOKUP(E6,Bootstrap!$D$4:$D$28,Bootstrap!$D$4:$D$28,,-1))/(_xlfn.XLOOKUP(E6,Bootstrap!$D$4:$D$28,Bootstrap!$D$4:$D$28,,1)-_xlfn.XLOOKUP(E6,Bootstrap!$D$4:$D$28,Bootstrap!$D$4:$D$28,,-1))*(LN(_xlfn.XLOOKUP(E6,Bootstrap!$D$4:$D$28,Bootstrap!$F$4:$F$28,,1))-LN(_xlfn.XLOOKUP(E6,Bootstrap!$D$4:$D$28,Bootstrap!$F$4:$F$28,,-1))))</f>
        <v>0.98018928290897234</v>
      </c>
      <c r="H6">
        <v>0</v>
      </c>
      <c r="I6">
        <f>1-H6</f>
        <v>1</v>
      </c>
      <c r="J6">
        <v>0</v>
      </c>
      <c r="K6">
        <v>0</v>
      </c>
      <c r="L6">
        <v>0</v>
      </c>
      <c r="M6">
        <f xml:space="preserve"> ( C6*(J6 + 0.5*L6 + G6*F6*I6) - (1-$D$6)*K6 ) /
  ( G6 * ( (1-$D$6) + 0.5*C6*F6 ) )</f>
        <v>6.3776906043904445E-4</v>
      </c>
      <c r="N6">
        <f>SUM($M$6:M6)</f>
        <v>6.3776906043904445E-4</v>
      </c>
    </row>
    <row r="7" spans="2:14" x14ac:dyDescent="0.35">
      <c r="B7" s="8" t="s">
        <v>52</v>
      </c>
      <c r="C7" s="31">
        <v>1.1837200000000001E-3</v>
      </c>
      <c r="D7" s="2">
        <v>0.4</v>
      </c>
      <c r="E7" s="14">
        <v>46011</v>
      </c>
      <c r="F7">
        <f t="shared" ref="F7:F15" si="0">YEARFRAC($C$2, E7, 2)</f>
        <v>0.98333333333333328</v>
      </c>
      <c r="G7">
        <f>EXP(LN(_xlfn.XLOOKUP(E7,Bootstrap!$D$4:$D$28,Bootstrap!$F$4:$F$28,,-1))+(E7-_xlfn.XLOOKUP(E7,Bootstrap!$D$4:$D$28,Bootstrap!$D$4:$D$28,,-1))/(_xlfn.XLOOKUP(E7,Bootstrap!$D$4:$D$28,Bootstrap!$D$4:$D$28,,1)-_xlfn.XLOOKUP(E7,Bootstrap!$D$4:$D$28,Bootstrap!$D$4:$D$28,,-1))*(LN(_xlfn.XLOOKUP(E7,Bootstrap!$D$4:$D$28,Bootstrap!$F$4:$F$28,,1))-LN(_xlfn.XLOOKUP(E7,Bootstrap!$D$4:$D$28,Bootstrap!$F$4:$F$28,,-1))))</f>
        <v>0.96051044683924369</v>
      </c>
      <c r="H7">
        <f t="shared" ref="H7:H15" si="1">H6+M6</f>
        <v>6.3776906043904445E-4</v>
      </c>
      <c r="I7">
        <f>1-H7</f>
        <v>0.999362230939561</v>
      </c>
      <c r="J7">
        <f>J6+G6*F6*I6</f>
        <v>0.46558990938176181</v>
      </c>
      <c r="K7">
        <f>K6+G6*M6</f>
        <v>6.2513439801327605E-4</v>
      </c>
      <c r="L7">
        <f>L6+G6*F6*M6</f>
        <v>2.9693883905630605E-4</v>
      </c>
      <c r="M7">
        <f xml:space="preserve"> ( C7*(J7 + 0.5*L7 + G7*F7*I7) - (1-$D$6)*K7 ) /
  ( G7 * ( (1-$D$6) + 0.5*C7*F7 ) )</f>
        <v>2.2423536844973536E-3</v>
      </c>
      <c r="N7">
        <f>SUM($M$6:M7)</f>
        <v>2.8801227449363979E-3</v>
      </c>
    </row>
    <row r="8" spans="2:14" x14ac:dyDescent="0.35">
      <c r="B8" s="8" t="s">
        <v>53</v>
      </c>
      <c r="C8" s="31">
        <v>1.7348299999999999E-3</v>
      </c>
      <c r="D8" s="2">
        <v>0.4</v>
      </c>
      <c r="E8" s="14">
        <v>46376</v>
      </c>
      <c r="F8">
        <f t="shared" si="0"/>
        <v>1.9972222222222222</v>
      </c>
      <c r="G8">
        <f>EXP(LN(_xlfn.XLOOKUP(E8,Bootstrap!$D$4:$D$28,Bootstrap!$F$4:$F$28,,-1))+(E8-_xlfn.XLOOKUP(E8,Bootstrap!$D$4:$D$28,Bootstrap!$D$4:$D$28,,-1))/(_xlfn.XLOOKUP(E8,Bootstrap!$D$4:$D$28,Bootstrap!$D$4:$D$28,,1)-_xlfn.XLOOKUP(E8,Bootstrap!$D$4:$D$28,Bootstrap!$D$4:$D$28,,-1))*(LN(_xlfn.XLOOKUP(E8,Bootstrap!$D$4:$D$28,Bootstrap!$F$4:$F$28,,1))-LN(_xlfn.XLOOKUP(E8,Bootstrap!$D$4:$D$28,Bootstrap!$F$4:$F$28,,-1))))</f>
        <v>0.92318853710909865</v>
      </c>
      <c r="H8">
        <f t="shared" si="1"/>
        <v>2.8801227449363979E-3</v>
      </c>
      <c r="I8">
        <f t="shared" ref="I8:I15" si="2">1-H8</f>
        <v>0.99711987725506357</v>
      </c>
      <c r="J8">
        <f>J7+G7*F7*I7</f>
        <v>1.4094894746592159</v>
      </c>
      <c r="K8">
        <f>K7+G7*M7</f>
        <v>2.7789385374814533E-3</v>
      </c>
      <c r="L8">
        <f>L7+G7*F7*M7</f>
        <v>2.4148462428666808E-3</v>
      </c>
      <c r="M8">
        <f xml:space="preserve"> ( C8*(J8 + 0.5*L8 + G8*F8*I8) - (1-$D$6)*K8 ) /
  ( G8 * ( (1-$D$6) + 0.5*C8*F8 ) )</f>
        <v>7.1455552056620781E-3</v>
      </c>
      <c r="N8">
        <f>SUM($M$6:M8)</f>
        <v>1.0025677950598475E-2</v>
      </c>
    </row>
    <row r="9" spans="2:14" x14ac:dyDescent="0.35">
      <c r="B9" s="8" t="s">
        <v>54</v>
      </c>
      <c r="C9" s="31">
        <v>2.42107E-3</v>
      </c>
      <c r="D9" s="2">
        <v>0.4</v>
      </c>
      <c r="E9" s="14">
        <v>46741</v>
      </c>
      <c r="F9">
        <f t="shared" si="0"/>
        <v>3.0111111111111111</v>
      </c>
      <c r="G9">
        <f>EXP(LN(_xlfn.XLOOKUP(E9,Bootstrap!$D$4:$D$28,Bootstrap!$F$4:$F$28,,-1))+(E9-_xlfn.XLOOKUP(E9,Bootstrap!$D$4:$D$28,Bootstrap!$D$4:$D$28,,-1))/(_xlfn.XLOOKUP(E9,Bootstrap!$D$4:$D$28,Bootstrap!$D$4:$D$28,,1)-_xlfn.XLOOKUP(E9,Bootstrap!$D$4:$D$28,Bootstrap!$D$4:$D$28,,-1))*(LN(_xlfn.XLOOKUP(E9,Bootstrap!$D$4:$D$28,Bootstrap!$F$4:$F$28,,1))-LN(_xlfn.XLOOKUP(E9,Bootstrap!$D$4:$D$28,Bootstrap!$F$4:$F$28,,-1))))</f>
        <v>0.88705700436042478</v>
      </c>
      <c r="H9">
        <f t="shared" si="1"/>
        <v>1.0025677950598475E-2</v>
      </c>
      <c r="I9">
        <f t="shared" si="2"/>
        <v>0.9899743220494015</v>
      </c>
      <c r="J9">
        <f>J8+G8*F8*I8</f>
        <v>3.247991729490213</v>
      </c>
      <c r="K9">
        <f>K8+G8*M8</f>
        <v>9.3756331946289323E-3</v>
      </c>
      <c r="L9">
        <f>L8+G8*F8*M8</f>
        <v>1.5589911405336228E-2</v>
      </c>
      <c r="M9">
        <f xml:space="preserve"> ( C9*(J9 + 0.5*L9 + G9*F9*I9) - (1-$D$6)*K9 ) /
  ( G9 * ( (1-$D$6) + 0.5*C9*F9 ) )</f>
        <v>1.6170947228170831E-2</v>
      </c>
      <c r="N9">
        <f>SUM($M$6:M9)</f>
        <v>2.6196625178769306E-2</v>
      </c>
    </row>
    <row r="10" spans="2:14" x14ac:dyDescent="0.35">
      <c r="B10" s="8" t="s">
        <v>55</v>
      </c>
      <c r="C10" s="31">
        <v>3.1421399999999999E-3</v>
      </c>
      <c r="D10" s="2">
        <v>0.4</v>
      </c>
      <c r="E10" s="14">
        <v>47107</v>
      </c>
      <c r="F10">
        <f t="shared" si="0"/>
        <v>4.0277777777777777</v>
      </c>
      <c r="G10">
        <f>EXP(LN(_xlfn.XLOOKUP(E10,Bootstrap!$D$4:$D$28,Bootstrap!$F$4:$F$28,,-1))+(E10-_xlfn.XLOOKUP(E10,Bootstrap!$D$4:$D$28,Bootstrap!$D$4:$D$28,,-1))/(_xlfn.XLOOKUP(E10,Bootstrap!$D$4:$D$28,Bootstrap!$D$4:$D$28,,1)-_xlfn.XLOOKUP(E10,Bootstrap!$D$4:$D$28,Bootstrap!$D$4:$D$28,,-1))*(LN(_xlfn.XLOOKUP(E10,Bootstrap!$D$4:$D$28,Bootstrap!$F$4:$F$28,,1))-LN(_xlfn.XLOOKUP(E10,Bootstrap!$D$4:$D$28,Bootstrap!$F$4:$F$28,,-1))))</f>
        <v>0.85255887948816511</v>
      </c>
      <c r="H10">
        <f t="shared" si="1"/>
        <v>2.6196625178769306E-2</v>
      </c>
      <c r="I10">
        <f t="shared" si="2"/>
        <v>0.97380337482123069</v>
      </c>
      <c r="J10">
        <f>J9+G9*F9*I9</f>
        <v>5.8922400729840989</v>
      </c>
      <c r="K10">
        <f>K9+G9*M9</f>
        <v>2.3720185200520664E-2</v>
      </c>
      <c r="L10">
        <f>L9+G9*F9*M9</f>
        <v>5.8782951334188004E-2</v>
      </c>
      <c r="M10">
        <f xml:space="preserve"> ( C10*(J10 + 0.5*L10 + G10*F10*I10) - (1-$D$6)*K10 ) /
  ( G10 * ( (1-$D$6) + 0.5*C10*F10 ) )</f>
        <v>2.8788558384510537E-2</v>
      </c>
      <c r="N10">
        <f>SUM($M$6:M10)</f>
        <v>5.4985183563279846E-2</v>
      </c>
    </row>
    <row r="11" spans="2:14" x14ac:dyDescent="0.35">
      <c r="B11" s="8" t="s">
        <v>56</v>
      </c>
      <c r="C11" s="31">
        <v>3.8564900000000002E-3</v>
      </c>
      <c r="D11" s="2">
        <v>0.4</v>
      </c>
      <c r="E11" s="14">
        <v>47472</v>
      </c>
      <c r="F11">
        <f t="shared" si="0"/>
        <v>5.041666666666667</v>
      </c>
      <c r="G11">
        <f>EXP(LN(_xlfn.XLOOKUP(E11,Bootstrap!$D$4:$D$28,Bootstrap!$F$4:$F$28,,-1))+(E11-_xlfn.XLOOKUP(E11,Bootstrap!$D$4:$D$28,Bootstrap!$D$4:$D$28,,-1))/(_xlfn.XLOOKUP(E11,Bootstrap!$D$4:$D$28,Bootstrap!$D$4:$D$28,,1)-_xlfn.XLOOKUP(E11,Bootstrap!$D$4:$D$28,Bootstrap!$D$4:$D$28,,-1))*(LN(_xlfn.XLOOKUP(E11,Bootstrap!$D$4:$D$28,Bootstrap!$F$4:$F$28,,1))-LN(_xlfn.XLOOKUP(E11,Bootstrap!$D$4:$D$28,Bootstrap!$F$4:$F$28,,-1))))</f>
        <v>0.8192056620121092</v>
      </c>
      <c r="H11">
        <f t="shared" si="1"/>
        <v>5.4985183563279846E-2</v>
      </c>
      <c r="I11">
        <f t="shared" si="2"/>
        <v>0.94501481643672014</v>
      </c>
      <c r="J11">
        <f>J10+G10*F10*I10</f>
        <v>9.2362007269149444</v>
      </c>
      <c r="K11">
        <f>K10+G10*M10</f>
        <v>4.8264126278898589E-2</v>
      </c>
      <c r="L11">
        <f>L10+G10*F10*M10</f>
        <v>0.15764049178876574</v>
      </c>
      <c r="M11">
        <f xml:space="preserve"> ( C11*(J11 + 0.5*L11 + G11*F11*I11) - (1-$D$6)*K11 ) /
  ( G11 * ( (1-$D$6) + 0.5*C11*F11 ) )</f>
        <v>4.4079068093013131E-2</v>
      </c>
      <c r="N11">
        <f>SUM($M$6:M11)</f>
        <v>9.9064251656292984E-2</v>
      </c>
    </row>
    <row r="12" spans="2:14" x14ac:dyDescent="0.35">
      <c r="B12" s="8" t="s">
        <v>57</v>
      </c>
      <c r="C12" s="31">
        <v>5.4467200000000004E-3</v>
      </c>
      <c r="D12" s="2">
        <v>0.4</v>
      </c>
      <c r="E12" s="14">
        <v>48202</v>
      </c>
      <c r="F12">
        <f t="shared" si="0"/>
        <v>7.0694444444444446</v>
      </c>
      <c r="G12">
        <f>EXP(LN(_xlfn.XLOOKUP(E12,Bootstrap!$D$4:$D$28,Bootstrap!$F$4:$F$28,,-1))+(E12-_xlfn.XLOOKUP(E12,Bootstrap!$D$4:$D$28,Bootstrap!$D$4:$D$28,,-1))/(_xlfn.XLOOKUP(E12,Bootstrap!$D$4:$D$28,Bootstrap!$D$4:$D$28,,1)-_xlfn.XLOOKUP(E12,Bootstrap!$D$4:$D$28,Bootstrap!$D$4:$D$28,,-1))*(LN(_xlfn.XLOOKUP(E12,Bootstrap!$D$4:$D$28,Bootstrap!$F$4:$F$28,,1))-LN(_xlfn.XLOOKUP(E12,Bootstrap!$D$4:$D$28,Bootstrap!$F$4:$F$28,,-1))))</f>
        <v>0.75549444532432786</v>
      </c>
      <c r="H12">
        <f t="shared" si="1"/>
        <v>9.9064251656292984E-2</v>
      </c>
      <c r="I12">
        <f t="shared" si="2"/>
        <v>0.90093574834370704</v>
      </c>
      <c r="J12">
        <f>J11+G11*F11*I11</f>
        <v>13.139264897146017</v>
      </c>
      <c r="K12">
        <f>K11+G11*M11</f>
        <v>8.4373948436912261E-2</v>
      </c>
      <c r="L12">
        <f>L11+G11*F11*M11</f>
        <v>0.33969417850208461</v>
      </c>
      <c r="M12">
        <f xml:space="preserve"> ( C12*(J12 + 0.5*L12 + G12*F12*I12) - (1-$D$6)*K12 ) /
  ( G12 * ( (1-$D$6) + 0.5*C12*F12 ) )</f>
        <v>0.10275978107223022</v>
      </c>
      <c r="N12">
        <f>SUM($M$6:M12)</f>
        <v>0.2018240327285232</v>
      </c>
    </row>
    <row r="13" spans="2:14" x14ac:dyDescent="0.35">
      <c r="B13" s="8" t="s">
        <v>58</v>
      </c>
      <c r="C13" s="31">
        <v>6.4418399999999999E-3</v>
      </c>
      <c r="D13" s="2">
        <v>0.4</v>
      </c>
      <c r="E13" s="14">
        <v>49298</v>
      </c>
      <c r="F13">
        <f t="shared" si="0"/>
        <v>10.113888888888889</v>
      </c>
      <c r="G13">
        <f>EXP(LN(_xlfn.XLOOKUP(E13,Bootstrap!$D$4:$D$28,Bootstrap!$F$4:$F$28,,-1))+(E13-_xlfn.XLOOKUP(E13,Bootstrap!$D$4:$D$28,Bootstrap!$D$4:$D$28,,-1))/(_xlfn.XLOOKUP(E13,Bootstrap!$D$4:$D$28,Bootstrap!$D$4:$D$28,,1)-_xlfn.XLOOKUP(E13,Bootstrap!$D$4:$D$28,Bootstrap!$D$4:$D$28,,-1))*(LN(_xlfn.XLOOKUP(E13,Bootstrap!$D$4:$D$28,Bootstrap!$F$4:$F$28,,1))-LN(_xlfn.XLOOKUP(E13,Bootstrap!$D$4:$D$28,Bootstrap!$F$4:$F$28,,-1))))</f>
        <v>0.66773570794581538</v>
      </c>
      <c r="H13">
        <f t="shared" si="1"/>
        <v>0.2018240327285232</v>
      </c>
      <c r="I13">
        <f t="shared" si="2"/>
        <v>0.79817596727147677</v>
      </c>
      <c r="J13">
        <f>J12+G12*F12*I12</f>
        <v>17.951096068189123</v>
      </c>
      <c r="K13">
        <f>K12+G12*M12</f>
        <v>0.16200839223972618</v>
      </c>
      <c r="L13">
        <f>L12+G12*F12*M12</f>
        <v>0.88852656594142199</v>
      </c>
      <c r="M13">
        <f xml:space="preserve"> ( C13*(J13 + 0.5*L13 + G13*F13*I13) - (1-$D$6)*K13 ) /
  ( G13 * ( (1-$D$6) + 0.5*C13*F13 ) )</f>
        <v>0.13262287860227429</v>
      </c>
      <c r="N13">
        <f>SUM($M$6:M13)</f>
        <v>0.33444691133079751</v>
      </c>
    </row>
    <row r="14" spans="2:14" x14ac:dyDescent="0.35">
      <c r="B14" s="8" t="s">
        <v>59</v>
      </c>
      <c r="C14" s="31">
        <v>7.4401500000000004E-3</v>
      </c>
      <c r="D14" s="2">
        <v>0.4</v>
      </c>
      <c r="E14" s="14">
        <v>51124</v>
      </c>
      <c r="F14">
        <f t="shared" si="0"/>
        <v>15.186111111111112</v>
      </c>
      <c r="G14">
        <f>EXP(LN(_xlfn.XLOOKUP(E14,Bootstrap!$D$4:$D$28,Bootstrap!$F$4:$F$28,,-1))+(E14-_xlfn.XLOOKUP(E14,Bootstrap!$D$4:$D$28,Bootstrap!$D$4:$D$28,,-1))/(_xlfn.XLOOKUP(E14,Bootstrap!$D$4:$D$28,Bootstrap!$D$4:$D$28,,1)-_xlfn.XLOOKUP(E14,Bootstrap!$D$4:$D$28,Bootstrap!$D$4:$D$28,,-1))*(LN(_xlfn.XLOOKUP(E14,Bootstrap!$D$4:$D$28,Bootstrap!$F$4:$F$28,,1))-LN(_xlfn.XLOOKUP(E14,Bootstrap!$D$4:$D$28,Bootstrap!$F$4:$F$28,,-1))))</f>
        <v>0.54068205041546802</v>
      </c>
      <c r="H14">
        <f t="shared" si="1"/>
        <v>0.33444691133079751</v>
      </c>
      <c r="I14">
        <f t="shared" si="2"/>
        <v>0.66555308866920249</v>
      </c>
      <c r="J14">
        <f>J13+G13*F13*I13</f>
        <v>23.341501442728863</v>
      </c>
      <c r="K14">
        <f>K13+G13*M13</f>
        <v>0.25056542397302772</v>
      </c>
      <c r="L14">
        <f>L13+G13*F13*M13</f>
        <v>1.7841825452218414</v>
      </c>
      <c r="M14">
        <f xml:space="preserve"> ( C14*(J14 + 0.5*L14 + G14*F14*I14) - (1-$D$6)*K14 ) /
  ( G14 * ( (1-$D$6) + 0.5*C14*F14 ) )</f>
        <v>0.19895792164071455</v>
      </c>
      <c r="N14">
        <f>SUM($M$6:M14)</f>
        <v>0.53340483297151209</v>
      </c>
    </row>
    <row r="15" spans="2:14" x14ac:dyDescent="0.35">
      <c r="B15" s="8" t="s">
        <v>60</v>
      </c>
      <c r="C15" s="31">
        <v>7.6622299999999999E-3</v>
      </c>
      <c r="D15" s="2">
        <v>0.4</v>
      </c>
      <c r="E15" s="14">
        <v>52951</v>
      </c>
      <c r="F15">
        <f t="shared" si="0"/>
        <v>20.261111111111113</v>
      </c>
      <c r="G15">
        <f>EXP(LN(_xlfn.XLOOKUP(E15,Bootstrap!$D$4:$D$28,Bootstrap!$F$4:$F$28,,-1))+(E15-_xlfn.XLOOKUP(E15,Bootstrap!$D$4:$D$28,Bootstrap!$D$4:$D$28,,-1))/(_xlfn.XLOOKUP(E15,Bootstrap!$D$4:$D$28,Bootstrap!$D$4:$D$28,,1)-_xlfn.XLOOKUP(E15,Bootstrap!$D$4:$D$28,Bootstrap!$D$4:$D$28,,-1))*(LN(_xlfn.XLOOKUP(E15,Bootstrap!$D$4:$D$28,Bootstrap!$F$4:$F$28,,1))-LN(_xlfn.XLOOKUP(E15,Bootstrap!$D$4:$D$28,Bootstrap!$F$4:$F$28,,-1))))</f>
        <v>0.44257179875203495</v>
      </c>
      <c r="H15">
        <f t="shared" si="1"/>
        <v>0.53340483297151209</v>
      </c>
      <c r="I15">
        <f t="shared" si="2"/>
        <v>0.46659516702848791</v>
      </c>
      <c r="J15">
        <f>J14+G14*F14*I14</f>
        <v>28.806263141189643</v>
      </c>
      <c r="K15">
        <f>K14+G14*M14</f>
        <v>0.35813840099212929</v>
      </c>
      <c r="L15">
        <f>L14+G14*F14*M14</f>
        <v>3.4177977267869197</v>
      </c>
      <c r="M15">
        <f xml:space="preserve"> ( C15*(J15 + 0.5*L15 + G15*F15*I15) - (1-$D$6)*K15 ) /
  ( G15 * ( (1-$D$6) + 0.5*C15*F15 ) )</f>
        <v>0.17002386442874817</v>
      </c>
      <c r="N15">
        <f>SUM($M$6:M15)</f>
        <v>0.70342869740026026</v>
      </c>
    </row>
    <row r="16" spans="2:14" x14ac:dyDescent="0.35">
      <c r="C16" s="2"/>
      <c r="D16" s="2"/>
      <c r="E16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B993-8BF1-4306-9E61-B2CB647919F1}">
  <dimension ref="C1:N33"/>
  <sheetViews>
    <sheetView tabSelected="1" zoomScale="85" zoomScaleNormal="85" workbookViewId="0">
      <selection activeCell="I5" sqref="I5"/>
    </sheetView>
  </sheetViews>
  <sheetFormatPr defaultRowHeight="14.5" x14ac:dyDescent="0.35"/>
  <cols>
    <col min="3" max="3" width="7.36328125" bestFit="1" customWidth="1"/>
    <col min="4" max="5" width="10.81640625" bestFit="1" customWidth="1"/>
    <col min="6" max="6" width="13.81640625" bestFit="1" customWidth="1"/>
    <col min="7" max="7" width="9.1796875" bestFit="1" customWidth="1"/>
    <col min="8" max="8" width="14.1796875" bestFit="1" customWidth="1"/>
    <col min="9" max="9" width="13.36328125" bestFit="1" customWidth="1"/>
    <col min="10" max="10" width="8.1796875" bestFit="1" customWidth="1"/>
    <col min="11" max="11" width="13" bestFit="1" customWidth="1"/>
    <col min="12" max="12" width="15.1796875" bestFit="1" customWidth="1"/>
    <col min="13" max="13" width="13.81640625" bestFit="1" customWidth="1"/>
    <col min="14" max="14" width="12.36328125" bestFit="1" customWidth="1"/>
  </cols>
  <sheetData>
    <row r="1" spans="3:14" x14ac:dyDescent="0.35">
      <c r="I1" s="28"/>
    </row>
    <row r="2" spans="3:14" x14ac:dyDescent="0.35">
      <c r="I2" s="28" t="s">
        <v>79</v>
      </c>
      <c r="K2" t="s">
        <v>77</v>
      </c>
      <c r="L2" t="s">
        <v>78</v>
      </c>
      <c r="M2" s="28" t="s">
        <v>75</v>
      </c>
    </row>
    <row r="3" spans="3:14" x14ac:dyDescent="0.35">
      <c r="C3" s="8" t="s">
        <v>69</v>
      </c>
      <c r="D3" s="8" t="s">
        <v>68</v>
      </c>
      <c r="E3" s="8" t="s">
        <v>70</v>
      </c>
      <c r="F3" s="8" t="s">
        <v>19</v>
      </c>
      <c r="G3" s="8" t="s">
        <v>71</v>
      </c>
      <c r="H3" s="8" t="s">
        <v>18</v>
      </c>
      <c r="I3" s="8" t="s">
        <v>76</v>
      </c>
      <c r="J3" s="8" t="s">
        <v>61</v>
      </c>
      <c r="K3" s="8" t="s">
        <v>72</v>
      </c>
      <c r="L3" s="8" t="s">
        <v>73</v>
      </c>
      <c r="M3" s="8" t="s">
        <v>3</v>
      </c>
      <c r="N3" s="8" t="s">
        <v>74</v>
      </c>
    </row>
    <row r="4" spans="3:14" x14ac:dyDescent="0.35">
      <c r="I4">
        <v>0</v>
      </c>
    </row>
    <row r="5" spans="3:14" x14ac:dyDescent="0.35">
      <c r="C5">
        <v>1</v>
      </c>
      <c r="D5" s="14">
        <v>45657</v>
      </c>
      <c r="E5" s="14">
        <v>45736</v>
      </c>
      <c r="F5" s="26">
        <v>10000000</v>
      </c>
      <c r="G5" s="17">
        <v>0.01</v>
      </c>
      <c r="H5">
        <f>(E5-D5)/360</f>
        <v>0.21944444444444444</v>
      </c>
      <c r="I5">
        <f>IF(ISNUMBER(MATCH(E5,'CDS Bootstrap'!$E$5:$E$15,0)),_xlfn.XLOOKUP(E5,'CDS Bootstrap'!$E$5:$E$15,'CDS Bootstrap'!$N$5:$N$15),_xlfn.XLOOKUP(E5,'CDS Bootstrap'!$E$5:$E$15,'CDS Bootstrap'!$N$5:$N$15,,-1)+(E5-_xlfn.XLOOKUP(E5,'CDS Bootstrap'!$E$5:$E$15,'CDS Bootstrap'!$E$5:$E$15,,-1))/(_xlfn.XLOOKUP(E5,'CDS Bootstrap'!$E$5:$E$15,'CDS Bootstrap'!$E$5:$E$15,,1)-_xlfn.XLOOKUP(E5,'CDS Bootstrap'!$E$5:$E$15,'CDS Bootstrap'!$E$5:$E$15,,-1))*(_xlfn.XLOOKUP(E5,'CDS Bootstrap'!$E$5:$E$15,'CDS Bootstrap'!$N$5:$N$15,,1)-_xlfn.XLOOKUP(E5,'CDS Bootstrap'!$E$5:$E$15,'CDS Bootstrap'!$N$5:$N$15,,-1)))</f>
        <v>2.946418466355819E-4</v>
      </c>
      <c r="J5" s="17">
        <v>0.4</v>
      </c>
      <c r="K5" s="18">
        <f>F5*G5*H5*(1-I5)+F5*G5*H5/2*(I5-I4)</f>
        <v>21941.211568627194</v>
      </c>
      <c r="L5" s="18">
        <f>F5*(1-J5)*(I5-I4)</f>
        <v>1767.8510798134914</v>
      </c>
      <c r="M5">
        <f>EXP(LN(_xlfn.XLOOKUP(E5,Bootstrap!$D$4:$D$28,Bootstrap!$F$4:$F$28,,-1))+(E5-_xlfn.XLOOKUP(E5,Bootstrap!$D$4:$D$28,Bootstrap!$D$4:$D$28,,-1))/(_xlfn.XLOOKUP(E5,Bootstrap!$D$4:$D$28,Bootstrap!$D$4:$D$28,,1)-_xlfn.XLOOKUP(E5,Bootstrap!$D$4:$D$28,Bootstrap!$D$4:$D$28,,-1))*(LN(_xlfn.XLOOKUP(E5,Bootstrap!$D$4:$D$28,Bootstrap!$F$4:$F$28,,1))-LN(_xlfn.XLOOKUP(E5,Bootstrap!$D$4:$D$28,Bootstrap!$F$4:$F$28,,-1))))</f>
        <v>0.99064088124464877</v>
      </c>
      <c r="N5" s="18">
        <f>(L5-K5)*M5</f>
        <v>-19984.555612304383</v>
      </c>
    </row>
    <row r="6" spans="3:14" x14ac:dyDescent="0.35">
      <c r="C6">
        <f>C5+1</f>
        <v>2</v>
      </c>
      <c r="D6" s="14">
        <f>E5</f>
        <v>45736</v>
      </c>
      <c r="E6" s="14">
        <f>EDATE(D6,3)</f>
        <v>45828</v>
      </c>
      <c r="F6" s="26">
        <v>10000000</v>
      </c>
      <c r="G6" s="17">
        <v>0.01</v>
      </c>
      <c r="H6">
        <f>(E6-D6)/360</f>
        <v>0.25555555555555554</v>
      </c>
      <c r="I6">
        <f>IF(ISNUMBER(MATCH(E6,'CDS Bootstrap'!$E$5:$E$15,0)),_xlfn.XLOOKUP(E6,'CDS Bootstrap'!$E$5:$E$15,'CDS Bootstrap'!$N$5:$N$15),_xlfn.XLOOKUP(E6,'CDS Bootstrap'!$E$5:$E$15,'CDS Bootstrap'!$N$5:$N$15,,-1)+(E6-_xlfn.XLOOKUP(E6,'CDS Bootstrap'!$E$5:$E$15,'CDS Bootstrap'!$E$5:$E$15,,-1))/(_xlfn.XLOOKUP(E6,'CDS Bootstrap'!$E$5:$E$15,'CDS Bootstrap'!$E$5:$E$15,,1)-_xlfn.XLOOKUP(E6,'CDS Bootstrap'!$E$5:$E$15,'CDS Bootstrap'!$E$5:$E$15,,-1))*(_xlfn.XLOOKUP(E6,'CDS Bootstrap'!$E$5:$E$15,'CDS Bootstrap'!$N$5:$N$15,,1)-_xlfn.XLOOKUP(E6,'CDS Bootstrap'!$E$5:$E$15,'CDS Bootstrap'!$N$5:$N$15,,-1)))</f>
        <v>6.3776906043904445E-4</v>
      </c>
      <c r="J6" s="17">
        <v>0.4</v>
      </c>
      <c r="K6" s="18">
        <f>F6*G6*H6*(1-I6)+F6*G6*H6/2*(I6-I5)</f>
        <v>25543.64141618738</v>
      </c>
      <c r="L6" s="18">
        <f>F6*(1-J6)*(I6-I5)</f>
        <v>2058.7632828207752</v>
      </c>
      <c r="M6">
        <f>EXP(LN(_xlfn.XLOOKUP(E6,Bootstrap!$D$4:$D$28,Bootstrap!$F$4:$F$28,,-1))+(E6-_xlfn.XLOOKUP(E6,Bootstrap!$D$4:$D$28,Bootstrap!$D$4:$D$28,,-1))/(_xlfn.XLOOKUP(E6,Bootstrap!$D$4:$D$28,Bootstrap!$D$4:$D$28,,1)-_xlfn.XLOOKUP(E6,Bootstrap!$D$4:$D$28,Bootstrap!$D$4:$D$28,,-1))*(LN(_xlfn.XLOOKUP(E6,Bootstrap!$D$4:$D$28,Bootstrap!$F$4:$F$28,,1))-LN(_xlfn.XLOOKUP(E6,Bootstrap!$D$4:$D$28,Bootstrap!$F$4:$F$28,,-1))))</f>
        <v>0.98018928290897234</v>
      </c>
      <c r="N6" s="18">
        <f>(L6-K6)*M6</f>
        <v>-23019.625856749219</v>
      </c>
    </row>
    <row r="7" spans="3:14" x14ac:dyDescent="0.35">
      <c r="C7">
        <f t="shared" ref="C7:C29" si="0">C6+1</f>
        <v>3</v>
      </c>
      <c r="D7" s="14">
        <f t="shared" ref="D7:D32" si="1">E6</f>
        <v>45828</v>
      </c>
      <c r="E7" s="14">
        <f t="shared" ref="E7:E32" si="2">EDATE(D7,3)</f>
        <v>45920</v>
      </c>
      <c r="F7" s="26">
        <v>10000000</v>
      </c>
      <c r="G7" s="17">
        <v>0.01</v>
      </c>
      <c r="H7">
        <f t="shared" ref="H7:H29" si="3">(E7-D7)/360</f>
        <v>0.25555555555555554</v>
      </c>
      <c r="I7">
        <f>IF(ISNUMBER(MATCH(E7,'CDS Bootstrap'!$E$5:$E$15,0)),_xlfn.XLOOKUP(E7,'CDS Bootstrap'!$E$5:$E$15,'CDS Bootstrap'!$N$5:$N$15),_xlfn.XLOOKUP(E7,'CDS Bootstrap'!$E$5:$E$15,'CDS Bootstrap'!$N$5:$N$15,,-1)+(E7-_xlfn.XLOOKUP(E7,'CDS Bootstrap'!$E$5:$E$15,'CDS Bootstrap'!$E$5:$E$15,,-1))/(_xlfn.XLOOKUP(E7,'CDS Bootstrap'!$E$5:$E$15,'CDS Bootstrap'!$E$5:$E$15,,1)-_xlfn.XLOOKUP(E7,'CDS Bootstrap'!$E$5:$E$15,'CDS Bootstrap'!$E$5:$E$15,,-1))*(_xlfn.XLOOKUP(E7,'CDS Bootstrap'!$E$5:$E$15,'CDS Bootstrap'!$N$5:$N$15,,1)-_xlfn.XLOOKUP(E7,'CDS Bootstrap'!$E$5:$E$15,'CDS Bootstrap'!$N$5:$N$15,,-1)))</f>
        <v>1.7650725520989162E-3</v>
      </c>
      <c r="J7" s="17">
        <v>0.4</v>
      </c>
      <c r="K7" s="18">
        <f>F7*G7*H7*(1-I7)+F7*G7*H7/2*(I7-I6)</f>
        <v>25524.852579395349</v>
      </c>
      <c r="L7" s="18">
        <f>F7*(1-J7)*(I7-I6)</f>
        <v>6763.8209499592303</v>
      </c>
      <c r="M7">
        <f>EXP(LN(_xlfn.XLOOKUP(E7,Bootstrap!$D$4:$D$28,Bootstrap!$F$4:$F$28,,-1))+(E7-_xlfn.XLOOKUP(E7,Bootstrap!$D$4:$D$28,Bootstrap!$D$4:$D$28,,-1))/(_xlfn.XLOOKUP(E7,Bootstrap!$D$4:$D$28,Bootstrap!$D$4:$D$28,,1)-_xlfn.XLOOKUP(E7,Bootstrap!$D$4:$D$28,Bootstrap!$D$4:$D$28,,-1))*(LN(_xlfn.XLOOKUP(E7,Bootstrap!$D$4:$D$28,Bootstrap!$F$4:$F$28,,1))-LN(_xlfn.XLOOKUP(E7,Bootstrap!$D$4:$D$28,Bootstrap!$F$4:$F$28,,-1))))</f>
        <v>0.97016516453836921</v>
      </c>
      <c r="N7" s="18">
        <f t="shared" ref="N7:N29" si="4">(L7-K7)*M7</f>
        <v>-18201.299337681441</v>
      </c>
    </row>
    <row r="8" spans="3:14" x14ac:dyDescent="0.35">
      <c r="C8">
        <f t="shared" si="0"/>
        <v>4</v>
      </c>
      <c r="D8" s="14">
        <f t="shared" si="1"/>
        <v>45920</v>
      </c>
      <c r="E8" s="14">
        <f t="shared" si="2"/>
        <v>46011</v>
      </c>
      <c r="F8" s="26">
        <v>10000000</v>
      </c>
      <c r="G8" s="17">
        <v>0.01</v>
      </c>
      <c r="H8">
        <f t="shared" si="3"/>
        <v>0.25277777777777777</v>
      </c>
      <c r="I8">
        <f>IF(ISNUMBER(MATCH(E8,'CDS Bootstrap'!$E$5:$E$15,0)),_xlfn.XLOOKUP(E8,'CDS Bootstrap'!$E$5:$E$15,'CDS Bootstrap'!$N$5:$N$15),_xlfn.XLOOKUP(E8,'CDS Bootstrap'!$E$5:$E$15,'CDS Bootstrap'!$N$5:$N$15,,-1)+(E8-_xlfn.XLOOKUP(E8,'CDS Bootstrap'!$E$5:$E$15,'CDS Bootstrap'!$E$5:$E$15,,-1))/(_xlfn.XLOOKUP(E8,'CDS Bootstrap'!$E$5:$E$15,'CDS Bootstrap'!$E$5:$E$15,,1)-_xlfn.XLOOKUP(E8,'CDS Bootstrap'!$E$5:$E$15,'CDS Bootstrap'!$E$5:$E$15,,-1))*(_xlfn.XLOOKUP(E8,'CDS Bootstrap'!$E$5:$E$15,'CDS Bootstrap'!$N$5:$N$15,,1)-_xlfn.XLOOKUP(E8,'CDS Bootstrap'!$E$5:$E$15,'CDS Bootstrap'!$N$5:$N$15,,-1)))</f>
        <v>2.8801227449363979E-3</v>
      </c>
      <c r="J8" s="17">
        <v>0.4</v>
      </c>
      <c r="K8" s="18">
        <f>F8*G8*H8*(1-I8)+F8*G8*H8/2*(I8-I7)</f>
        <v>25219.067670551358</v>
      </c>
      <c r="L8" s="18">
        <f>F8*(1-J8)*(I8-I7)</f>
        <v>6690.30115702489</v>
      </c>
      <c r="M8">
        <f>EXP(LN(_xlfn.XLOOKUP(E8,Bootstrap!$D$4:$D$28,Bootstrap!$F$4:$F$28,,-1))+(E8-_xlfn.XLOOKUP(E8,Bootstrap!$D$4:$D$28,Bootstrap!$D$4:$D$28,,-1))/(_xlfn.XLOOKUP(E8,Bootstrap!$D$4:$D$28,Bootstrap!$D$4:$D$28,,1)-_xlfn.XLOOKUP(E8,Bootstrap!$D$4:$D$28,Bootstrap!$D$4:$D$28,,-1))*(LN(_xlfn.XLOOKUP(E8,Bootstrap!$D$4:$D$28,Bootstrap!$F$4:$F$28,,1))-LN(_xlfn.XLOOKUP(E8,Bootstrap!$D$4:$D$28,Bootstrap!$F$4:$F$28,,-1))))</f>
        <v>0.96051044683924369</v>
      </c>
      <c r="N8" s="18">
        <f t="shared" si="4"/>
        <v>-17797.073803287323</v>
      </c>
    </row>
    <row r="9" spans="3:14" x14ac:dyDescent="0.35">
      <c r="C9">
        <f t="shared" si="0"/>
        <v>5</v>
      </c>
      <c r="D9" s="14">
        <f t="shared" si="1"/>
        <v>46011</v>
      </c>
      <c r="E9" s="14">
        <f t="shared" si="2"/>
        <v>46101</v>
      </c>
      <c r="F9" s="26">
        <v>10000000</v>
      </c>
      <c r="G9" s="17">
        <v>0.01</v>
      </c>
      <c r="H9">
        <f t="shared" si="3"/>
        <v>0.25</v>
      </c>
      <c r="I9">
        <f>IF(ISNUMBER(MATCH(E9,'CDS Bootstrap'!$E$5:$E$15,0)),_xlfn.XLOOKUP(E9,'CDS Bootstrap'!$E$5:$E$15,'CDS Bootstrap'!$N$5:$N$15),_xlfn.XLOOKUP(E9,'CDS Bootstrap'!$E$5:$E$15,'CDS Bootstrap'!$N$5:$N$15,,-1)+(E9-_xlfn.XLOOKUP(E9,'CDS Bootstrap'!$E$5:$E$15,'CDS Bootstrap'!$E$5:$E$15,,-1))/(_xlfn.XLOOKUP(E9,'CDS Bootstrap'!$E$5:$E$15,'CDS Bootstrap'!$E$5:$E$15,,1)-_xlfn.XLOOKUP(E9,'CDS Bootstrap'!$E$5:$E$15,'CDS Bootstrap'!$E$5:$E$15,,-1))*(_xlfn.XLOOKUP(E9,'CDS Bootstrap'!$E$5:$E$15,'CDS Bootstrap'!$N$5:$N$15,,1)-_xlfn.XLOOKUP(E9,'CDS Bootstrap'!$E$5:$E$15,'CDS Bootstrap'!$N$5:$N$15,,-1)))</f>
        <v>4.6420404668804718E-3</v>
      </c>
      <c r="J9" s="17">
        <v>0.4</v>
      </c>
      <c r="K9" s="18">
        <f>F9*G9*H9*(1-I9)+F9*G9*H9/2*(I9-I8)</f>
        <v>24905.97295985229</v>
      </c>
      <c r="L9" s="18">
        <f>F9*(1-J9)*(I9-I8)</f>
        <v>10571.506331664445</v>
      </c>
      <c r="M9">
        <f>EXP(LN(_xlfn.XLOOKUP(E9,Bootstrap!$D$4:$D$28,Bootstrap!$F$4:$F$28,,-1))+(E9-_xlfn.XLOOKUP(E9,Bootstrap!$D$4:$D$28,Bootstrap!$D$4:$D$28,,-1))/(_xlfn.XLOOKUP(E9,Bootstrap!$D$4:$D$28,Bootstrap!$D$4:$D$28,,1)-_xlfn.XLOOKUP(E9,Bootstrap!$D$4:$D$28,Bootstrap!$D$4:$D$28,,-1))*(LN(_xlfn.XLOOKUP(E9,Bootstrap!$D$4:$D$28,Bootstrap!$F$4:$F$28,,1))-LN(_xlfn.XLOOKUP(E9,Bootstrap!$D$4:$D$28,Bootstrap!$F$4:$F$28,,-1))))</f>
        <v>0.95118224073116486</v>
      </c>
      <c r="N9" s="18">
        <f t="shared" si="4"/>
        <v>-13634.690087085821</v>
      </c>
    </row>
    <row r="10" spans="3:14" x14ac:dyDescent="0.35">
      <c r="C10">
        <f t="shared" si="0"/>
        <v>6</v>
      </c>
      <c r="D10" s="14">
        <f t="shared" si="1"/>
        <v>46101</v>
      </c>
      <c r="E10" s="14">
        <f t="shared" si="2"/>
        <v>46193</v>
      </c>
      <c r="F10" s="26">
        <v>10000000</v>
      </c>
      <c r="G10" s="17">
        <v>0.01</v>
      </c>
      <c r="H10">
        <f t="shared" si="3"/>
        <v>0.25555555555555554</v>
      </c>
      <c r="I10">
        <f>IF(ISNUMBER(MATCH(E10,'CDS Bootstrap'!$E$5:$E$15,0)),_xlfn.XLOOKUP(E10,'CDS Bootstrap'!$E$5:$E$15,'CDS Bootstrap'!$N$5:$N$15),_xlfn.XLOOKUP(E10,'CDS Bootstrap'!$E$5:$E$15,'CDS Bootstrap'!$N$5:$N$15,,-1)+(E10-_xlfn.XLOOKUP(E10,'CDS Bootstrap'!$E$5:$E$15,'CDS Bootstrap'!$E$5:$E$15,,-1))/(_xlfn.XLOOKUP(E10,'CDS Bootstrap'!$E$5:$E$15,'CDS Bootstrap'!$E$5:$E$15,,1)-_xlfn.XLOOKUP(E10,'CDS Bootstrap'!$E$5:$E$15,'CDS Bootstrap'!$E$5:$E$15,,-1))*(_xlfn.XLOOKUP(E10,'CDS Bootstrap'!$E$5:$E$15,'CDS Bootstrap'!$N$5:$N$15,,1)-_xlfn.XLOOKUP(E10,'CDS Bootstrap'!$E$5:$E$15,'CDS Bootstrap'!$N$5:$N$15,,-1)))</f>
        <v>6.4431119159788584E-3</v>
      </c>
      <c r="J10" s="17">
        <v>0.4</v>
      </c>
      <c r="K10" s="18">
        <f>F10*G10*H10*(1-I10)+F10*G10*H10/2*(I10-I9)</f>
        <v>25413.911941774575</v>
      </c>
      <c r="L10" s="18">
        <f>F10*(1-J10)*(I10-I9)</f>
        <v>10806.428694590319</v>
      </c>
      <c r="M10">
        <f>EXP(LN(_xlfn.XLOOKUP(E10,Bootstrap!$D$4:$D$28,Bootstrap!$F$4:$F$28,,-1))+(E10-_xlfn.XLOOKUP(E10,Bootstrap!$D$4:$D$28,Bootstrap!$D$4:$D$28,,-1))/(_xlfn.XLOOKUP(E10,Bootstrap!$D$4:$D$28,Bootstrap!$D$4:$D$28,,1)-_xlfn.XLOOKUP(E10,Bootstrap!$D$4:$D$28,Bootstrap!$D$4:$D$28,,-1))*(LN(_xlfn.XLOOKUP(E10,Bootstrap!$D$4:$D$28,Bootstrap!$F$4:$F$28,,1))-LN(_xlfn.XLOOKUP(E10,Bootstrap!$D$4:$D$28,Bootstrap!$F$4:$F$28,,-1))))</f>
        <v>0.94172383947616611</v>
      </c>
      <c r="N10" s="18">
        <f t="shared" si="4"/>
        <v>-13756.215208622132</v>
      </c>
    </row>
    <row r="11" spans="3:14" x14ac:dyDescent="0.35">
      <c r="C11">
        <f t="shared" si="0"/>
        <v>7</v>
      </c>
      <c r="D11" s="14">
        <f t="shared" si="1"/>
        <v>46193</v>
      </c>
      <c r="E11" s="14">
        <f t="shared" si="2"/>
        <v>46285</v>
      </c>
      <c r="F11" s="26">
        <v>10000000</v>
      </c>
      <c r="G11" s="17">
        <v>0.01</v>
      </c>
      <c r="H11">
        <f t="shared" si="3"/>
        <v>0.25555555555555554</v>
      </c>
      <c r="I11">
        <f>IF(ISNUMBER(MATCH(E11,'CDS Bootstrap'!$E$5:$E$15,0)),_xlfn.XLOOKUP(E11,'CDS Bootstrap'!$E$5:$E$15,'CDS Bootstrap'!$N$5:$N$15),_xlfn.XLOOKUP(E11,'CDS Bootstrap'!$E$5:$E$15,'CDS Bootstrap'!$N$5:$N$15,,-1)+(E11-_xlfn.XLOOKUP(E11,'CDS Bootstrap'!$E$5:$E$15,'CDS Bootstrap'!$E$5:$E$15,,-1))/(_xlfn.XLOOKUP(E11,'CDS Bootstrap'!$E$5:$E$15,'CDS Bootstrap'!$E$5:$E$15,,1)-_xlfn.XLOOKUP(E11,'CDS Bootstrap'!$E$5:$E$15,'CDS Bootstrap'!$E$5:$E$15,,-1))*(_xlfn.XLOOKUP(E11,'CDS Bootstrap'!$E$5:$E$15,'CDS Bootstrap'!$N$5:$N$15,,1)-_xlfn.XLOOKUP(E11,'CDS Bootstrap'!$E$5:$E$15,'CDS Bootstrap'!$N$5:$N$15,,-1)))</f>
        <v>8.2441833650772449E-3</v>
      </c>
      <c r="J11" s="17">
        <v>0.4</v>
      </c>
      <c r="K11" s="18">
        <f>F11*G11*H11*(1-I11)+F11*G11*H11/2*(I11-I10)</f>
        <v>25367.884560297618</v>
      </c>
      <c r="L11" s="18">
        <f>F11*(1-J11)*(I11-I10)</f>
        <v>10806.428694590319</v>
      </c>
      <c r="M11">
        <f>EXP(LN(_xlfn.XLOOKUP(E11,Bootstrap!$D$4:$D$28,Bootstrap!$F$4:$F$28,,-1))+(E11-_xlfn.XLOOKUP(E11,Bootstrap!$D$4:$D$28,Bootstrap!$D$4:$D$28,,-1))/(_xlfn.XLOOKUP(E11,Bootstrap!$D$4:$D$28,Bootstrap!$D$4:$D$28,,1)-_xlfn.XLOOKUP(E11,Bootstrap!$D$4:$D$28,Bootstrap!$D$4:$D$28,,-1))*(LN(_xlfn.XLOOKUP(E11,Bootstrap!$D$4:$D$28,Bootstrap!$F$4:$F$28,,1))-LN(_xlfn.XLOOKUP(E11,Bootstrap!$D$4:$D$28,Bootstrap!$F$4:$F$28,,-1))))</f>
        <v>0.93235949102248117</v>
      </c>
      <c r="N11" s="18">
        <f t="shared" si="4"/>
        <v>-13576.511579497181</v>
      </c>
    </row>
    <row r="12" spans="3:14" x14ac:dyDescent="0.35">
      <c r="C12">
        <f t="shared" si="0"/>
        <v>8</v>
      </c>
      <c r="D12" s="14">
        <f t="shared" si="1"/>
        <v>46285</v>
      </c>
      <c r="E12" s="14">
        <f t="shared" si="2"/>
        <v>46376</v>
      </c>
      <c r="F12" s="26">
        <v>10000000</v>
      </c>
      <c r="G12" s="17">
        <v>0.01</v>
      </c>
      <c r="H12">
        <f t="shared" si="3"/>
        <v>0.25277777777777777</v>
      </c>
      <c r="I12">
        <f>IF(ISNUMBER(MATCH(E12,'CDS Bootstrap'!$E$5:$E$15,0)),_xlfn.XLOOKUP(E12,'CDS Bootstrap'!$E$5:$E$15,'CDS Bootstrap'!$N$5:$N$15),_xlfn.XLOOKUP(E12,'CDS Bootstrap'!$E$5:$E$15,'CDS Bootstrap'!$N$5:$N$15,,-1)+(E12-_xlfn.XLOOKUP(E12,'CDS Bootstrap'!$E$5:$E$15,'CDS Bootstrap'!$E$5:$E$15,,-1))/(_xlfn.XLOOKUP(E12,'CDS Bootstrap'!$E$5:$E$15,'CDS Bootstrap'!$E$5:$E$15,,1)-_xlfn.XLOOKUP(E12,'CDS Bootstrap'!$E$5:$E$15,'CDS Bootstrap'!$E$5:$E$15,,-1))*(_xlfn.XLOOKUP(E12,'CDS Bootstrap'!$E$5:$E$15,'CDS Bootstrap'!$N$5:$N$15,,1)-_xlfn.XLOOKUP(E12,'CDS Bootstrap'!$E$5:$E$15,'CDS Bootstrap'!$N$5:$N$15,,-1)))</f>
        <v>1.0025677950598475E-2</v>
      </c>
      <c r="J12" s="17">
        <v>0.4</v>
      </c>
      <c r="K12" s="18">
        <f>F12*G12*H12*(1-I12)+F12*G12*H12/2*(I12-I11)</f>
        <v>25046.867030593545</v>
      </c>
      <c r="L12" s="18">
        <f>F12*(1-J12)*(I12-I11)</f>
        <v>10688.967513127382</v>
      </c>
      <c r="M12">
        <f>EXP(LN(_xlfn.XLOOKUP(E12,Bootstrap!$D$4:$D$28,Bootstrap!$F$4:$F$28,,-1))+(E12-_xlfn.XLOOKUP(E12,Bootstrap!$D$4:$D$28,Bootstrap!$D$4:$D$28,,-1))/(_xlfn.XLOOKUP(E12,Bootstrap!$D$4:$D$28,Bootstrap!$D$4:$D$28,,1)-_xlfn.XLOOKUP(E12,Bootstrap!$D$4:$D$28,Bootstrap!$D$4:$D$28,,-1))*(LN(_xlfn.XLOOKUP(E12,Bootstrap!$D$4:$D$28,Bootstrap!$F$4:$F$28,,1))-LN(_xlfn.XLOOKUP(E12,Bootstrap!$D$4:$D$28,Bootstrap!$F$4:$F$28,,-1))))</f>
        <v>0.92318853710909865</v>
      </c>
      <c r="N12" s="18">
        <f t="shared" si="4"/>
        <v>-13255.048251489021</v>
      </c>
    </row>
    <row r="13" spans="3:14" x14ac:dyDescent="0.35">
      <c r="C13">
        <f t="shared" si="0"/>
        <v>9</v>
      </c>
      <c r="D13" s="14">
        <f t="shared" si="1"/>
        <v>46376</v>
      </c>
      <c r="E13" s="14">
        <f t="shared" si="2"/>
        <v>46466</v>
      </c>
      <c r="F13" s="26">
        <v>10000000</v>
      </c>
      <c r="G13" s="17">
        <v>0.01</v>
      </c>
      <c r="H13">
        <f t="shared" si="3"/>
        <v>0.25</v>
      </c>
      <c r="I13">
        <f>IF(ISNUMBER(MATCH(E13,'CDS Bootstrap'!$E$5:$E$15,0)),_xlfn.XLOOKUP(E13,'CDS Bootstrap'!$E$5:$E$15,'CDS Bootstrap'!$N$5:$N$15),_xlfn.XLOOKUP(E13,'CDS Bootstrap'!$E$5:$E$15,'CDS Bootstrap'!$N$5:$N$15,,-1)+(E13-_xlfn.XLOOKUP(E13,'CDS Bootstrap'!$E$5:$E$15,'CDS Bootstrap'!$E$5:$E$15,,-1))/(_xlfn.XLOOKUP(E13,'CDS Bootstrap'!$E$5:$E$15,'CDS Bootstrap'!$E$5:$E$15,,1)-_xlfn.XLOOKUP(E13,'CDS Bootstrap'!$E$5:$E$15,'CDS Bootstrap'!$E$5:$E$15,,-1))*(_xlfn.XLOOKUP(E13,'CDS Bootstrap'!$E$5:$E$15,'CDS Bootstrap'!$N$5:$N$15,,1)-_xlfn.XLOOKUP(E13,'CDS Bootstrap'!$E$5:$E$15,'CDS Bootstrap'!$N$5:$N$15,,-1)))</f>
        <v>1.4013034801380324E-2</v>
      </c>
      <c r="J13" s="17">
        <v>0.4</v>
      </c>
      <c r="K13" s="18">
        <f>F13*G13*H13*(1-I13)+F13*G13*H13/2*(I13-I12)</f>
        <v>24699.516090600267</v>
      </c>
      <c r="L13" s="18">
        <f>F13*(1-J13)*(I13-I12)</f>
        <v>23924.141104691091</v>
      </c>
      <c r="M13">
        <f>EXP(LN(_xlfn.XLOOKUP(E13,Bootstrap!$D$4:$D$28,Bootstrap!$F$4:$F$28,,-1))+(E13-_xlfn.XLOOKUP(E13,Bootstrap!$D$4:$D$28,Bootstrap!$D$4:$D$28,,-1))/(_xlfn.XLOOKUP(E13,Bootstrap!$D$4:$D$28,Bootstrap!$D$4:$D$28,,1)-_xlfn.XLOOKUP(E13,Bootstrap!$D$4:$D$28,Bootstrap!$D$4:$D$28,,-1))*(LN(_xlfn.XLOOKUP(E13,Bootstrap!$D$4:$D$28,Bootstrap!$F$4:$F$28,,1))-LN(_xlfn.XLOOKUP(E13,Bootstrap!$D$4:$D$28,Bootstrap!$F$4:$F$28,,-1))))</f>
        <v>0.91415085039421495</v>
      </c>
      <c r="N13" s="18">
        <f t="shared" si="4"/>
        <v>-708.80970274327638</v>
      </c>
    </row>
    <row r="14" spans="3:14" x14ac:dyDescent="0.35">
      <c r="C14">
        <f t="shared" si="0"/>
        <v>10</v>
      </c>
      <c r="D14" s="14">
        <f t="shared" si="1"/>
        <v>46466</v>
      </c>
      <c r="E14" s="14">
        <f t="shared" si="2"/>
        <v>46558</v>
      </c>
      <c r="F14" s="26">
        <v>10000000</v>
      </c>
      <c r="G14" s="17">
        <v>0.01</v>
      </c>
      <c r="H14">
        <f t="shared" si="3"/>
        <v>0.25555555555555554</v>
      </c>
      <c r="I14">
        <f>IF(ISNUMBER(MATCH(E14,'CDS Bootstrap'!$E$5:$E$15,0)),_xlfn.XLOOKUP(E14,'CDS Bootstrap'!$E$5:$E$15,'CDS Bootstrap'!$N$5:$N$15),_xlfn.XLOOKUP(E14,'CDS Bootstrap'!$E$5:$E$15,'CDS Bootstrap'!$N$5:$N$15,,-1)+(E14-_xlfn.XLOOKUP(E14,'CDS Bootstrap'!$E$5:$E$15,'CDS Bootstrap'!$E$5:$E$15,,-1))/(_xlfn.XLOOKUP(E14,'CDS Bootstrap'!$E$5:$E$15,'CDS Bootstrap'!$E$5:$E$15,,1)-_xlfn.XLOOKUP(E14,'CDS Bootstrap'!$E$5:$E$15,'CDS Bootstrap'!$E$5:$E$15,,-1))*(_xlfn.XLOOKUP(E14,'CDS Bootstrap'!$E$5:$E$15,'CDS Bootstrap'!$N$5:$N$15,,1)-_xlfn.XLOOKUP(E14,'CDS Bootstrap'!$E$5:$E$15,'CDS Bootstrap'!$N$5:$N$15,,-1)))</f>
        <v>1.8088999582179549E-2</v>
      </c>
      <c r="J14" s="17">
        <v>0.4</v>
      </c>
      <c r="K14" s="18">
        <f>F14*G14*H14*(1-I14)+F14*G14*H14/2*(I14-I13)</f>
        <v>25145.362893987844</v>
      </c>
      <c r="L14" s="18">
        <f>F14*(1-J14)*(I14-I13)</f>
        <v>24455.788684795352</v>
      </c>
      <c r="M14">
        <f>EXP(LN(_xlfn.XLOOKUP(E14,Bootstrap!$D$4:$D$28,Bootstrap!$F$4:$F$28,,-1))+(E14-_xlfn.XLOOKUP(E14,Bootstrap!$D$4:$D$28,Bootstrap!$D$4:$D$28,,-1))/(_xlfn.XLOOKUP(E14,Bootstrap!$D$4:$D$28,Bootstrap!$D$4:$D$28,,1)-_xlfn.XLOOKUP(E14,Bootstrap!$D$4:$D$28,Bootstrap!$D$4:$D$28,,-1))*(LN(_xlfn.XLOOKUP(E14,Bootstrap!$D$4:$D$28,Bootstrap!$F$4:$F$28,,1))-LN(_xlfn.XLOOKUP(E14,Bootstrap!$D$4:$D$28,Bootstrap!$F$4:$F$28,,-1))))</f>
        <v>0.90499584145907486</v>
      </c>
      <c r="N14" s="18">
        <f t="shared" si="4"/>
        <v>-624.06179169663471</v>
      </c>
    </row>
    <row r="15" spans="3:14" x14ac:dyDescent="0.35">
      <c r="C15">
        <f t="shared" si="0"/>
        <v>11</v>
      </c>
      <c r="D15" s="14">
        <f t="shared" si="1"/>
        <v>46558</v>
      </c>
      <c r="E15" s="14">
        <f t="shared" si="2"/>
        <v>46650</v>
      </c>
      <c r="F15" s="26">
        <v>10000000</v>
      </c>
      <c r="G15" s="17">
        <v>0.01</v>
      </c>
      <c r="H15">
        <f t="shared" si="3"/>
        <v>0.25555555555555554</v>
      </c>
      <c r="I15">
        <f>IF(ISNUMBER(MATCH(E15,'CDS Bootstrap'!$E$5:$E$15,0)),_xlfn.XLOOKUP(E15,'CDS Bootstrap'!$E$5:$E$15,'CDS Bootstrap'!$N$5:$N$15),_xlfn.XLOOKUP(E15,'CDS Bootstrap'!$E$5:$E$15,'CDS Bootstrap'!$N$5:$N$15,,-1)+(E15-_xlfn.XLOOKUP(E15,'CDS Bootstrap'!$E$5:$E$15,'CDS Bootstrap'!$E$5:$E$15,,-1))/(_xlfn.XLOOKUP(E15,'CDS Bootstrap'!$E$5:$E$15,'CDS Bootstrap'!$E$5:$E$15,,1)-_xlfn.XLOOKUP(E15,'CDS Bootstrap'!$E$5:$E$15,'CDS Bootstrap'!$E$5:$E$15,,-1))*(_xlfn.XLOOKUP(E15,'CDS Bootstrap'!$E$5:$E$15,'CDS Bootstrap'!$N$5:$N$15,,1)-_xlfn.XLOOKUP(E15,'CDS Bootstrap'!$E$5:$E$15,'CDS Bootstrap'!$N$5:$N$15,,-1)))</f>
        <v>2.2164964362978771E-2</v>
      </c>
      <c r="J15" s="17">
        <v>0.4</v>
      </c>
      <c r="K15" s="18">
        <f>F15*G15*H15*(1-I15)+F15*G15*H15/2*(I15-I14)</f>
        <v>25041.199349589642</v>
      </c>
      <c r="L15" s="18">
        <f>F15*(1-J15)*(I15-I14)</f>
        <v>24455.78868479533</v>
      </c>
      <c r="M15">
        <f>EXP(LN(_xlfn.XLOOKUP(E15,Bootstrap!$D$4:$D$28,Bootstrap!$F$4:$F$28,,-1))+(E15-_xlfn.XLOOKUP(E15,Bootstrap!$D$4:$D$28,Bootstrap!$D$4:$D$28,,-1))/(_xlfn.XLOOKUP(E15,Bootstrap!$D$4:$D$28,Bootstrap!$D$4:$D$28,,1)-_xlfn.XLOOKUP(E15,Bootstrap!$D$4:$D$28,Bootstrap!$D$4:$D$28,,-1))*(LN(_xlfn.XLOOKUP(E15,Bootstrap!$D$4:$D$28,Bootstrap!$F$4:$F$28,,1))-LN(_xlfn.XLOOKUP(E15,Bootstrap!$D$4:$D$28,Bootstrap!$F$4:$F$28,,-1))))</f>
        <v>0.89593251781697614</v>
      </c>
      <c r="N15" s="18">
        <f t="shared" si="4"/>
        <v>-524.48845086607753</v>
      </c>
    </row>
    <row r="16" spans="3:14" x14ac:dyDescent="0.35">
      <c r="C16">
        <f t="shared" si="0"/>
        <v>12</v>
      </c>
      <c r="D16" s="14">
        <f t="shared" si="1"/>
        <v>46650</v>
      </c>
      <c r="E16" s="14">
        <f t="shared" si="2"/>
        <v>46741</v>
      </c>
      <c r="F16" s="26">
        <v>10000000</v>
      </c>
      <c r="G16" s="17">
        <v>0.01</v>
      </c>
      <c r="H16">
        <f t="shared" si="3"/>
        <v>0.25277777777777777</v>
      </c>
      <c r="I16">
        <f>IF(ISNUMBER(MATCH(E16,'CDS Bootstrap'!$E$5:$E$15,0)),_xlfn.XLOOKUP(E16,'CDS Bootstrap'!$E$5:$E$15,'CDS Bootstrap'!$N$5:$N$15),_xlfn.XLOOKUP(E16,'CDS Bootstrap'!$E$5:$E$15,'CDS Bootstrap'!$N$5:$N$15,,-1)+(E16-_xlfn.XLOOKUP(E16,'CDS Bootstrap'!$E$5:$E$15,'CDS Bootstrap'!$E$5:$E$15,,-1))/(_xlfn.XLOOKUP(E16,'CDS Bootstrap'!$E$5:$E$15,'CDS Bootstrap'!$E$5:$E$15,,1)-_xlfn.XLOOKUP(E16,'CDS Bootstrap'!$E$5:$E$15,'CDS Bootstrap'!$E$5:$E$15,,-1))*(_xlfn.XLOOKUP(E16,'CDS Bootstrap'!$E$5:$E$15,'CDS Bootstrap'!$N$5:$N$15,,1)-_xlfn.XLOOKUP(E16,'CDS Bootstrap'!$E$5:$E$15,'CDS Bootstrap'!$N$5:$N$15,,-1)))</f>
        <v>2.6196625178769306E-2</v>
      </c>
      <c r="J16" s="17">
        <v>0.4</v>
      </c>
      <c r="K16" s="18">
        <f>F16*G16*H16*(1-I16)+F16*G16*H16/2*(I16-I15)</f>
        <v>24666.541021069574</v>
      </c>
      <c r="L16" s="18">
        <f>F16*(1-J16)*(I16-I15)</f>
        <v>24189.964894743211</v>
      </c>
      <c r="M16">
        <f>EXP(LN(_xlfn.XLOOKUP(E16,Bootstrap!$D$4:$D$28,Bootstrap!$F$4:$F$28,,-1))+(E16-_xlfn.XLOOKUP(E16,Bootstrap!$D$4:$D$28,Bootstrap!$D$4:$D$28,,-1))/(_xlfn.XLOOKUP(E16,Bootstrap!$D$4:$D$28,Bootstrap!$D$4:$D$28,,1)-_xlfn.XLOOKUP(E16,Bootstrap!$D$4:$D$28,Bootstrap!$D$4:$D$28,,-1))*(LN(_xlfn.XLOOKUP(E16,Bootstrap!$D$4:$D$28,Bootstrap!$F$4:$F$28,,1))-LN(_xlfn.XLOOKUP(E16,Bootstrap!$D$4:$D$28,Bootstrap!$F$4:$F$28,,-1))))</f>
        <v>0.88705700436042478</v>
      </c>
      <c r="N16" s="18">
        <f t="shared" si="4"/>
        <v>-422.75019096875894</v>
      </c>
    </row>
    <row r="17" spans="3:14" x14ac:dyDescent="0.35">
      <c r="C17">
        <f t="shared" si="0"/>
        <v>13</v>
      </c>
      <c r="D17" s="14">
        <f t="shared" si="1"/>
        <v>46741</v>
      </c>
      <c r="E17" s="14">
        <f t="shared" si="2"/>
        <v>46832</v>
      </c>
      <c r="F17" s="26">
        <v>10000000</v>
      </c>
      <c r="G17" s="17">
        <v>0.01</v>
      </c>
      <c r="H17">
        <f t="shared" si="3"/>
        <v>0.25277777777777777</v>
      </c>
      <c r="I17">
        <f>IF(ISNUMBER(MATCH(E17,'CDS Bootstrap'!$E$5:$E$15,0)),_xlfn.XLOOKUP(E17,'CDS Bootstrap'!$E$5:$E$15,'CDS Bootstrap'!$N$5:$N$15),_xlfn.XLOOKUP(E17,'CDS Bootstrap'!$E$5:$E$15,'CDS Bootstrap'!$N$5:$N$15,,-1)+(E17-_xlfn.XLOOKUP(E17,'CDS Bootstrap'!$E$5:$E$15,'CDS Bootstrap'!$E$5:$E$15,,-1))/(_xlfn.XLOOKUP(E17,'CDS Bootstrap'!$E$5:$E$15,'CDS Bootstrap'!$E$5:$E$15,,1)-_xlfn.XLOOKUP(E17,'CDS Bootstrap'!$E$5:$E$15,'CDS Bootstrap'!$E$5:$E$15,,-1))*(_xlfn.XLOOKUP(E17,'CDS Bootstrap'!$E$5:$E$15,'CDS Bootstrap'!$N$5:$N$15,,1)-_xlfn.XLOOKUP(E17,'CDS Bootstrap'!$E$5:$E$15,'CDS Bootstrap'!$N$5:$N$15,,-1)))</f>
        <v>3.3354436143224114E-2</v>
      </c>
      <c r="J17" s="17">
        <v>0.4</v>
      </c>
      <c r="K17" s="18">
        <f>F17*G17*H17*(1-I17)+F17*G17*H17/2*(I17-I16)</f>
        <v>24525.118530513697</v>
      </c>
      <c r="L17" s="18">
        <f>F17*(1-J17)*(I17-I16)</f>
        <v>42946.865786728849</v>
      </c>
      <c r="M17">
        <f>EXP(LN(_xlfn.XLOOKUP(E17,Bootstrap!$D$4:$D$28,Bootstrap!$F$4:$F$28,,-1))+(E17-_xlfn.XLOOKUP(E17,Bootstrap!$D$4:$D$28,Bootstrap!$D$4:$D$28,,-1))/(_xlfn.XLOOKUP(E17,Bootstrap!$D$4:$D$28,Bootstrap!$D$4:$D$28,,1)-_xlfn.XLOOKUP(E17,Bootstrap!$D$4:$D$28,Bootstrap!$D$4:$D$28,,-1))*(LN(_xlfn.XLOOKUP(E17,Bootstrap!$D$4:$D$28,Bootstrap!$F$4:$F$28,,1))-LN(_xlfn.XLOOKUP(E17,Bootstrap!$D$4:$D$28,Bootstrap!$F$4:$F$28,,-1))))</f>
        <v>0.87834368451329914</v>
      </c>
      <c r="N17" s="18">
        <f t="shared" si="4"/>
        <v>16180.625360196776</v>
      </c>
    </row>
    <row r="18" spans="3:14" x14ac:dyDescent="0.35">
      <c r="C18">
        <f t="shared" si="0"/>
        <v>14</v>
      </c>
      <c r="D18" s="14">
        <f t="shared" si="1"/>
        <v>46832</v>
      </c>
      <c r="E18" s="14">
        <f t="shared" si="2"/>
        <v>46924</v>
      </c>
      <c r="F18" s="26">
        <v>10000000</v>
      </c>
      <c r="G18" s="17">
        <v>0.01</v>
      </c>
      <c r="H18">
        <f t="shared" si="3"/>
        <v>0.25555555555555554</v>
      </c>
      <c r="I18">
        <f>IF(ISNUMBER(MATCH(E18,'CDS Bootstrap'!$E$5:$E$15,0)),_xlfn.XLOOKUP(E18,'CDS Bootstrap'!$E$5:$E$15,'CDS Bootstrap'!$N$5:$N$15),_xlfn.XLOOKUP(E18,'CDS Bootstrap'!$E$5:$E$15,'CDS Bootstrap'!$N$5:$N$15,,-1)+(E18-_xlfn.XLOOKUP(E18,'CDS Bootstrap'!$E$5:$E$15,'CDS Bootstrap'!$E$5:$E$15,,-1))/(_xlfn.XLOOKUP(E18,'CDS Bootstrap'!$E$5:$E$15,'CDS Bootstrap'!$E$5:$E$15,,1)-_xlfn.XLOOKUP(E18,'CDS Bootstrap'!$E$5:$E$15,'CDS Bootstrap'!$E$5:$E$15,,-1))*(_xlfn.XLOOKUP(E18,'CDS Bootstrap'!$E$5:$E$15,'CDS Bootstrap'!$N$5:$N$15,,1)-_xlfn.XLOOKUP(E18,'CDS Bootstrap'!$E$5:$E$15,'CDS Bootstrap'!$N$5:$N$15,,-1)))</f>
        <v>4.0590904371024576E-2</v>
      </c>
      <c r="J18" s="17">
        <v>0.4</v>
      </c>
      <c r="K18" s="18">
        <f>F18*G18*H18*(1-I18)+F18*G18*H18/2*(I18-I17)</f>
        <v>24610.698426762377</v>
      </c>
      <c r="L18" s="18">
        <f>F18*(1-J18)*(I18-I17)</f>
        <v>43418.809366802772</v>
      </c>
      <c r="M18">
        <f>EXP(LN(_xlfn.XLOOKUP(E18,Bootstrap!$D$4:$D$28,Bootstrap!$F$4:$F$28,,-1))+(E18-_xlfn.XLOOKUP(E18,Bootstrap!$D$4:$D$28,Bootstrap!$D$4:$D$28,,-1))/(_xlfn.XLOOKUP(E18,Bootstrap!$D$4:$D$28,Bootstrap!$D$4:$D$28,,1)-_xlfn.XLOOKUP(E18,Bootstrap!$D$4:$D$28,Bootstrap!$D$4:$D$28,,-1))*(LN(_xlfn.XLOOKUP(E18,Bootstrap!$D$4:$D$28,Bootstrap!$F$4:$F$28,,1))-LN(_xlfn.XLOOKUP(E18,Bootstrap!$D$4:$D$28,Bootstrap!$F$4:$F$28,,-1))))</f>
        <v>0.86963183744593486</v>
      </c>
      <c r="N18" s="18">
        <f t="shared" si="4"/>
        <v>16356.132075674317</v>
      </c>
    </row>
    <row r="19" spans="3:14" x14ac:dyDescent="0.35">
      <c r="C19">
        <f t="shared" si="0"/>
        <v>15</v>
      </c>
      <c r="D19" s="14">
        <f t="shared" si="1"/>
        <v>46924</v>
      </c>
      <c r="E19" s="14">
        <f t="shared" si="2"/>
        <v>47016</v>
      </c>
      <c r="F19" s="26">
        <v>10000000</v>
      </c>
      <c r="G19" s="17">
        <v>0.01</v>
      </c>
      <c r="H19">
        <f t="shared" si="3"/>
        <v>0.25555555555555554</v>
      </c>
      <c r="I19">
        <f>IF(ISNUMBER(MATCH(E19,'CDS Bootstrap'!$E$5:$E$15,0)),_xlfn.XLOOKUP(E19,'CDS Bootstrap'!$E$5:$E$15,'CDS Bootstrap'!$N$5:$N$15),_xlfn.XLOOKUP(E19,'CDS Bootstrap'!$E$5:$E$15,'CDS Bootstrap'!$N$5:$N$15,,-1)+(E19-_xlfn.XLOOKUP(E19,'CDS Bootstrap'!$E$5:$E$15,'CDS Bootstrap'!$E$5:$E$15,,-1))/(_xlfn.XLOOKUP(E19,'CDS Bootstrap'!$E$5:$E$15,'CDS Bootstrap'!$E$5:$E$15,,1)-_xlfn.XLOOKUP(E19,'CDS Bootstrap'!$E$5:$E$15,'CDS Bootstrap'!$E$5:$E$15,,-1))*(_xlfn.XLOOKUP(E19,'CDS Bootstrap'!$E$5:$E$15,'CDS Bootstrap'!$N$5:$N$15,,1)-_xlfn.XLOOKUP(E19,'CDS Bootstrap'!$E$5:$E$15,'CDS Bootstrap'!$N$5:$N$15,,-1)))</f>
        <v>4.7827372598825038E-2</v>
      </c>
      <c r="J19" s="17">
        <v>0.4</v>
      </c>
      <c r="K19" s="18">
        <f>F19*G19*H19*(1-I19)+F19*G19*H19/2*(I19-I18)</f>
        <v>24425.766460940809</v>
      </c>
      <c r="L19" s="18">
        <f>F19*(1-J19)*(I19-I18)</f>
        <v>43418.809366802772</v>
      </c>
      <c r="M19">
        <f>EXP(LN(_xlfn.XLOOKUP(E19,Bootstrap!$D$4:$D$28,Bootstrap!$F$4:$F$28,,-1))+(E19-_xlfn.XLOOKUP(E19,Bootstrap!$D$4:$D$28,Bootstrap!$D$4:$D$28,,-1))/(_xlfn.XLOOKUP(E19,Bootstrap!$D$4:$D$28,Bootstrap!$D$4:$D$28,,1)-_xlfn.XLOOKUP(E19,Bootstrap!$D$4:$D$28,Bootstrap!$D$4:$D$28,,-1))*(LN(_xlfn.XLOOKUP(E19,Bootstrap!$D$4:$D$28,Bootstrap!$F$4:$F$28,,1))-LN(_xlfn.XLOOKUP(E19,Bootstrap!$D$4:$D$28,Bootstrap!$F$4:$F$28,,-1))))</f>
        <v>0.86100639878642193</v>
      </c>
      <c r="N19" s="18">
        <f t="shared" si="4"/>
        <v>16353.131474372207</v>
      </c>
    </row>
    <row r="20" spans="3:14" x14ac:dyDescent="0.35">
      <c r="C20">
        <f t="shared" si="0"/>
        <v>16</v>
      </c>
      <c r="D20" s="14">
        <f t="shared" si="1"/>
        <v>47016</v>
      </c>
      <c r="E20" s="14">
        <f t="shared" si="2"/>
        <v>47107</v>
      </c>
      <c r="F20" s="26">
        <v>10000000</v>
      </c>
      <c r="G20" s="17">
        <v>0.01</v>
      </c>
      <c r="H20">
        <f t="shared" si="3"/>
        <v>0.25277777777777777</v>
      </c>
      <c r="I20">
        <f>IF(ISNUMBER(MATCH(E20,'CDS Bootstrap'!$E$5:$E$15,0)),_xlfn.XLOOKUP(E20,'CDS Bootstrap'!$E$5:$E$15,'CDS Bootstrap'!$N$5:$N$15),_xlfn.XLOOKUP(E20,'CDS Bootstrap'!$E$5:$E$15,'CDS Bootstrap'!$N$5:$N$15,,-1)+(E20-_xlfn.XLOOKUP(E20,'CDS Bootstrap'!$E$5:$E$15,'CDS Bootstrap'!$E$5:$E$15,,-1))/(_xlfn.XLOOKUP(E20,'CDS Bootstrap'!$E$5:$E$15,'CDS Bootstrap'!$E$5:$E$15,,1)-_xlfn.XLOOKUP(E20,'CDS Bootstrap'!$E$5:$E$15,'CDS Bootstrap'!$E$5:$E$15,,-1))*(_xlfn.XLOOKUP(E20,'CDS Bootstrap'!$E$5:$E$15,'CDS Bootstrap'!$N$5:$N$15,,1)-_xlfn.XLOOKUP(E20,'CDS Bootstrap'!$E$5:$E$15,'CDS Bootstrap'!$N$5:$N$15,,-1)))</f>
        <v>5.4985183563279846E-2</v>
      </c>
      <c r="J20" s="17">
        <v>0.4</v>
      </c>
      <c r="K20" s="18">
        <f>F20*G20*H20*(1-I20)+F20*G20*H20/2*(I20-I19)</f>
        <v>23978.341304062287</v>
      </c>
      <c r="L20" s="18">
        <f>F20*(1-J20)*(I20-I19)</f>
        <v>42946.865786728849</v>
      </c>
      <c r="M20">
        <f>EXP(LN(_xlfn.XLOOKUP(E20,Bootstrap!$D$4:$D$28,Bootstrap!$F$4:$F$28,,-1))+(E20-_xlfn.XLOOKUP(E20,Bootstrap!$D$4:$D$28,Bootstrap!$D$4:$D$28,,-1))/(_xlfn.XLOOKUP(E20,Bootstrap!$D$4:$D$28,Bootstrap!$D$4:$D$28,,1)-_xlfn.XLOOKUP(E20,Bootstrap!$D$4:$D$28,Bootstrap!$D$4:$D$28,,-1))*(LN(_xlfn.XLOOKUP(E20,Bootstrap!$D$4:$D$28,Bootstrap!$F$4:$F$28,,1))-LN(_xlfn.XLOOKUP(E20,Bootstrap!$D$4:$D$28,Bootstrap!$F$4:$F$28,,-1))))</f>
        <v>0.85255887948816511</v>
      </c>
      <c r="N20" s="18">
        <f t="shared" si="4"/>
        <v>16171.783978486032</v>
      </c>
    </row>
    <row r="21" spans="3:14" x14ac:dyDescent="0.35">
      <c r="C21">
        <f t="shared" si="0"/>
        <v>17</v>
      </c>
      <c r="D21" s="14">
        <f t="shared" si="1"/>
        <v>47107</v>
      </c>
      <c r="E21" s="14">
        <f t="shared" si="2"/>
        <v>47197</v>
      </c>
      <c r="F21" s="26">
        <v>10000000</v>
      </c>
      <c r="G21" s="17">
        <v>0.01</v>
      </c>
      <c r="H21">
        <f t="shared" si="3"/>
        <v>0.25</v>
      </c>
      <c r="I21">
        <f>IF(ISNUMBER(MATCH(E21,'CDS Bootstrap'!$E$5:$E$15,0)),_xlfn.XLOOKUP(E21,'CDS Bootstrap'!$E$5:$E$15,'CDS Bootstrap'!$N$5:$N$15),_xlfn.XLOOKUP(E21,'CDS Bootstrap'!$E$5:$E$15,'CDS Bootstrap'!$N$5:$N$15,,-1)+(E21-_xlfn.XLOOKUP(E21,'CDS Bootstrap'!$E$5:$E$15,'CDS Bootstrap'!$E$5:$E$15,,-1))/(_xlfn.XLOOKUP(E21,'CDS Bootstrap'!$E$5:$E$15,'CDS Bootstrap'!$E$5:$E$15,,1)-_xlfn.XLOOKUP(E21,'CDS Bootstrap'!$E$5:$E$15,'CDS Bootstrap'!$E$5:$E$15,,-1))*(_xlfn.XLOOKUP(E21,'CDS Bootstrap'!$E$5:$E$15,'CDS Bootstrap'!$N$5:$N$15,,1)-_xlfn.XLOOKUP(E21,'CDS Bootstrap'!$E$5:$E$15,'CDS Bootstrap'!$N$5:$N$15,,-1)))</f>
        <v>6.5853994873885824E-2</v>
      </c>
      <c r="J21" s="17">
        <v>0.4</v>
      </c>
      <c r="K21" s="18">
        <f>F21*G21*H21*(1-I21)+F21*G21*H21/2*(I21-I20)</f>
        <v>23489.510269535429</v>
      </c>
      <c r="L21" s="18">
        <f>F21*(1-J21)*(I21-I20)</f>
        <v>65212.867863635867</v>
      </c>
      <c r="M21">
        <f>EXP(LN(_xlfn.XLOOKUP(E21,Bootstrap!$D$4:$D$28,Bootstrap!$F$4:$F$28,,-1))+(E21-_xlfn.XLOOKUP(E21,Bootstrap!$D$4:$D$28,Bootstrap!$D$4:$D$28,,-1))/(_xlfn.XLOOKUP(E21,Bootstrap!$D$4:$D$28,Bootstrap!$D$4:$D$28,,1)-_xlfn.XLOOKUP(E21,Bootstrap!$D$4:$D$28,Bootstrap!$D$4:$D$28,,-1))*(LN(_xlfn.XLOOKUP(E21,Bootstrap!$D$4:$D$28,Bootstrap!$F$4:$F$28,,1))-LN(_xlfn.XLOOKUP(E21,Bootstrap!$D$4:$D$28,Bootstrap!$F$4:$F$28,,-1))))</f>
        <v>0.84421786533604903</v>
      </c>
      <c r="N21" s="18">
        <f t="shared" si="4"/>
        <v>35223.603882744101</v>
      </c>
    </row>
    <row r="22" spans="3:14" x14ac:dyDescent="0.35">
      <c r="C22">
        <f t="shared" si="0"/>
        <v>18</v>
      </c>
      <c r="D22" s="14">
        <f t="shared" si="1"/>
        <v>47197</v>
      </c>
      <c r="E22" s="14">
        <f t="shared" si="2"/>
        <v>47289</v>
      </c>
      <c r="F22" s="26">
        <v>10000000</v>
      </c>
      <c r="G22" s="17">
        <v>0.01</v>
      </c>
      <c r="H22">
        <f t="shared" si="3"/>
        <v>0.25555555555555554</v>
      </c>
      <c r="I22">
        <f>IF(ISNUMBER(MATCH(E22,'CDS Bootstrap'!$E$5:$E$15,0)),_xlfn.XLOOKUP(E22,'CDS Bootstrap'!$E$5:$E$15,'CDS Bootstrap'!$N$5:$N$15),_xlfn.XLOOKUP(E22,'CDS Bootstrap'!$E$5:$E$15,'CDS Bootstrap'!$N$5:$N$15,,-1)+(E22-_xlfn.XLOOKUP(E22,'CDS Bootstrap'!$E$5:$E$15,'CDS Bootstrap'!$E$5:$E$15,,-1))/(_xlfn.XLOOKUP(E22,'CDS Bootstrap'!$E$5:$E$15,'CDS Bootstrap'!$E$5:$E$15,,1)-_xlfn.XLOOKUP(E22,'CDS Bootstrap'!$E$5:$E$15,'CDS Bootstrap'!$E$5:$E$15,,-1))*(_xlfn.XLOOKUP(E22,'CDS Bootstrap'!$E$5:$E$15,'CDS Bootstrap'!$N$5:$N$15,,1)-_xlfn.XLOOKUP(E22,'CDS Bootstrap'!$E$5:$E$15,'CDS Bootstrap'!$N$5:$N$15,,-1)))</f>
        <v>7.696433532472749E-2</v>
      </c>
      <c r="J22" s="17">
        <v>0.4</v>
      </c>
      <c r="K22" s="18">
        <f>F22*G22*H22*(1-I22)+F22*G22*H22/2*(I22-I21)</f>
        <v>23730.654669684387</v>
      </c>
      <c r="L22" s="18">
        <f>F22*(1-J22)*(I22-I21)</f>
        <v>66662.04270505</v>
      </c>
      <c r="M22">
        <f>EXP(LN(_xlfn.XLOOKUP(E22,Bootstrap!$D$4:$D$28,Bootstrap!$F$4:$F$28,,-1))+(E22-_xlfn.XLOOKUP(E22,Bootstrap!$D$4:$D$28,Bootstrap!$D$4:$D$28,,-1))/(_xlfn.XLOOKUP(E22,Bootstrap!$D$4:$D$28,Bootstrap!$D$4:$D$28,,1)-_xlfn.XLOOKUP(E22,Bootstrap!$D$4:$D$28,Bootstrap!$D$4:$D$28,,-1))*(LN(_xlfn.XLOOKUP(E22,Bootstrap!$D$4:$D$28,Bootstrap!$F$4:$F$28,,1))-LN(_xlfn.XLOOKUP(E22,Bootstrap!$D$4:$D$28,Bootstrap!$F$4:$F$28,,-1))))</f>
        <v>0.83576627386480962</v>
      </c>
      <c r="N22" s="18">
        <f t="shared" si="4"/>
        <v>35880.606210161786</v>
      </c>
    </row>
    <row r="23" spans="3:14" x14ac:dyDescent="0.35">
      <c r="C23">
        <f t="shared" si="0"/>
        <v>19</v>
      </c>
      <c r="D23" s="14">
        <f t="shared" si="1"/>
        <v>47289</v>
      </c>
      <c r="E23" s="14">
        <f t="shared" si="2"/>
        <v>47381</v>
      </c>
      <c r="F23" s="26">
        <v>10000000</v>
      </c>
      <c r="G23" s="17">
        <v>0.01</v>
      </c>
      <c r="H23">
        <f t="shared" si="3"/>
        <v>0.25555555555555554</v>
      </c>
      <c r="I23">
        <f>IF(ISNUMBER(MATCH(E23,'CDS Bootstrap'!$E$5:$E$15,0)),_xlfn.XLOOKUP(E23,'CDS Bootstrap'!$E$5:$E$15,'CDS Bootstrap'!$N$5:$N$15),_xlfn.XLOOKUP(E23,'CDS Bootstrap'!$E$5:$E$15,'CDS Bootstrap'!$N$5:$N$15,,-1)+(E23-_xlfn.XLOOKUP(E23,'CDS Bootstrap'!$E$5:$E$15,'CDS Bootstrap'!$E$5:$E$15,,-1))/(_xlfn.XLOOKUP(E23,'CDS Bootstrap'!$E$5:$E$15,'CDS Bootstrap'!$E$5:$E$15,,1)-_xlfn.XLOOKUP(E23,'CDS Bootstrap'!$E$5:$E$15,'CDS Bootstrap'!$E$5:$E$15,,-1))*(_xlfn.XLOOKUP(E23,'CDS Bootstrap'!$E$5:$E$15,'CDS Bootstrap'!$N$5:$N$15,,1)-_xlfn.XLOOKUP(E23,'CDS Bootstrap'!$E$5:$E$15,'CDS Bootstrap'!$N$5:$N$15,,-1)))</f>
        <v>8.8074675775569156E-2</v>
      </c>
      <c r="J23" s="17">
        <v>0.4</v>
      </c>
      <c r="K23" s="18">
        <f>F23*G23*H23*(1-I23)+F23*G23*H23/2*(I23-I22)</f>
        <v>23446.723747051765</v>
      </c>
      <c r="L23" s="18">
        <f>F23*(1-J23)*(I23-I22)</f>
        <v>66662.04270505</v>
      </c>
      <c r="M23">
        <f>EXP(LN(_xlfn.XLOOKUP(E23,Bootstrap!$D$4:$D$28,Bootstrap!$F$4:$F$28,,-1))+(E23-_xlfn.XLOOKUP(E23,Bootstrap!$D$4:$D$28,Bootstrap!$D$4:$D$28,,-1))/(_xlfn.XLOOKUP(E23,Bootstrap!$D$4:$D$28,Bootstrap!$D$4:$D$28,,1)-_xlfn.XLOOKUP(E23,Bootstrap!$D$4:$D$28,Bootstrap!$D$4:$D$28,,-1))*(LN(_xlfn.XLOOKUP(E23,Bootstrap!$D$4:$D$28,Bootstrap!$F$4:$F$28,,1))-LN(_xlfn.XLOOKUP(E23,Bootstrap!$D$4:$D$28,Bootstrap!$F$4:$F$28,,-1))))</f>
        <v>0.82739929254141198</v>
      </c>
      <c r="N23" s="18">
        <f t="shared" si="4"/>
        <v>35756.32433279921</v>
      </c>
    </row>
    <row r="24" spans="3:14" x14ac:dyDescent="0.35">
      <c r="C24">
        <f t="shared" si="0"/>
        <v>20</v>
      </c>
      <c r="D24" s="14">
        <f t="shared" si="1"/>
        <v>47381</v>
      </c>
      <c r="E24" s="14">
        <f t="shared" si="2"/>
        <v>47472</v>
      </c>
      <c r="F24" s="26">
        <v>10000000</v>
      </c>
      <c r="G24" s="17">
        <v>0.01</v>
      </c>
      <c r="H24">
        <f t="shared" si="3"/>
        <v>0.25277777777777777</v>
      </c>
      <c r="I24">
        <f>IF(ISNUMBER(MATCH(E24,'CDS Bootstrap'!$E$5:$E$15,0)),_xlfn.XLOOKUP(E24,'CDS Bootstrap'!$E$5:$E$15,'CDS Bootstrap'!$N$5:$N$15),_xlfn.XLOOKUP(E24,'CDS Bootstrap'!$E$5:$E$15,'CDS Bootstrap'!$N$5:$N$15,,-1)+(E24-_xlfn.XLOOKUP(E24,'CDS Bootstrap'!$E$5:$E$15,'CDS Bootstrap'!$E$5:$E$15,,-1))/(_xlfn.XLOOKUP(E24,'CDS Bootstrap'!$E$5:$E$15,'CDS Bootstrap'!$E$5:$E$15,,1)-_xlfn.XLOOKUP(E24,'CDS Bootstrap'!$E$5:$E$15,'CDS Bootstrap'!$E$5:$E$15,,-1))*(_xlfn.XLOOKUP(E24,'CDS Bootstrap'!$E$5:$E$15,'CDS Bootstrap'!$N$5:$N$15,,1)-_xlfn.XLOOKUP(E24,'CDS Bootstrap'!$E$5:$E$15,'CDS Bootstrap'!$N$5:$N$15,,-1)))</f>
        <v>9.9064251656292984E-2</v>
      </c>
      <c r="J24" s="17">
        <v>0.4</v>
      </c>
      <c r="K24" s="18">
        <f>F24*G24*H24*(1-I24)+F24*G24*H24/2*(I24-I23)</f>
        <v>22912.549667180632</v>
      </c>
      <c r="L24" s="18">
        <f>F24*(1-J24)*(I24-I23)</f>
        <v>65937.45528434297</v>
      </c>
      <c r="M24">
        <f>EXP(LN(_xlfn.XLOOKUP(E24,Bootstrap!$D$4:$D$28,Bootstrap!$F$4:$F$28,,-1))+(E24-_xlfn.XLOOKUP(E24,Bootstrap!$D$4:$D$28,Bootstrap!$D$4:$D$28,,-1))/(_xlfn.XLOOKUP(E24,Bootstrap!$D$4:$D$28,Bootstrap!$D$4:$D$28,,1)-_xlfn.XLOOKUP(E24,Bootstrap!$D$4:$D$28,Bootstrap!$D$4:$D$28,,-1))*(LN(_xlfn.XLOOKUP(E24,Bootstrap!$D$4:$D$28,Bootstrap!$F$4:$F$28,,1))-LN(_xlfn.XLOOKUP(E24,Bootstrap!$D$4:$D$28,Bootstrap!$F$4:$F$28,,-1))))</f>
        <v>0.8192056620121092</v>
      </c>
      <c r="N24" s="18">
        <f t="shared" si="4"/>
        <v>35246.246289115988</v>
      </c>
    </row>
    <row r="25" spans="3:14" x14ac:dyDescent="0.35">
      <c r="C25">
        <f t="shared" si="0"/>
        <v>21</v>
      </c>
      <c r="D25" s="14">
        <f t="shared" si="1"/>
        <v>47472</v>
      </c>
      <c r="E25" s="14">
        <f t="shared" si="2"/>
        <v>47562</v>
      </c>
      <c r="F25" s="26">
        <v>10000000</v>
      </c>
      <c r="G25" s="17">
        <v>0.01</v>
      </c>
      <c r="H25">
        <f t="shared" si="3"/>
        <v>0.25</v>
      </c>
      <c r="I25">
        <f>IF(ISNUMBER(MATCH(E25,'CDS Bootstrap'!$E$5:$E$15,0)),_xlfn.XLOOKUP(E25,'CDS Bootstrap'!$E$5:$E$15,'CDS Bootstrap'!$N$5:$N$15),_xlfn.XLOOKUP(E25,'CDS Bootstrap'!$E$5:$E$15,'CDS Bootstrap'!$N$5:$N$15,,-1)+(E25-_xlfn.XLOOKUP(E25,'CDS Bootstrap'!$E$5:$E$15,'CDS Bootstrap'!$E$5:$E$15,,-1))/(_xlfn.XLOOKUP(E25,'CDS Bootstrap'!$E$5:$E$15,'CDS Bootstrap'!$E$5:$E$15,,1)-_xlfn.XLOOKUP(E25,'CDS Bootstrap'!$E$5:$E$15,'CDS Bootstrap'!$E$5:$E$15,,-1))*(_xlfn.XLOOKUP(E25,'CDS Bootstrap'!$E$5:$E$15,'CDS Bootstrap'!$N$5:$N$15,,1)-_xlfn.XLOOKUP(E25,'CDS Bootstrap'!$E$5:$E$15,'CDS Bootstrap'!$N$5:$N$15,,-1)))</f>
        <v>0.1117332657610885</v>
      </c>
      <c r="J25" s="17">
        <v>0.4</v>
      </c>
      <c r="K25" s="18">
        <f>F25*G25*H25*(1-I25)+F25*G25*H25/2*(I25-I24)</f>
        <v>22365.031032282732</v>
      </c>
      <c r="L25" s="18">
        <f>F25*(1-J25)*(I25-I24)</f>
        <v>76014.084628773067</v>
      </c>
      <c r="M25">
        <f>EXP(LN(_xlfn.XLOOKUP(E25,Bootstrap!$D$4:$D$28,Bootstrap!$F$4:$F$28,,-1))+(E25-_xlfn.XLOOKUP(E25,Bootstrap!$D$4:$D$28,Bootstrap!$D$4:$D$28,,-1))/(_xlfn.XLOOKUP(E25,Bootstrap!$D$4:$D$28,Bootstrap!$D$4:$D$28,,1)-_xlfn.XLOOKUP(E25,Bootstrap!$D$4:$D$28,Bootstrap!$D$4:$D$28,,-1))*(LN(_xlfn.XLOOKUP(E25,Bootstrap!$D$4:$D$28,Bootstrap!$F$4:$F$28,,1))-LN(_xlfn.XLOOKUP(E25,Bootstrap!$D$4:$D$28,Bootstrap!$F$4:$F$28,,-1))))</f>
        <v>0.81111459066373215</v>
      </c>
      <c r="N25" s="18">
        <f t="shared" si="4"/>
        <v>43515.530147413891</v>
      </c>
    </row>
    <row r="26" spans="3:14" x14ac:dyDescent="0.35">
      <c r="C26">
        <f t="shared" si="0"/>
        <v>22</v>
      </c>
      <c r="D26" s="14">
        <f t="shared" si="1"/>
        <v>47562</v>
      </c>
      <c r="E26" s="14">
        <f t="shared" si="2"/>
        <v>47654</v>
      </c>
      <c r="F26" s="26">
        <v>10000000</v>
      </c>
      <c r="G26" s="17">
        <v>0.01</v>
      </c>
      <c r="H26">
        <f t="shared" si="3"/>
        <v>0.25555555555555554</v>
      </c>
      <c r="I26">
        <f>IF(ISNUMBER(MATCH(E26,'CDS Bootstrap'!$E$5:$E$15,0)),_xlfn.XLOOKUP(E26,'CDS Bootstrap'!$E$5:$E$15,'CDS Bootstrap'!$N$5:$N$15),_xlfn.XLOOKUP(E26,'CDS Bootstrap'!$E$5:$E$15,'CDS Bootstrap'!$N$5:$N$15,,-1)+(E26-_xlfn.XLOOKUP(E26,'CDS Bootstrap'!$E$5:$E$15,'CDS Bootstrap'!$E$5:$E$15,,-1))/(_xlfn.XLOOKUP(E26,'CDS Bootstrap'!$E$5:$E$15,'CDS Bootstrap'!$E$5:$E$15,,1)-_xlfn.XLOOKUP(E26,'CDS Bootstrap'!$E$5:$E$15,'CDS Bootstrap'!$E$5:$E$15,,-1))*(_xlfn.XLOOKUP(E26,'CDS Bootstrap'!$E$5:$E$15,'CDS Bootstrap'!$N$5:$N$15,,1)-_xlfn.XLOOKUP(E26,'CDS Bootstrap'!$E$5:$E$15,'CDS Bootstrap'!$N$5:$N$15,,-1)))</f>
        <v>0.12468381351265723</v>
      </c>
      <c r="J26" s="17">
        <v>0.4</v>
      </c>
      <c r="K26" s="18">
        <f>F26*G26*H26*(1-I26)+F26*G26*H26/2*(I26-I25)</f>
        <v>22534.670653724359</v>
      </c>
      <c r="L26" s="18">
        <f>F26*(1-J26)*(I26-I25)</f>
        <v>77703.286509412384</v>
      </c>
      <c r="M26">
        <f>EXP(LN(_xlfn.XLOOKUP(E26,Bootstrap!$D$4:$D$28,Bootstrap!$F$4:$F$28,,-1))+(E26-_xlfn.XLOOKUP(E26,Bootstrap!$D$4:$D$28,Bootstrap!$D$4:$D$28,,-1))/(_xlfn.XLOOKUP(E26,Bootstrap!$D$4:$D$28,Bootstrap!$D$4:$D$28,,1)-_xlfn.XLOOKUP(E26,Bootstrap!$D$4:$D$28,Bootstrap!$D$4:$D$28,,-1))*(LN(_xlfn.XLOOKUP(E26,Bootstrap!$D$4:$D$28,Bootstrap!$F$4:$F$28,,1))-LN(_xlfn.XLOOKUP(E26,Bootstrap!$D$4:$D$28,Bootstrap!$F$4:$F$28,,-1))))</f>
        <v>0.80291682770838668</v>
      </c>
      <c r="N26" s="18">
        <f t="shared" si="4"/>
        <v>44295.810031911635</v>
      </c>
    </row>
    <row r="27" spans="3:14" x14ac:dyDescent="0.35">
      <c r="C27">
        <f t="shared" si="0"/>
        <v>23</v>
      </c>
      <c r="D27" s="14">
        <f t="shared" si="1"/>
        <v>47654</v>
      </c>
      <c r="E27" s="14">
        <f t="shared" si="2"/>
        <v>47746</v>
      </c>
      <c r="F27" s="26">
        <v>10000000</v>
      </c>
      <c r="G27" s="17">
        <v>0.01</v>
      </c>
      <c r="H27">
        <f t="shared" si="3"/>
        <v>0.25555555555555554</v>
      </c>
      <c r="I27">
        <f>IF(ISNUMBER(MATCH(E27,'CDS Bootstrap'!$E$5:$E$15,0)),_xlfn.XLOOKUP(E27,'CDS Bootstrap'!$E$5:$E$15,'CDS Bootstrap'!$N$5:$N$15),_xlfn.XLOOKUP(E27,'CDS Bootstrap'!$E$5:$E$15,'CDS Bootstrap'!$N$5:$N$15,,-1)+(E27-_xlfn.XLOOKUP(E27,'CDS Bootstrap'!$E$5:$E$15,'CDS Bootstrap'!$E$5:$E$15,,-1))/(_xlfn.XLOOKUP(E27,'CDS Bootstrap'!$E$5:$E$15,'CDS Bootstrap'!$E$5:$E$15,,1)-_xlfn.XLOOKUP(E27,'CDS Bootstrap'!$E$5:$E$15,'CDS Bootstrap'!$E$5:$E$15,,-1))*(_xlfn.XLOOKUP(E27,'CDS Bootstrap'!$E$5:$E$15,'CDS Bootstrap'!$N$5:$N$15,,1)-_xlfn.XLOOKUP(E27,'CDS Bootstrap'!$E$5:$E$15,'CDS Bootstrap'!$N$5:$N$15,,-1)))</f>
        <v>0.13763436126422596</v>
      </c>
      <c r="J27" s="17">
        <v>0.4</v>
      </c>
      <c r="K27" s="18">
        <f>F27*G27*H27*(1-I27)+F27*G27*H27/2*(I27-I26)</f>
        <v>22203.712211184273</v>
      </c>
      <c r="L27" s="18">
        <f>F27*(1-J27)*(I27-I26)</f>
        <v>77703.286509412384</v>
      </c>
      <c r="M27">
        <f>EXP(LN(_xlfn.XLOOKUP(E27,Bootstrap!$D$4:$D$28,Bootstrap!$F$4:$F$28,,-1))+(E27-_xlfn.XLOOKUP(E27,Bootstrap!$D$4:$D$28,Bootstrap!$D$4:$D$28,,-1))/(_xlfn.XLOOKUP(E27,Bootstrap!$D$4:$D$28,Bootstrap!$D$4:$D$28,,1)-_xlfn.XLOOKUP(E27,Bootstrap!$D$4:$D$28,Bootstrap!$D$4:$D$28,,-1))*(LN(_xlfn.XLOOKUP(E27,Bootstrap!$D$4:$D$28,Bootstrap!$F$4:$F$28,,1))-LN(_xlfn.XLOOKUP(E27,Bootstrap!$D$4:$D$28,Bootstrap!$F$4:$F$28,,-1))))</f>
        <v>0.7948019178027157</v>
      </c>
      <c r="N27" s="18">
        <f t="shared" si="4"/>
        <v>44111.168089466009</v>
      </c>
    </row>
    <row r="28" spans="3:14" x14ac:dyDescent="0.35">
      <c r="C28">
        <f t="shared" si="0"/>
        <v>24</v>
      </c>
      <c r="D28" s="14">
        <f t="shared" si="1"/>
        <v>47746</v>
      </c>
      <c r="E28" s="14">
        <f t="shared" si="2"/>
        <v>47837</v>
      </c>
      <c r="F28" s="26">
        <v>10000000</v>
      </c>
      <c r="G28" s="17">
        <v>0.01</v>
      </c>
      <c r="H28">
        <f t="shared" si="3"/>
        <v>0.25277777777777777</v>
      </c>
      <c r="I28">
        <f>IF(ISNUMBER(MATCH(E28,'CDS Bootstrap'!$E$5:$E$15,0)),_xlfn.XLOOKUP(E28,'CDS Bootstrap'!$E$5:$E$15,'CDS Bootstrap'!$N$5:$N$15),_xlfn.XLOOKUP(E28,'CDS Bootstrap'!$E$5:$E$15,'CDS Bootstrap'!$N$5:$N$15,,-1)+(E28-_xlfn.XLOOKUP(E28,'CDS Bootstrap'!$E$5:$E$15,'CDS Bootstrap'!$E$5:$E$15,,-1))/(_xlfn.XLOOKUP(E28,'CDS Bootstrap'!$E$5:$E$15,'CDS Bootstrap'!$E$5:$E$15,,1)-_xlfn.XLOOKUP(E28,'CDS Bootstrap'!$E$5:$E$15,'CDS Bootstrap'!$E$5:$E$15,,-1))*(_xlfn.XLOOKUP(E28,'CDS Bootstrap'!$E$5:$E$15,'CDS Bootstrap'!$N$5:$N$15,,1)-_xlfn.XLOOKUP(E28,'CDS Bootstrap'!$E$5:$E$15,'CDS Bootstrap'!$N$5:$N$15,,-1)))</f>
        <v>0.15044414219240809</v>
      </c>
      <c r="J28" s="17">
        <v>0.4</v>
      </c>
      <c r="K28" s="18">
        <f>F28*G28*H28*(1-I28)+F28*G28*H28/2*(I28-I27)</f>
        <v>21636.785581311986</v>
      </c>
      <c r="L28" s="18">
        <f>F28*(1-J28)*(I28-I27)</f>
        <v>76858.685569092806</v>
      </c>
      <c r="M28">
        <f>EXP(LN(_xlfn.XLOOKUP(E28,Bootstrap!$D$4:$D$28,Bootstrap!$F$4:$F$28,,-1))+(E28-_xlfn.XLOOKUP(E28,Bootstrap!$D$4:$D$28,Bootstrap!$D$4:$D$28,,-1))/(_xlfn.XLOOKUP(E28,Bootstrap!$D$4:$D$28,Bootstrap!$D$4:$D$28,,1)-_xlfn.XLOOKUP(E28,Bootstrap!$D$4:$D$28,Bootstrap!$D$4:$D$28,,-1))*(LN(_xlfn.XLOOKUP(E28,Bootstrap!$D$4:$D$28,Bootstrap!$F$4:$F$28,,1))-LN(_xlfn.XLOOKUP(E28,Bootstrap!$D$4:$D$28,Bootstrap!$F$4:$F$28,,-1))))</f>
        <v>0.78685589970602876</v>
      </c>
      <c r="N28" s="18">
        <f t="shared" si="4"/>
        <v>43451.677798361619</v>
      </c>
    </row>
    <row r="29" spans="3:14" x14ac:dyDescent="0.35">
      <c r="C29">
        <f t="shared" si="0"/>
        <v>25</v>
      </c>
      <c r="D29" s="14">
        <f t="shared" si="1"/>
        <v>47837</v>
      </c>
      <c r="E29" s="14">
        <f t="shared" si="2"/>
        <v>47927</v>
      </c>
      <c r="F29" s="26">
        <v>10000000</v>
      </c>
      <c r="G29" s="17">
        <v>0.01</v>
      </c>
      <c r="H29">
        <f t="shared" si="3"/>
        <v>0.25</v>
      </c>
      <c r="I29">
        <f>IF(ISNUMBER(MATCH(E29,'CDS Bootstrap'!$E$5:$E$15,0)),_xlfn.XLOOKUP(E29,'CDS Bootstrap'!$E$5:$E$15,'CDS Bootstrap'!$N$5:$N$15),_xlfn.XLOOKUP(E29,'CDS Bootstrap'!$E$5:$E$15,'CDS Bootstrap'!$N$5:$N$15,,-1)+(E29-_xlfn.XLOOKUP(E29,'CDS Bootstrap'!$E$5:$E$15,'CDS Bootstrap'!$E$5:$E$15,,-1))/(_xlfn.XLOOKUP(E29,'CDS Bootstrap'!$E$5:$E$15,'CDS Bootstrap'!$E$5:$E$15,,1)-_xlfn.XLOOKUP(E29,'CDS Bootstrap'!$E$5:$E$15,'CDS Bootstrap'!$E$5:$E$15,,-1))*(_xlfn.XLOOKUP(E29,'CDS Bootstrap'!$E$5:$E$15,'CDS Bootstrap'!$N$5:$N$15,,1)-_xlfn.XLOOKUP(E29,'CDS Bootstrap'!$E$5:$E$15,'CDS Bootstrap'!$N$5:$N$15,,-1)))</f>
        <v>0.1631131562972036</v>
      </c>
      <c r="J29" s="17">
        <v>0.4</v>
      </c>
      <c r="K29" s="18">
        <f>F29*G29*H29*(1-I29)+F29*G29*H29/2*(I29-I28)</f>
        <v>21080.533768879857</v>
      </c>
      <c r="L29" s="18">
        <f>F29*(1-J29)*(I29-I28)</f>
        <v>76014.084628773067</v>
      </c>
      <c r="M29">
        <f>EXP(LN(_xlfn.XLOOKUP(E29,Bootstrap!$D$4:$D$28,Bootstrap!$F$4:$F$28,,-1))+(E29-_xlfn.XLOOKUP(E29,Bootstrap!$D$4:$D$28,Bootstrap!$D$4:$D$28,,-1))/(_xlfn.XLOOKUP(E29,Bootstrap!$D$4:$D$28,Bootstrap!$D$4:$D$28,,1)-_xlfn.XLOOKUP(E29,Bootstrap!$D$4:$D$28,Bootstrap!$D$4:$D$28,,-1))*(LN(_xlfn.XLOOKUP(E29,Bootstrap!$D$4:$D$28,Bootstrap!$F$4:$F$28,,1))-LN(_xlfn.XLOOKUP(E29,Bootstrap!$D$4:$D$28,Bootstrap!$F$4:$F$28,,-1))))</f>
        <v>0.77901081889413804</v>
      </c>
      <c r="N29" s="18">
        <f t="shared" si="4"/>
        <v>42793.830440128186</v>
      </c>
    </row>
    <row r="30" spans="3:14" x14ac:dyDescent="0.35">
      <c r="C30">
        <f t="shared" ref="C30:C32" si="5">C29+1</f>
        <v>26</v>
      </c>
      <c r="D30" s="14">
        <f t="shared" si="1"/>
        <v>47927</v>
      </c>
      <c r="E30" s="14">
        <f t="shared" si="2"/>
        <v>48019</v>
      </c>
      <c r="F30" s="26">
        <v>10000000</v>
      </c>
      <c r="G30" s="17">
        <v>0.01</v>
      </c>
      <c r="H30">
        <f t="shared" ref="H30:H32" si="6">(E30-D30)/360</f>
        <v>0.25555555555555554</v>
      </c>
      <c r="I30">
        <f>IF(ISNUMBER(MATCH(E30,'CDS Bootstrap'!$E$5:$E$15,0)),_xlfn.XLOOKUP(E30,'CDS Bootstrap'!$E$5:$E$15,'CDS Bootstrap'!$N$5:$N$15),_xlfn.XLOOKUP(E30,'CDS Bootstrap'!$E$5:$E$15,'CDS Bootstrap'!$N$5:$N$15,,-1)+(E30-_xlfn.XLOOKUP(E30,'CDS Bootstrap'!$E$5:$E$15,'CDS Bootstrap'!$E$5:$E$15,,-1))/(_xlfn.XLOOKUP(E30,'CDS Bootstrap'!$E$5:$E$15,'CDS Bootstrap'!$E$5:$E$15,,1)-_xlfn.XLOOKUP(E30,'CDS Bootstrap'!$E$5:$E$15,'CDS Bootstrap'!$E$5:$E$15,,-1))*(_xlfn.XLOOKUP(E30,'CDS Bootstrap'!$E$5:$E$15,'CDS Bootstrap'!$N$5:$N$15,,1)-_xlfn.XLOOKUP(E30,'CDS Bootstrap'!$E$5:$E$15,'CDS Bootstrap'!$N$5:$N$15,,-1)))</f>
        <v>0.17606370404877233</v>
      </c>
      <c r="J30" s="17">
        <v>0.4</v>
      </c>
      <c r="K30" s="18">
        <f>F30*G30*H30*(1-I30)+F30*G30*H30/2*(I30-I29)</f>
        <v>21221.629006690306</v>
      </c>
      <c r="L30" s="18">
        <f>F30*(1-J30)*(I30-I29)</f>
        <v>77703.286509412384</v>
      </c>
      <c r="M30">
        <f>EXP(LN(_xlfn.XLOOKUP(E30,Bootstrap!$D$4:$D$28,Bootstrap!$F$4:$F$28,,-1))+(E30-_xlfn.XLOOKUP(E30,Bootstrap!$D$4:$D$28,Bootstrap!$D$4:$D$28,,-1))/(_xlfn.XLOOKUP(E30,Bootstrap!$D$4:$D$28,Bootstrap!$D$4:$D$28,,1)-_xlfn.XLOOKUP(E30,Bootstrap!$D$4:$D$28,Bootstrap!$D$4:$D$28,,-1))*(LN(_xlfn.XLOOKUP(E30,Bootstrap!$D$4:$D$28,Bootstrap!$F$4:$F$28,,1))-LN(_xlfn.XLOOKUP(E30,Bootstrap!$D$4:$D$28,Bootstrap!$F$4:$F$28,,-1))))</f>
        <v>0.77106315081145826</v>
      </c>
      <c r="N30" s="18">
        <f t="shared" ref="N30:N32" si="7">(L30-K30)*M30</f>
        <v>43550.924797102532</v>
      </c>
    </row>
    <row r="31" spans="3:14" x14ac:dyDescent="0.35">
      <c r="C31">
        <f t="shared" si="5"/>
        <v>27</v>
      </c>
      <c r="D31" s="14">
        <f t="shared" si="1"/>
        <v>48019</v>
      </c>
      <c r="E31" s="14">
        <f t="shared" si="2"/>
        <v>48111</v>
      </c>
      <c r="F31" s="26">
        <v>10000000</v>
      </c>
      <c r="G31" s="17">
        <v>0.01</v>
      </c>
      <c r="H31">
        <f t="shared" si="6"/>
        <v>0.25555555555555554</v>
      </c>
      <c r="I31">
        <f>IF(ISNUMBER(MATCH(E31,'CDS Bootstrap'!$E$5:$E$15,0)),_xlfn.XLOOKUP(E31,'CDS Bootstrap'!$E$5:$E$15,'CDS Bootstrap'!$N$5:$N$15),_xlfn.XLOOKUP(E31,'CDS Bootstrap'!$E$5:$E$15,'CDS Bootstrap'!$N$5:$N$15,,-1)+(E31-_xlfn.XLOOKUP(E31,'CDS Bootstrap'!$E$5:$E$15,'CDS Bootstrap'!$E$5:$E$15,,-1))/(_xlfn.XLOOKUP(E31,'CDS Bootstrap'!$E$5:$E$15,'CDS Bootstrap'!$E$5:$E$15,,1)-_xlfn.XLOOKUP(E31,'CDS Bootstrap'!$E$5:$E$15,'CDS Bootstrap'!$E$5:$E$15,,-1))*(_xlfn.XLOOKUP(E31,'CDS Bootstrap'!$E$5:$E$15,'CDS Bootstrap'!$N$5:$N$15,,1)-_xlfn.XLOOKUP(E31,'CDS Bootstrap'!$E$5:$E$15,'CDS Bootstrap'!$N$5:$N$15,,-1)))</f>
        <v>0.18901425180034109</v>
      </c>
      <c r="J31" s="17">
        <v>0.4</v>
      </c>
      <c r="K31" s="18">
        <f>F31*G31*H31*(1-I31)+F31*G31*H31/2*(I31-I30)</f>
        <v>20890.670564150219</v>
      </c>
      <c r="L31" s="18">
        <f>F31*(1-J31)*(I31-I30)</f>
        <v>77703.286509412545</v>
      </c>
      <c r="M31">
        <f>EXP(LN(_xlfn.XLOOKUP(E31,Bootstrap!$D$4:$D$28,Bootstrap!$F$4:$F$28,,-1))+(E31-_xlfn.XLOOKUP(E31,Bootstrap!$D$4:$D$28,Bootstrap!$D$4:$D$28,,-1))/(_xlfn.XLOOKUP(E31,Bootstrap!$D$4:$D$28,Bootstrap!$D$4:$D$28,,1)-_xlfn.XLOOKUP(E31,Bootstrap!$D$4:$D$28,Bootstrap!$D$4:$D$28,,-1))*(LN(_xlfn.XLOOKUP(E31,Bootstrap!$D$4:$D$28,Bootstrap!$F$4:$F$28,,1))-LN(_xlfn.XLOOKUP(E31,Bootstrap!$D$4:$D$28,Bootstrap!$F$4:$F$28,,-1))))</f>
        <v>0.76319656687603354</v>
      </c>
      <c r="N31" s="18">
        <f t="shared" si="7"/>
        <v>43359.193444670811</v>
      </c>
    </row>
    <row r="32" spans="3:14" x14ac:dyDescent="0.35">
      <c r="C32">
        <f t="shared" si="5"/>
        <v>28</v>
      </c>
      <c r="D32" s="14">
        <f t="shared" si="1"/>
        <v>48111</v>
      </c>
      <c r="E32" s="14">
        <f t="shared" si="2"/>
        <v>48202</v>
      </c>
      <c r="F32" s="26">
        <v>10000000</v>
      </c>
      <c r="G32" s="17">
        <v>0.01</v>
      </c>
      <c r="H32">
        <f t="shared" si="6"/>
        <v>0.25277777777777777</v>
      </c>
      <c r="I32">
        <f>IF(ISNUMBER(MATCH(E32,'CDS Bootstrap'!$E$5:$E$15,0)),_xlfn.XLOOKUP(E32,'CDS Bootstrap'!$E$5:$E$15,'CDS Bootstrap'!$N$5:$N$15),_xlfn.XLOOKUP(E32,'CDS Bootstrap'!$E$5:$E$15,'CDS Bootstrap'!$N$5:$N$15,,-1)+(E32-_xlfn.XLOOKUP(E32,'CDS Bootstrap'!$E$5:$E$15,'CDS Bootstrap'!$E$5:$E$15,,-1))/(_xlfn.XLOOKUP(E32,'CDS Bootstrap'!$E$5:$E$15,'CDS Bootstrap'!$E$5:$E$15,,1)-_xlfn.XLOOKUP(E32,'CDS Bootstrap'!$E$5:$E$15,'CDS Bootstrap'!$E$5:$E$15,,-1))*(_xlfn.XLOOKUP(E32,'CDS Bootstrap'!$E$5:$E$15,'CDS Bootstrap'!$N$5:$N$15,,1)-_xlfn.XLOOKUP(E32,'CDS Bootstrap'!$E$5:$E$15,'CDS Bootstrap'!$N$5:$N$15,,-1)))</f>
        <v>0.2018240327285232</v>
      </c>
      <c r="J32" s="17">
        <v>0.4</v>
      </c>
      <c r="K32" s="18">
        <f>F32*G32*H32*(1-I32)+F32*G32*H32/2*(I32-I31)</f>
        <v>20338.01612609352</v>
      </c>
      <c r="L32" s="18">
        <f>F32*(1-J32)*(I32-I31)</f>
        <v>76858.685569092646</v>
      </c>
      <c r="M32">
        <f>EXP(LN(_xlfn.XLOOKUP(E32,Bootstrap!$D$4:$D$28,Bootstrap!$F$4:$F$28,,-1))+(E32-_xlfn.XLOOKUP(E32,Bootstrap!$D$4:$D$28,Bootstrap!$D$4:$D$28,,-1))/(_xlfn.XLOOKUP(E32,Bootstrap!$D$4:$D$28,Bootstrap!$D$4:$D$28,,1)-_xlfn.XLOOKUP(E32,Bootstrap!$D$4:$D$28,Bootstrap!$D$4:$D$28,,-1))*(LN(_xlfn.XLOOKUP(E32,Bootstrap!$D$4:$D$28,Bootstrap!$F$4:$F$28,,1))-LN(_xlfn.XLOOKUP(E32,Bootstrap!$D$4:$D$28,Bootstrap!$F$4:$F$28,,-1))))</f>
        <v>0.75549444532432786</v>
      </c>
      <c r="N32" s="18">
        <f t="shared" si="7"/>
        <v>42701.051810198311</v>
      </c>
    </row>
    <row r="33" spans="4:14" x14ac:dyDescent="0.35">
      <c r="D33" s="14"/>
      <c r="E33" s="14"/>
      <c r="F33" s="26"/>
      <c r="G33" s="17"/>
      <c r="J33" s="17"/>
      <c r="K33" s="18"/>
      <c r="L33" s="18"/>
      <c r="N33" s="27">
        <f>SUM(N5:N32)</f>
        <v>419442.51028981205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Bootstrap</vt:lpstr>
      <vt:lpstr>Swap Cashflows</vt:lpstr>
      <vt:lpstr>Risk Ladder</vt:lpstr>
      <vt:lpstr>CDS Bootstrap</vt:lpstr>
      <vt:lpstr>CDS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Keogh</dc:creator>
  <cp:lastModifiedBy>Yazad Madan</cp:lastModifiedBy>
  <cp:lastPrinted>2026-03-01T22:45:12Z</cp:lastPrinted>
  <dcterms:created xsi:type="dcterms:W3CDTF">2025-01-03T02:23:26Z</dcterms:created>
  <dcterms:modified xsi:type="dcterms:W3CDTF">2026-03-02T15:23:52Z</dcterms:modified>
</cp:coreProperties>
</file>