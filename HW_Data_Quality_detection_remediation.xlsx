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_MQF\SEM2\Market Risk\PPT\week8\"/>
    </mc:Choice>
  </mc:AlternateContent>
  <xr:revisionPtr revIDLastSave="0" documentId="13_ncr:1_{12051F54-5DF8-4980-90E6-7B2BD36C533A}" xr6:coauthVersionLast="47" xr6:coauthVersionMax="47" xr10:uidLastSave="{00000000-0000-0000-0000-000000000000}"/>
  <bookViews>
    <workbookView xWindow="-96" yWindow="-96" windowWidth="23232" windowHeight="12432" tabRatio="500" xr2:uid="{00000000-000D-0000-FFFF-FFFF00000000}"/>
  </bookViews>
  <sheets>
    <sheet name="1_Raw_Data" sheetId="1" r:id="rId1"/>
    <sheet name="2_DQ_Detection" sheetId="2" r:id="rId2"/>
    <sheet name="3_Remediation" sheetId="3" r:id="rId3"/>
    <sheet name="4_Clean_Data_Assumption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9" i="3" l="1"/>
  <c r="B9" i="3"/>
  <c r="B8" i="3"/>
  <c r="G46" i="4"/>
  <c r="G10" i="3" s="1"/>
  <c r="G7" i="3"/>
  <c r="G6" i="3"/>
  <c r="G5" i="3"/>
  <c r="G4" i="3"/>
  <c r="G3" i="3"/>
  <c r="B10" i="3"/>
  <c r="B7" i="3"/>
  <c r="B6" i="3"/>
  <c r="B5" i="3"/>
  <c r="B4" i="3"/>
  <c r="B3" i="3"/>
  <c r="B9" i="2"/>
  <c r="B8" i="2"/>
  <c r="B7" i="2"/>
  <c r="B6" i="2"/>
  <c r="B5" i="2"/>
  <c r="B4" i="2"/>
  <c r="E43" i="4"/>
  <c r="C39" i="4"/>
  <c r="E38" i="4"/>
  <c r="D36" i="4"/>
  <c r="C36" i="4"/>
  <c r="B36" i="4"/>
  <c r="G9" i="4"/>
  <c r="F9" i="4"/>
  <c r="E9" i="4"/>
  <c r="D9" i="4"/>
  <c r="C9" i="4"/>
  <c r="B9" i="4"/>
  <c r="G8" i="4"/>
  <c r="F8" i="4"/>
  <c r="E8" i="4"/>
  <c r="D8" i="4"/>
  <c r="C8" i="4"/>
  <c r="B8" i="4"/>
  <c r="G3" i="4"/>
  <c r="G4" i="4"/>
  <c r="G5" i="4"/>
  <c r="G6" i="4"/>
  <c r="G7"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7" i="4"/>
  <c r="G48" i="4"/>
  <c r="G49" i="4"/>
  <c r="G50" i="4"/>
  <c r="F3" i="4"/>
  <c r="F4" i="4"/>
  <c r="F5" i="4"/>
  <c r="F6" i="4"/>
  <c r="F7"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E3" i="4"/>
  <c r="E4" i="4"/>
  <c r="E5" i="4"/>
  <c r="E6" i="4"/>
  <c r="E7"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9" i="4"/>
  <c r="E40" i="4"/>
  <c r="E41" i="4"/>
  <c r="E42" i="4"/>
  <c r="E44" i="4"/>
  <c r="E45" i="4"/>
  <c r="E46" i="4"/>
  <c r="E47" i="4"/>
  <c r="E48" i="4"/>
  <c r="E49" i="4"/>
  <c r="E50" i="4"/>
  <c r="D3" i="4"/>
  <c r="D4" i="4"/>
  <c r="D5" i="4"/>
  <c r="D6" i="4"/>
  <c r="D7" i="4"/>
  <c r="D10" i="4"/>
  <c r="D11" i="4"/>
  <c r="D12" i="4"/>
  <c r="D13" i="4"/>
  <c r="D14" i="4"/>
  <c r="D15" i="4"/>
  <c r="D16" i="4"/>
  <c r="D17" i="4"/>
  <c r="D18" i="4"/>
  <c r="D19" i="4"/>
  <c r="D20" i="4"/>
  <c r="D21" i="4"/>
  <c r="D22" i="4"/>
  <c r="D23" i="4"/>
  <c r="D24" i="4"/>
  <c r="D25" i="4"/>
  <c r="D26" i="4"/>
  <c r="D27" i="4"/>
  <c r="D28" i="4"/>
  <c r="D29" i="4"/>
  <c r="D30" i="4"/>
  <c r="D31" i="4"/>
  <c r="D32" i="4"/>
  <c r="D33" i="4"/>
  <c r="D34" i="4"/>
  <c r="D35" i="4"/>
  <c r="D37" i="4"/>
  <c r="D38" i="4"/>
  <c r="D39" i="4"/>
  <c r="D40" i="4"/>
  <c r="D41" i="4"/>
  <c r="D42" i="4"/>
  <c r="D43" i="4"/>
  <c r="D44" i="4"/>
  <c r="D45" i="4"/>
  <c r="D46" i="4"/>
  <c r="D47" i="4"/>
  <c r="D48" i="4"/>
  <c r="D49" i="4"/>
  <c r="D50" i="4"/>
  <c r="C3" i="4"/>
  <c r="C4" i="4"/>
  <c r="C5" i="4"/>
  <c r="C6" i="4"/>
  <c r="C7" i="4"/>
  <c r="C10" i="4"/>
  <c r="C11" i="4"/>
  <c r="C12" i="4"/>
  <c r="C13" i="4"/>
  <c r="C14" i="4"/>
  <c r="C15" i="4"/>
  <c r="C16" i="4"/>
  <c r="C17" i="4"/>
  <c r="C18" i="4"/>
  <c r="C19" i="4"/>
  <c r="C20" i="4"/>
  <c r="C21" i="4"/>
  <c r="C22" i="4"/>
  <c r="C23" i="4"/>
  <c r="C24" i="4"/>
  <c r="C25" i="4"/>
  <c r="C26" i="4"/>
  <c r="C27" i="4"/>
  <c r="C28" i="4"/>
  <c r="C29" i="4"/>
  <c r="C30" i="4"/>
  <c r="C31" i="4"/>
  <c r="C32" i="4"/>
  <c r="C33" i="4"/>
  <c r="C34" i="4"/>
  <c r="C35" i="4"/>
  <c r="C37" i="4"/>
  <c r="C38" i="4"/>
  <c r="C40" i="4"/>
  <c r="C41" i="4"/>
  <c r="C42" i="4"/>
  <c r="C43" i="4"/>
  <c r="C44" i="4"/>
  <c r="C45" i="4"/>
  <c r="C46" i="4"/>
  <c r="C47" i="4"/>
  <c r="C48" i="4"/>
  <c r="C49" i="4"/>
  <c r="C50" i="4"/>
  <c r="B3" i="4"/>
  <c r="B4" i="4"/>
  <c r="B5" i="4"/>
  <c r="B6" i="4"/>
  <c r="B7" i="4"/>
  <c r="B10" i="4"/>
  <c r="B11" i="4"/>
  <c r="B12" i="4"/>
  <c r="B13" i="4"/>
  <c r="B14" i="4"/>
  <c r="B15" i="4"/>
  <c r="B16" i="4"/>
  <c r="B17" i="4"/>
  <c r="B18" i="4"/>
  <c r="B19" i="4"/>
  <c r="B20" i="4"/>
  <c r="B21" i="4"/>
  <c r="B22" i="4"/>
  <c r="B23" i="4"/>
  <c r="B24" i="4"/>
  <c r="B25" i="4"/>
  <c r="B26" i="4"/>
  <c r="B27" i="4"/>
  <c r="B28" i="4"/>
  <c r="B29" i="4"/>
  <c r="B30" i="4"/>
  <c r="B31" i="4"/>
  <c r="B32" i="4"/>
  <c r="B33" i="4"/>
  <c r="B34" i="4"/>
  <c r="B35" i="4"/>
  <c r="B37" i="4"/>
  <c r="B38" i="4"/>
  <c r="B39" i="4"/>
  <c r="B40" i="4"/>
  <c r="B41" i="4"/>
  <c r="B42" i="4"/>
  <c r="B43" i="4"/>
  <c r="B44" i="4"/>
  <c r="B45" i="4"/>
  <c r="B46" i="4"/>
  <c r="B47" i="4"/>
  <c r="B48" i="4"/>
  <c r="B49" i="4"/>
  <c r="B50"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B21" i="2" a="1"/>
  <c r="B21" i="2" s="1"/>
  <c r="B15" i="2" a="1"/>
  <c r="B15" i="2" s="1"/>
  <c r="B13" i="2"/>
  <c r="B14" i="2" s="1"/>
  <c r="B20" i="2"/>
  <c r="B19" i="2"/>
  <c r="B17" i="2"/>
  <c r="B16" i="2" l="1"/>
  <c r="B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<sst xmlns="http://schemas.openxmlformats.org/spreadsheetml/2006/main" count="283" uniqueCount="149">
  <si>
    <t>Date</t>
  </si>
  <si>
    <t>USD 2Y (%)</t>
  </si>
  <si>
    <t>USD 5Y (%)</t>
  </si>
  <si>
    <t>USD 10Y (%)</t>
  </si>
  <si>
    <t>CORP BBB Spread (bps)</t>
  </si>
  <si>
    <t>SPX (pts)</t>
  </si>
  <si>
    <t>EURUSD</t>
  </si>
  <si>
    <t>DQ Flag</t>
  </si>
  <si>
    <t>DQ Category</t>
  </si>
  <si>
    <t>STALE</t>
  </si>
  <si>
    <t>Stale Values</t>
  </si>
  <si>
    <t>DISCONTINUITY</t>
  </si>
  <si>
    <t>Outlier / Discontinuity</t>
  </si>
  <si>
    <t>MISSING</t>
  </si>
  <si>
    <t>Missing Value</t>
  </si>
  <si>
    <t>SPIKE + TENOR CROSS</t>
  </si>
  <si>
    <t>Outlier / Spike + Tenor Crossing</t>
  </si>
  <si>
    <t>NEGATIVE SPREAD</t>
  </si>
  <si>
    <t>Outlier / Negative Spread</t>
  </si>
  <si>
    <t>SPIKE</t>
  </si>
  <si>
    <t>Outlier / Spike</t>
  </si>
  <si>
    <t>Color Key:</t>
  </si>
  <si>
    <t>Stale</t>
  </si>
  <si>
    <t>Missing</t>
  </si>
  <si>
    <t>Discontinuity</t>
  </si>
  <si>
    <t>Spike / Tenor Crossing</t>
  </si>
  <si>
    <t>Negative Spread</t>
  </si>
  <si>
    <t>#</t>
  </si>
  <si>
    <t>Date(s)</t>
  </si>
  <si>
    <t>Risk Factor(s)</t>
  </si>
  <si>
    <t>Flag</t>
  </si>
  <si>
    <t>Statistical Evidence</t>
  </si>
  <si>
    <t>Market / Economic Rationale</t>
  </si>
  <si>
    <t>Impact on VaR / ES</t>
  </si>
  <si>
    <t>Detection Method</t>
  </si>
  <si>
    <t>Jan 9 &amp; Jan 12, 2026</t>
  </si>
  <si>
    <t>All 6 Risk Factors</t>
  </si>
  <si>
    <t>All 6 RFs on Jan 9 and Jan 12 are identical to Jan 8.
USD 2Y: 4.36 unchanged (Δ = 0.00).
USD 5Y: 4.21, USD 10Y: 4.08, CORP: 171, SPX: 4,790, EURUSD: 1.0932.
Probability of a full-panel freeze across 6 independent RFs on 2 separate business days ≈ 0.</t>
  </si>
  <si>
    <t>Stale check: 3+ consecutive identical observations across all RFs</t>
  </si>
  <si>
    <t>USD 2Y, USD 5Y, USD 10Y</t>
  </si>
  <si>
    <t>USD 2Y: 4.32 → 4.10 (Δ = −22 bps, one day).
USD 5Y: 4.17 → 3.95 (Δ = −22 bps).
USD 10Y: 4.05 → 3.90 (Δ = −15 bps).
Partial reversal by Feb 23: USD 2Y recovers to 4.12.
CORP BBB, SPX, EURUSD on Feb 20 show no anomaly.</t>
  </si>
  <si>
    <t>Incorrect rate levels distort DV01-based sensitivity. Any ES scenario generated with Feb 20 data produces a synthetic shock not reflective of realized market conditions. Contaminates the full lookback window of the HS model.</t>
  </si>
  <si>
    <t>Day-over-day change &gt; 3σ across all IR tenors simultaneously; partial reversal within 3 days</t>
  </si>
  <si>
    <t>CORP BBB Spread</t>
  </si>
  <si>
    <t>Single-day gap in credit spread data. All other 5 RFs present on Feb 24. Indicates a one-day feed interruption for the CORP BBB time series specifically. The surrounding trend is smooth and monotone (steady widening), confirming the gap is a sourcing failure.</t>
  </si>
  <si>
    <t>Credit spread exposure cannot be computed for Feb 24. Any HS scenario window including this date will have an incomplete credit risk picture. If excluded, the lookback shrinks by 1 day; if left null, the risk engine may error.</t>
  </si>
  <si>
    <t>Null / blank check on daily CORP BBB column</t>
  </si>
  <si>
    <t>USD 5Y</t>
  </si>
  <si>
    <t>Spike</t>
  </si>
  <si>
    <t>USD 5Y: 3.99 → 3.60 → 4.01 (Feb 24/25/26).
Single-day move: −39 bps.
Adjacent tenors on the same date: USD 2Y +1 bp, USD 10Y +1 bp.
Z-score = (3.60 − 4.10) / 0.094 ≈ −5.3σ (vs. full sample mean/std).</t>
  </si>
  <si>
    <t>IR VaR for any instrument with 5Y duration would be massively overstated. DV01 hedges calibrated to this date would be mis-sized. Additionally, this spike causes a tenor crossing (see Issue #5).</t>
  </si>
  <si>
    <t>Z-score |z| &gt; 3σ; single-day spike with full next-day reversal; no corroboration in adjacent tenors</t>
  </si>
  <si>
    <t>USD 5Y vs USD 10Y</t>
  </si>
  <si>
    <t>Tenor Crossing</t>
  </si>
  <si>
    <t>Cross-tenor consistency check: 5Y yield &lt; 10Y yield (monotonicity violation)</t>
  </si>
  <si>
    <t>CORP BBB Spread = −25 bps on Mar 3.
Surrounding values: Mar 2 = 218 bps, Mar 4 = 219 bps.
Z-score = (−25 − 189.8) / 36.5 ≈ −5.9σ.
Domain rule: a credit spread cannot be negative.</t>
  </si>
  <si>
    <t>Credit VaR computed with a −25 bps spread would produce an impossible scenario. A long credit position would show a massive artificial gain; a short position would show an artificial loss. The error renders the entire Mar 3 credit scenario unusable.</t>
  </si>
  <si>
    <t>Domain validity check: spread &lt; 0 is economically impossible; |z| &gt; 3σ</t>
  </si>
  <si>
    <t>EURUSD: 1.0949 → 1.2500 → 1.0962 (Mar 5/6/9).
Single-day move: +14.6%.
Mean = 1.0922, Std = 0.0234 (full sample).
Z-score = (1.2500 − 1.0922) / 0.0234 ≈ +6.7σ.
Full next-day reversal.</t>
  </si>
  <si>
    <t>FX VaR for any EUR/USD exposure would be dominated by this single scenario. A 14.6% move entered into a 250-day HS window inflates the VaR estimate for the entire window, making it uninformative and likely triggering false regulatory capital charges.</t>
  </si>
  <si>
    <t>Z-score |z| &gt; 6σ; day-over-day move &gt; 10%; full next-day reversal</t>
  </si>
  <si>
    <t>DQ Summary Statistics</t>
  </si>
  <si>
    <t>Total observations</t>
  </si>
  <si>
    <t>Missing cells</t>
  </si>
  <si>
    <t>Distinct DQ issues identified</t>
  </si>
  <si>
    <t>DQ categories covered</t>
  </si>
  <si>
    <t>Issue #</t>
  </si>
  <si>
    <t>Risk Factor</t>
  </si>
  <si>
    <t>Remediation Method</t>
  </si>
  <si>
    <t>Formula / Logic</t>
  </si>
  <si>
    <t>Remediated Value</t>
  </si>
  <si>
    <t>All 6 RFs</t>
  </si>
  <si>
    <t>Linear Interpolation</t>
  </si>
  <si>
    <t>Jan8 + (Jan13 - Jan8) × 1/3  [step 1 of 3]</t>
  </si>
  <si>
    <t>Linear interp between Jan 8 (last clean, step 0) and Jan 13 (next clean, step 3). Jan 9 = step 1/3. Produces a smooth, market-consistent path. Preferred over forward fill for stale data because it corrects the flat period rather than extending it.</t>
  </si>
  <si>
    <t>Jan8 + (Jan13 - Jan8) × 2/3  [step 2 of 3]</t>
  </si>
  <si>
    <t>Jan 12 = step 2/3 of the same interpolation path. Both stale dates use the same clean anchors (Jan 8 and Jan 13).</t>
  </si>
  <si>
    <t>USD 2Y / 5Y / 10Y only</t>
  </si>
  <si>
    <t>Feb19 + (Feb23 - Feb19) × 1/4  [step 1 of 4]</t>
  </si>
  <si>
    <t>IR tenors only remediated. Feb 20 = step 1/4 between Feb 19 (row 35) and Feb 23 (row 37). CORP BBB (210), SPX (4,680), EURUSD (1.0878) on Feb 20 are clean and retained as-is.</t>
  </si>
  <si>
    <t>(Feb23_CORP + Feb25_CORP) / 2</t>
  </si>
  <si>
    <t>Spike + Tenor Crossing</t>
  </si>
  <si>
    <t>(Feb24_5Y + Feb26_5Y) / 2</t>
  </si>
  <si>
    <t>Feb 24 = 3.99%, Feb 26 = 4.01%. Interpolated = 4.00%. Correcting the 5Y spike also resolves the tenor crossing: post-remediation USD 5Y (4.00%) &gt; USD 10Y (3.94%), restoring monotone curve.</t>
  </si>
  <si>
    <t>Forward Fill</t>
  </si>
  <si>
    <t>Forward fill: carry Mar 2 CORP value forward</t>
  </si>
  <si>
    <t>Spike / Outlier</t>
  </si>
  <si>
    <t>(Mar5_EURUSD + Mar9_EURUSD) / 2</t>
  </si>
  <si>
    <t>Remediation Method Summary</t>
  </si>
  <si>
    <t>Method</t>
  </si>
  <si>
    <t>Applied To</t>
  </si>
  <si>
    <t>Issues Covered</t>
  </si>
  <si>
    <t>When to Use</t>
  </si>
  <si>
    <t>Jan 9, Jan 12 (Stale); Feb 20 IR tenors (Discontinuity); Feb 24 CORP (Missing); Feb 25 USD 5Y (Spike); Mar 6 EURUSD (Spike)</t>
  </si>
  <si>
    <t>Clean anchor observations available on BOTH sides of the gap. Smooth trend between anchors. Produces a market-consistent path without introducing artificial flatness.</t>
  </si>
  <si>
    <t>Mar 3 CORP BBB Spread (Negative Spread)</t>
  </si>
  <si>
    <t>1 of 7 issues</t>
  </si>
  <si>
    <t>Domain-validity error (impossible value) where the error itself makes interpolation unreliable. Prior clean observation is stable and the best available anchor. Also appropriate when next clean observation is not yet available (real-time production).</t>
  </si>
  <si>
    <t>CORP BBB (bps)</t>
  </si>
  <si>
    <t>Remediation Applied</t>
  </si>
  <si>
    <t>Assumptions</t>
  </si>
  <si>
    <t>Assumption</t>
  </si>
  <si>
    <t>Stale detection: three or more consecutive identical observations across all six risk factors simultaneously classified as a feed outage. A coincidental single-pair repeat is possible; a full-panel freeze is not.</t>
  </si>
  <si>
    <t>Feb 20 level shift: treated as a vendor curve-fixing error, not a genuine market event. Evidence: (a) ~20 bps parallel move across all IR tenors; (b) partial reversal within 3 business days; (c) no corroborating move in CORP BBB, SPX, or EURUSD. Raw CORP/SPX/EURUSD values on Feb 20 are retained.</t>
  </si>
  <si>
    <t>Interpolation step fractions: Jan 9 = 1/3 step between Jan 8 and Jan 13; Jan 12 = 2/3 step. Feb 20 = 1/4 step between Feb 19 and Feb 23 (3 business-day span with equal step spacing).</t>
  </si>
  <si>
    <t>CORP BBB missing (Feb 24): interpolated as midpoint of Feb 23 (212 bps) and Feb 25 (215 bps). Single-day gap; adjacent obs are clean and reliable.</t>
  </si>
  <si>
    <t>USD 5Y spike (Feb 25): 3.60% treated as data entry error. Z-score ≈ −5.3σ; adjacent tenors move &lt;1 bp; full next-day reversal. Remediated via midpoint interpolation: (3.99 + 4.01) / 2 = 4.00%.</t>
  </si>
  <si>
    <t>Tenor crossing (Feb 25): resolved automatically by correcting the USD 5Y spike. No separate remediation required.</t>
  </si>
  <si>
    <t>EURUSD spike (Mar 6): 1.2500 treated as keying error (z ≈ +6.7σ; full next-day reversal). Remediated as midpoint: (1.0949 + 1.0962) / 2 = 1.0956.</t>
  </si>
  <si>
    <t>No proxy mapping or regression applied. All affected dates have clean adjacent observations, making interpolation or forward fill sufficient and preferable. Proxy/regression would be used for multi-week gaps or when surrounding data is also suspect.</t>
  </si>
  <si>
    <t>Jan 10-11 are weekends (not in dataset). Jan 9 and Jan 12 are consecutive business days. No market event would freeze all 6 unrelated RFs simultaneously. Indicates vendor feed outage - data was not updated and prior day values were re-fed.</t>
  </si>
  <si>
    <t>A genuine 20+ bps parallel IR shift followed by immediate partial reversal is economically implausible without a macro catalyst. No central bank action or crisis event occurred. CORP, SPX, EURUSD are unaffected - if a real rate shock had occurred, credit spreads and equities would have reacted. Indicates a vendor curve-fixing error (wrong settlement date or stale snapshot published).</t>
  </si>
  <si>
    <t>A 5Y rate sitting 34 bps below 10Y is a structural market impossibility in this context - it would imply extreme near-term rate cut expectations not supported by any macro data. This is a direct consequence of the USD 5Y spike (#4): the 5Y level is wrong, not the 10Y.</t>
  </si>
  <si>
    <t>EURUSD has never moved 14% in a single trading session under normal conditions. The largest single-day EUR/USD moves in history (e.g., SNB floor removal, 2015) were ~15% - such an event would dominate every news source globally. The immediate full reversal the next day confirms this is a keying/decimal error (e.g., 1.2500 instead of 1.0500).</t>
  </si>
  <si>
    <t>Yield curve used in HS scenario generation is structurally broken for Feb 25. Scenario P&amp;Ls for all instruments spanning the 5-10Y segment are unreliable. Risk engine may produce internally inconsistent pricing.</t>
  </si>
  <si>
    <t>Stale IR rates freeze duration / DV01 risk at Jan 8 levels. Stale SPX understates equity vol. VaR computed on these dates uses flat P&amp;L scenarios - understates true risk.</t>
  </si>
  <si>
    <t>Forward fill from Mar 2 (218 bps). Applied for a domain-validity error (negative spread) rather than interpolation because: (a) the error is an impossible value - any computed midpoint would be unreliable; (b) the prior clean value (218) is stable and consistent with the trend; (c) forward fill is the standard method for clear sign/magnitude errors in production.</t>
  </si>
  <si>
    <t>Mar 5 = 1.0949, Mar 9 = 1.0962. Interpolated = 1.0956. Full next-day reversal confirms error is isolated to Mar 6. Clean anchors available on both sides - interpolation is preferred over forward fill.</t>
  </si>
  <si>
    <t>Single-day gap. Feb 23 = 212 bps, Feb 25 = 215 bps. Linear interp (midpoint) gives 213.5 bps. Trend is smooth and monotone - interpolation is the most accurate fill.</t>
  </si>
  <si>
    <t>INTERP - Stale: all 6 RFs, linear interp Jan 8→Jan 13 (step 1/3)</t>
  </si>
  <si>
    <t>INTERP - Stale: all 6 RFs, linear interp Jan 8→Jan 13 (step 2/3)</t>
  </si>
  <si>
    <t>CORP BBB Spread is null / blank on Feb 24.
Surrounding clean values: Feb 23 = 212 bps, Feb 25 = 215 bps.
Missing % for CORP column = 1/48 = 2.08% - breaches &lt;0.5% threshold.</t>
  </si>
  <si>
    <t>A -39 bps move in 5Y yields while 2Y and 10Y are flat is structurally impossible in a functioning market - a 5Y dislocation of this magnitude would immediately propagate to adjacent tenors via arbitrage. The value fully reverts the next day, confirming it is a data entry error, not a real rate move.</t>
  </si>
  <si>
    <t>On Feb 25 (raw data): USD 5Y = 3.60 &lt; USD 10Y = 3.94.
5Y-10Y inversion = −34 bps.
No other date in the dataset has 5Y &lt; 10Y.
Normal spread (5Y − 10Y) across all other dates: +0.10 to +0.13.</t>
  </si>
  <si>
    <t>A BBB corporate spread below zero is economically impossible - it implies investors demand a lower yield on a sub-investment-grade corporate bond than on risk-free sovereign debt. The surrounding values (218-219 bps) and the monotone trend confirm this is a data entry error (likely a sign flip or missing digit: −25 instead of 215 or 225).</t>
  </si>
  <si>
    <t>Rationale - Why This Method</t>
  </si>
  <si>
    <t>-</t>
  </si>
  <si>
    <t>INTERP - Discontinuity: USD 2Y/5Y/10Y only, linear interp Feb 19→Feb 23 (step 1/4)</t>
  </si>
  <si>
    <t>INTERP - Missing: CORP BBB = (Feb 23 + Feb 25) / 2</t>
  </si>
  <si>
    <t>INTERP - Spike+Tenor Cross: USD 5Y = (Feb 24 + Feb 26) / 2; resolves tenor crossing</t>
  </si>
  <si>
    <t>FFILL - Negative Spread: CORP BBB forward filled from Mar 2 (218 bps)</t>
  </si>
  <si>
    <t>INTERP - Spike: EURUSD = (Mar 5 + Mar 9) / 2</t>
  </si>
  <si>
    <t>Business day calendar: Jan 10-11 are weekend days and are absent from the dataset. Jan 9 and Jan 12 are the two consecutive stale business days following Jan 8.</t>
  </si>
  <si>
    <t>CORP BBB negative spread (Mar 3): −25 bps is economically impossible. Forward fill from Mar 2 (218 bps). Forward fill preferred over interpolation for domain-validity errors - the error value itself makes any computed midpoint unreliable.</t>
  </si>
  <si>
    <t>Z-scores computed against full sample (n=48 including flagged obs). In production, z-scores would be computed against a clean historical window - actual z-scores on a clean sample would be larger in magnitude (more conservative).</t>
  </si>
  <si>
    <t>Market Risk - Daily Time Series | Raw Data | Jan 2 - Mar 12, 2026 | 48 Observations | 6 Risk Factors</t>
  </si>
  <si>
    <t>DQ Detection | Issues Identified and Documented</t>
  </si>
  <si>
    <t>Remediation | Linear Interpolation &amp; Forward Fill</t>
  </si>
  <si>
    <t>Clean / Remediated Time Series | Formulas reference Sheet 1_Raw_Data | Remediated cells highlighted</t>
  </si>
  <si>
    <t>Total cells (6 risk factors x obs)</t>
  </si>
  <si>
    <t>Missing % of total cells</t>
  </si>
  <si>
    <t>Stale cell-observations (rows x 6 RFs)</t>
  </si>
  <si>
    <t>Stale % of total cells</t>
  </si>
  <si>
    <t>Outlier / spike / discontinuity flags</t>
  </si>
  <si>
    <t>N/A — Resolved via Issue #4</t>
  </si>
  <si>
    <t>No separate formula needed</t>
  </si>
  <si>
    <t>N/A</t>
  </si>
  <si>
    <t>Tenor crossing on Feb 25 (USD 5Y = 3.60% &lt; USD 10Y = 3.94%) is a direct consequence of the USD 5Y spike (Issue #4). Correcting the spike via interpolation to 4.00% automatically restores the yield curve monotonicity: USD 5Y (4.00%) &gt; USD 10Y (3.94%). No separate remediation step required.</t>
  </si>
  <si>
    <t>6 of 7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</si>
</sst>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0"/>
    <numFmt numFmtId="166" formatCode="0.0"/>
  </numFmts>
  <fonts count="13" x14ac:knownFonts="1">
    <font>
      <sz val="11"/>
      <color theme="1"/>
      <name val="Calibri"/>
      <family val="2"/>
      <charset val="1"/>
    </font>
    <font>
      <sz val="10"/>
      <color rgb="FF000000"/>
      <name val="Calibri"/>
      <family val="2"/>
    </font>
    <font>
      <b/>
      <sz val="11"/>
      <color rgb="FF000000"/>
      <name val="Calibri"/>
      <family val="2"/>
    </font>
    <font>
      <b/>
      <sz val="10"/>
      <color rgb="FF000000"/>
      <name val="Calibri"/>
      <family val="2"/>
    </font>
    <font>
      <b/>
      <sz val="10"/>
      <color rgb="FF7F6000"/>
      <name val="Calibri"/>
      <family val="2"/>
    </font>
    <font>
      <b/>
      <sz val="10"/>
      <color rgb="FF843C0C"/>
      <name val="Calibri"/>
      <family val="2"/>
    </font>
    <font>
      <b/>
      <sz val="10"/>
      <color rgb="FF1F497D"/>
      <name val="Calibri"/>
      <family val="2"/>
    </font>
    <font>
      <b/>
      <sz val="10"/>
      <color rgb="FF4A235A"/>
      <name val="Calibri"/>
      <family val="2"/>
    </font>
    <font>
      <b/>
      <sz val="10"/>
      <color rgb="FF9C0006"/>
      <name val="Calibri"/>
      <family val="2"/>
    </font>
    <font>
      <b/>
      <sz val="11"/>
      <color rgb="FF1F3864"/>
      <name val="Calibri"/>
      <family val="2"/>
    </font>
    <font>
      <b/>
      <sz val="10"/>
      <color rgb="FFFFFFFF"/>
      <name val="Calibri"/>
      <family val="2"/>
    </font>
    <font>
      <b/>
      <sz val="10"/>
      <color rgb="FF1F3864"/>
      <name val="Calibri"/>
      <family val="2"/>
    </font>
    <font>
      <sz val="9"/>
      <color rgb="FF444444"/>
      <name val="Calibri"/>
      <family val="2"/>
    </font>
  </fonts>
  <fills count="12">
    <fill>
      <patternFill patternType="none"/>
    </fill>
    <fill>
      <patternFill patternType="gray125"/>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EAD1DC"/>
        <bgColor indexed="64"/>
      </patternFill>
    </fill>
    <fill>
      <patternFill patternType="solid">
        <fgColor rgb="FFFFE7E7"/>
        <bgColor indexed="64"/>
      </patternFill>
    </fill>
    <fill>
      <patternFill patternType="solid">
        <fgColor rgb="FFFFFFFF"/>
        <bgColor indexed="64"/>
      </patternFill>
    </fill>
    <fill>
      <patternFill patternType="solid">
        <fgColor rgb="FF1F3864"/>
        <bgColor indexed="64"/>
      </patternFill>
    </fill>
    <fill>
      <patternFill patternType="solid">
        <fgColor rgb="FFF5F5F5"/>
        <bgColor indexed="64"/>
      </patternFill>
    </fill>
    <fill>
      <patternFill patternType="solid">
        <fgColor rgb="FFF7F7F7"/>
        <bgColor indexed="64"/>
      </patternFill>
    </fill>
    <fill>
      <patternFill patternType="solid">
        <fgColor rgb="FFE8F5E9"/>
        <bgColor indexed="64"/>
      </patternFill>
    </fill>
  </fills>
  <borders count="21">
    <border>
      <left/>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1F3864"/>
      </bottom>
      <diagonal/>
    </border>
    <border>
      <left style="thin">
        <color rgb="FFD0D0D0"/>
      </left>
      <right style="thin">
        <color rgb="FFD0D0D0"/>
      </right>
      <top style="medium">
        <color rgb="FF1F3864"/>
      </top>
      <bottom style="thin">
        <color rgb="FFD0D0D0"/>
      </bottom>
      <diagonal/>
    </border>
    <border>
      <left style="thin">
        <color auto="1"/>
      </left>
      <right/>
      <top/>
      <bottom style="thin">
        <color auto="1"/>
      </bottom>
      <diagonal/>
    </border>
    <border>
      <left style="thin">
        <color rgb="FFD0D0D0"/>
      </left>
      <right/>
      <top style="medium">
        <color rgb="FF1F3864"/>
      </top>
      <bottom style="thin">
        <color rgb="FFD0D0D0"/>
      </bottom>
      <diagonal/>
    </border>
    <border>
      <left style="thin">
        <color rgb="FFD0D0D0"/>
      </left>
      <right/>
      <top style="thin">
        <color rgb="FFD0D0D0"/>
      </top>
      <bottom style="thin">
        <color rgb="FFD0D0D0"/>
      </bottom>
      <diagonal/>
    </border>
    <border>
      <left style="thin">
        <color rgb="FFD0D0D0"/>
      </left>
      <right/>
      <top style="thin">
        <color rgb="FFD0D0D0"/>
      </top>
      <bottom style="thin">
        <color rgb="FF1F3864"/>
      </bottom>
      <diagonal/>
    </border>
    <border>
      <left/>
      <right style="thin">
        <color rgb="FFD0D0D0"/>
      </right>
      <top style="medium">
        <color rgb="FF1F3864"/>
      </top>
      <bottom style="thin">
        <color rgb="FFD0D0D0"/>
      </bottom>
      <diagonal/>
    </border>
    <border>
      <left/>
      <right style="thin">
        <color rgb="FFD0D0D0"/>
      </right>
      <top style="thin">
        <color rgb="FFD0D0D0"/>
      </top>
      <bottom style="thin">
        <color rgb="FFD0D0D0"/>
      </bottom>
      <diagonal/>
    </border>
    <border>
      <left/>
      <right style="thin">
        <color rgb="FFD0D0D0"/>
      </right>
      <top style="thin">
        <color rgb="FFD0D0D0"/>
      </top>
      <bottom style="thin">
        <color rgb="FF1F3864"/>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medium">
        <color rgb="FF1F3864"/>
      </top>
      <bottom style="thin">
        <color rgb="FFE0E0E0"/>
      </bottom>
      <diagonal/>
    </border>
    <border>
      <left style="thin">
        <color rgb="FFE0E0E0"/>
      </left>
      <right style="thin">
        <color rgb="FFE0E0E0"/>
      </right>
      <top style="thin">
        <color rgb="FFE0E0E0"/>
      </top>
      <bottom style="thin">
        <color rgb="FF1F3864"/>
      </bottom>
      <diagonal/>
    </border>
  </borders>
  <cellStyleXfs count="1">
    <xf numFmtId="0" fontId="0" fillId="0" borderId="0"/>
  </cellStyleXfs>
  <cellXfs count="90">
    <xf numFmtId="0" fontId="0" fillId="0" borderId="0" xfId="0"/>
    <xf numFmtId="0" fontId="3" fillId="0" borderId="0" xfId="0" applyFont="1"/>
    <xf numFmtId="0" fontId="1" fillId="0" borderId="0" xfId="0" applyFont="1"/>
    <xf numFmtId="1" fontId="3" fillId="0" borderId="4" xfId="0" applyNumberFormat="1" applyFont="1" applyBorder="1" applyAlignment="1">
      <alignment horizontal="right"/>
    </xf>
    <xf numFmtId="0" fontId="1" fillId="0" borderId="5" xfId="0" applyFont="1" applyBorder="1"/>
    <xf numFmtId="0" fontId="3" fillId="0" borderId="3" xfId="0" applyFont="1" applyBorder="1"/>
    <xf numFmtId="164" fontId="1" fillId="0" borderId="5" xfId="0" applyNumberFormat="1" applyFont="1" applyBorder="1"/>
    <xf numFmtId="164" fontId="1" fillId="0" borderId="6" xfId="0" applyNumberFormat="1" applyFont="1" applyBorder="1"/>
    <xf numFmtId="0" fontId="1" fillId="0" borderId="6" xfId="0" applyFont="1" applyBorder="1"/>
    <xf numFmtId="0" fontId="4" fillId="2" borderId="1" xfId="0" applyFont="1" applyFill="1" applyBorder="1"/>
    <xf numFmtId="0" fontId="5" fillId="3" borderId="1" xfId="0" applyFont="1" applyFill="1" applyBorder="1"/>
    <xf numFmtId="0" fontId="6" fillId="4" borderId="1" xfId="0" applyFont="1" applyFill="1" applyBorder="1"/>
    <xf numFmtId="0" fontId="7" fillId="5" borderId="1" xfId="0" applyFont="1" applyFill="1" applyBorder="1"/>
    <xf numFmtId="0" fontId="8" fillId="6" borderId="3" xfId="0" applyFont="1" applyFill="1" applyBorder="1"/>
    <xf numFmtId="0" fontId="2" fillId="0" borderId="0" xfId="0" applyFont="1"/>
    <xf numFmtId="0" fontId="1" fillId="0" borderId="0" xfId="0" applyFont="1"/>
    <xf numFmtId="0" fontId="1" fillId="0" borderId="6" xfId="0" applyFont="1" applyBorder="1" applyAlignment="1">
      <alignment vertical="top" wrapText="1"/>
    </xf>
    <xf numFmtId="0" fontId="9" fillId="7" borderId="0" xfId="0" applyFont="1" applyFill="1"/>
    <xf numFmtId="0" fontId="1" fillId="9" borderId="8" xfId="0" applyFont="1" applyFill="1" applyBorder="1" applyAlignment="1">
      <alignment horizontal="left" vertical="top" wrapText="1"/>
    </xf>
    <xf numFmtId="164" fontId="1" fillId="7" borderId="8" xfId="0" applyNumberFormat="1" applyFont="1" applyFill="1" applyBorder="1" applyAlignment="1">
      <alignment horizontal="left" vertical="top" wrapText="1"/>
    </xf>
    <xf numFmtId="0" fontId="1" fillId="7" borderId="8" xfId="0" applyFont="1" applyFill="1" applyBorder="1" applyAlignment="1">
      <alignment horizontal="left" vertical="top" wrapText="1"/>
    </xf>
    <xf numFmtId="164" fontId="1" fillId="9" borderId="8" xfId="0" applyNumberFormat="1" applyFont="1" applyFill="1" applyBorder="1" applyAlignment="1">
      <alignment horizontal="left" vertical="top" wrapText="1"/>
    </xf>
    <xf numFmtId="164" fontId="1" fillId="9" borderId="9" xfId="0" applyNumberFormat="1" applyFont="1" applyFill="1" applyBorder="1" applyAlignment="1">
      <alignment horizontal="left" vertical="top" wrapText="1"/>
    </xf>
    <xf numFmtId="0" fontId="1" fillId="9" borderId="9" xfId="0" applyFont="1" applyFill="1" applyBorder="1" applyAlignment="1">
      <alignment horizontal="left" vertical="top" wrapText="1"/>
    </xf>
    <xf numFmtId="0" fontId="10" fillId="8" borderId="10" xfId="0" applyFont="1" applyFill="1" applyBorder="1" applyAlignment="1">
      <alignment horizontal="left" vertical="center" wrapText="1"/>
    </xf>
    <xf numFmtId="0" fontId="11" fillId="0" borderId="2" xfId="0" applyFont="1" applyBorder="1"/>
    <xf numFmtId="0" fontId="11" fillId="0" borderId="7" xfId="0" applyFont="1" applyBorder="1"/>
    <xf numFmtId="0" fontId="1" fillId="0" borderId="11" xfId="0" applyFont="1" applyBorder="1"/>
    <xf numFmtId="0" fontId="10" fillId="8" borderId="12" xfId="0" applyFont="1" applyFill="1" applyBorder="1"/>
    <xf numFmtId="0" fontId="1" fillId="7" borderId="13" xfId="0" applyFont="1" applyFill="1" applyBorder="1" applyAlignment="1">
      <alignment horizontal="left"/>
    </xf>
    <xf numFmtId="0" fontId="1" fillId="7" borderId="14" xfId="0" applyFont="1" applyFill="1" applyBorder="1" applyAlignment="1">
      <alignment horizontal="left"/>
    </xf>
    <xf numFmtId="1" fontId="10" fillId="8" borderId="15" xfId="0" applyNumberFormat="1" applyFont="1" applyFill="1" applyBorder="1" applyAlignment="1">
      <alignment horizontal="right"/>
    </xf>
    <xf numFmtId="1" fontId="3" fillId="7" borderId="16" xfId="0" applyNumberFormat="1" applyFont="1" applyFill="1" applyBorder="1" applyAlignment="1">
      <alignment horizontal="right"/>
    </xf>
    <xf numFmtId="10" fontId="3" fillId="7" borderId="16" xfId="0" applyNumberFormat="1" applyFont="1" applyFill="1" applyBorder="1" applyAlignment="1">
      <alignment horizontal="right"/>
    </xf>
    <xf numFmtId="1" fontId="3" fillId="7" borderId="17" xfId="0" applyNumberFormat="1" applyFont="1" applyFill="1" applyBorder="1" applyAlignment="1">
      <alignment horizontal="right"/>
    </xf>
    <xf numFmtId="164" fontId="1" fillId="7" borderId="9" xfId="0" applyNumberFormat="1" applyFont="1" applyFill="1" applyBorder="1" applyAlignment="1">
      <alignment horizontal="left" vertical="top" wrapText="1"/>
    </xf>
    <xf numFmtId="0" fontId="1" fillId="7" borderId="9" xfId="0" applyFont="1" applyFill="1" applyBorder="1" applyAlignment="1">
      <alignment horizontal="left" vertical="top" wrapText="1"/>
    </xf>
    <xf numFmtId="0" fontId="1" fillId="9" borderId="8" xfId="0" applyFont="1" applyFill="1" applyBorder="1" applyAlignment="1">
      <alignment horizontal="center" vertical="top" wrapText="1"/>
    </xf>
    <xf numFmtId="0" fontId="1" fillId="7" borderId="8" xfId="0" applyFont="1" applyFill="1" applyBorder="1" applyAlignment="1">
      <alignment horizontal="center" vertical="top" wrapText="1"/>
    </xf>
    <xf numFmtId="0" fontId="1" fillId="7" borderId="9" xfId="0" applyFont="1" applyFill="1" applyBorder="1" applyAlignment="1">
      <alignment horizontal="center" vertical="top" wrapText="1"/>
    </xf>
    <xf numFmtId="0" fontId="11" fillId="0" borderId="0" xfId="0" applyFont="1"/>
    <xf numFmtId="0" fontId="3" fillId="7" borderId="8" xfId="0" applyFont="1" applyFill="1" applyBorder="1" applyAlignment="1">
      <alignment vertical="top" wrapText="1"/>
    </xf>
    <xf numFmtId="0" fontId="1" fillId="7" borderId="8" xfId="0" applyFont="1" applyFill="1" applyBorder="1" applyAlignment="1">
      <alignment vertical="top" wrapText="1"/>
    </xf>
    <xf numFmtId="0" fontId="10" fillId="8" borderId="10" xfId="0" applyFont="1" applyFill="1" applyBorder="1"/>
    <xf numFmtId="0" fontId="1" fillId="7" borderId="9" xfId="0" applyFont="1" applyFill="1" applyBorder="1" applyAlignment="1">
      <alignment vertical="top" wrapText="1"/>
    </xf>
    <xf numFmtId="165" fontId="1" fillId="7" borderId="18" xfId="0" applyNumberFormat="1" applyFont="1" applyFill="1" applyBorder="1" applyAlignment="1">
      <alignment horizontal="right" vertical="center"/>
    </xf>
    <xf numFmtId="2" fontId="1" fillId="7" borderId="18" xfId="0" applyNumberFormat="1" applyFont="1" applyFill="1" applyBorder="1" applyAlignment="1">
      <alignment horizontal="right" vertical="center"/>
    </xf>
    <xf numFmtId="1" fontId="1" fillId="7" borderId="18" xfId="0" applyNumberFormat="1" applyFont="1" applyFill="1" applyBorder="1" applyAlignment="1">
      <alignment horizontal="right" vertical="center"/>
    </xf>
    <xf numFmtId="0" fontId="12" fillId="7" borderId="18" xfId="0" applyFont="1" applyFill="1" applyBorder="1" applyAlignment="1">
      <alignment horizontal="left" vertical="center"/>
    </xf>
    <xf numFmtId="165" fontId="1" fillId="10" borderId="18" xfId="0" applyNumberFormat="1" applyFont="1" applyFill="1" applyBorder="1" applyAlignment="1">
      <alignment horizontal="right" vertical="center"/>
    </xf>
    <xf numFmtId="2" fontId="1" fillId="10" borderId="18" xfId="0" applyNumberFormat="1" applyFont="1" applyFill="1" applyBorder="1" applyAlignment="1">
      <alignment horizontal="right" vertical="center"/>
    </xf>
    <xf numFmtId="1" fontId="1" fillId="10" borderId="18" xfId="0" applyNumberFormat="1" applyFont="1" applyFill="1" applyBorder="1" applyAlignment="1">
      <alignment horizontal="right" vertical="center"/>
    </xf>
    <xf numFmtId="0" fontId="12" fillId="10" borderId="18" xfId="0" applyFont="1" applyFill="1" applyBorder="1" applyAlignment="1">
      <alignment horizontal="left" vertical="center"/>
    </xf>
    <xf numFmtId="0" fontId="10" fillId="8" borderId="19" xfId="0" applyFont="1" applyFill="1" applyBorder="1" applyAlignment="1">
      <alignment horizontal="left" vertical="center"/>
    </xf>
    <xf numFmtId="165" fontId="1" fillId="10" borderId="20" xfId="0" applyNumberFormat="1" applyFont="1" applyFill="1" applyBorder="1" applyAlignment="1">
      <alignment horizontal="right" vertical="center"/>
    </xf>
    <xf numFmtId="2" fontId="1" fillId="10" borderId="20" xfId="0" applyNumberFormat="1" applyFont="1" applyFill="1" applyBorder="1" applyAlignment="1">
      <alignment horizontal="right" vertical="center"/>
    </xf>
    <xf numFmtId="1" fontId="1" fillId="10" borderId="20" xfId="0" applyNumberFormat="1" applyFont="1" applyFill="1" applyBorder="1" applyAlignment="1">
      <alignment horizontal="right" vertical="center"/>
    </xf>
    <xf numFmtId="0" fontId="12" fillId="10" borderId="20" xfId="0" applyFont="1" applyFill="1" applyBorder="1" applyAlignment="1">
      <alignment horizontal="left" vertical="center"/>
    </xf>
    <xf numFmtId="164" fontId="1" fillId="7" borderId="18" xfId="0" applyNumberFormat="1" applyFont="1" applyFill="1" applyBorder="1" applyAlignment="1">
      <alignment horizontal="center" vertical="center"/>
    </xf>
    <xf numFmtId="164" fontId="1" fillId="10" borderId="18" xfId="0" applyNumberFormat="1" applyFont="1" applyFill="1" applyBorder="1" applyAlignment="1">
      <alignment horizontal="center" vertical="center"/>
    </xf>
    <xf numFmtId="164" fontId="1" fillId="10" borderId="20" xfId="0" applyNumberFormat="1" applyFont="1" applyFill="1" applyBorder="1" applyAlignment="1">
      <alignment horizontal="center" vertical="center"/>
    </xf>
    <xf numFmtId="0" fontId="1" fillId="7" borderId="18" xfId="0" applyFont="1" applyFill="1" applyBorder="1" applyAlignment="1">
      <alignment vertical="center"/>
    </xf>
    <xf numFmtId="0" fontId="1" fillId="10" borderId="18" xfId="0" applyFont="1" applyFill="1" applyBorder="1" applyAlignment="1">
      <alignment vertical="center"/>
    </xf>
    <xf numFmtId="0" fontId="1" fillId="10" borderId="20" xfId="0" applyFont="1" applyFill="1" applyBorder="1" applyAlignment="1">
      <alignment vertical="center"/>
    </xf>
    <xf numFmtId="164" fontId="1" fillId="11" borderId="18" xfId="0" applyNumberFormat="1" applyFont="1" applyFill="1" applyBorder="1" applyAlignment="1">
      <alignment horizontal="center" vertical="center"/>
    </xf>
    <xf numFmtId="165" fontId="1" fillId="11" borderId="18" xfId="0" applyNumberFormat="1" applyFont="1" applyFill="1" applyBorder="1" applyAlignment="1">
      <alignment horizontal="right" vertical="center"/>
    </xf>
    <xf numFmtId="2" fontId="1" fillId="11" borderId="18" xfId="0" applyNumberFormat="1" applyFont="1" applyFill="1" applyBorder="1" applyAlignment="1">
      <alignment horizontal="right" vertical="center"/>
    </xf>
    <xf numFmtId="1" fontId="1" fillId="11" borderId="18" xfId="0" applyNumberFormat="1" applyFont="1" applyFill="1" applyBorder="1" applyAlignment="1">
      <alignment horizontal="right" vertical="center"/>
    </xf>
    <xf numFmtId="0" fontId="12" fillId="11" borderId="18" xfId="0" applyFont="1" applyFill="1" applyBorder="1" applyAlignment="1">
      <alignment horizontal="left" vertical="center"/>
    </xf>
    <xf numFmtId="0" fontId="1" fillId="11" borderId="18" xfId="0" applyFont="1" applyFill="1" applyBorder="1" applyAlignment="1">
      <alignment vertical="center"/>
    </xf>
    <xf numFmtId="0" fontId="9" fillId="7" borderId="0" xfId="0" applyFont="1" applyFill="1"/>
    <xf numFmtId="0" fontId="1" fillId="0" borderId="6" xfId="0" applyFont="1" applyBorder="1" applyAlignment="1">
      <alignment vertical="top" wrapText="1"/>
    </xf>
    <xf numFmtId="0" fontId="10" fillId="8" borderId="19" xfId="0" applyFont="1" applyFill="1" applyBorder="1"/>
    <xf numFmtId="0" fontId="3" fillId="10" borderId="18" xfId="0" applyFont="1" applyFill="1" applyBorder="1" applyAlignment="1">
      <alignment horizontal="center" vertical="top" wrapText="1"/>
    </xf>
    <xf numFmtId="0" fontId="1" fillId="7" borderId="18" xfId="0" applyFont="1" applyFill="1" applyBorder="1" applyAlignment="1">
      <alignment horizontal="center" vertical="top" wrapText="1"/>
    </xf>
    <xf numFmtId="0" fontId="1" fillId="10" borderId="18" xfId="0" applyFont="1" applyFill="1" applyBorder="1" applyAlignment="1">
      <alignment horizontal="center" vertical="top" wrapText="1"/>
    </xf>
    <xf numFmtId="0" fontId="1" fillId="10" borderId="20" xfId="0" applyFont="1" applyFill="1" applyBorder="1" applyAlignment="1">
      <alignment horizontal="center" vertical="top" wrapText="1"/>
    </xf>
    <xf numFmtId="0" fontId="3" fillId="10" borderId="18" xfId="0" applyFont="1" applyFill="1" applyBorder="1" applyAlignment="1">
      <alignment horizontal="left" vertical="top" wrapText="1"/>
    </xf>
    <xf numFmtId="0" fontId="1" fillId="7" borderId="18" xfId="0" applyFont="1" applyFill="1" applyBorder="1" applyAlignment="1">
      <alignment horizontal="left" vertical="top" wrapText="1"/>
    </xf>
    <xf numFmtId="0" fontId="1" fillId="10" borderId="18" xfId="0" applyFont="1" applyFill="1" applyBorder="1" applyAlignment="1">
      <alignment horizontal="left" vertical="top" wrapText="1"/>
    </xf>
    <xf numFmtId="0" fontId="1" fillId="10" borderId="20" xfId="0" applyFont="1" applyFill="1" applyBorder="1" applyAlignment="1">
      <alignment horizontal="left" vertical="top" wrapText="1"/>
    </xf>
    <xf numFmtId="0" fontId="1" fillId="7" borderId="0" xfId="0" applyFont="1" applyFill="1"/>
    <xf numFmtId="0" fontId="0" fillId="7" borderId="0" xfId="0" applyFill="1"/>
    <xf numFmtId="165" fontId="1" fillId="9" borderId="8" xfId="0" applyNumberFormat="1" applyFont="1" applyFill="1" applyBorder="1" applyAlignment="1">
      <alignment horizontal="right" vertical="top" wrapText="1"/>
    </xf>
    <xf numFmtId="165" fontId="1" fillId="7" borderId="8" xfId="0" applyNumberFormat="1" applyFont="1" applyFill="1" applyBorder="1" applyAlignment="1">
      <alignment horizontal="right" vertical="top" wrapText="1"/>
    </xf>
    <xf numFmtId="2" fontId="1" fillId="9" borderId="8" xfId="0" applyNumberFormat="1" applyFont="1" applyFill="1" applyBorder="1" applyAlignment="1">
      <alignment horizontal="right" vertical="top" wrapText="1"/>
    </xf>
    <xf numFmtId="166" fontId="1" fillId="7" borderId="8" xfId="0" applyNumberFormat="1" applyFont="1" applyFill="1" applyBorder="1" applyAlignment="1">
      <alignment horizontal="right" vertical="top" wrapText="1"/>
    </xf>
    <xf numFmtId="49" fontId="1" fillId="7" borderId="8" xfId="0" applyNumberFormat="1" applyFont="1" applyFill="1" applyBorder="1" applyAlignment="1">
      <alignment horizontal="right" vertical="top" wrapText="1"/>
    </xf>
    <xf numFmtId="1" fontId="1" fillId="9" borderId="8" xfId="0" applyNumberFormat="1" applyFont="1" applyFill="1" applyBorder="1" applyAlignment="1">
      <alignment horizontal="right" vertical="top" wrapText="1"/>
    </xf>
    <xf numFmtId="165" fontId="1" fillId="7" borderId="9" xfId="0" applyNumberFormat="1" applyFont="1" applyFill="1" applyBorder="1" applyAlignment="1">
      <alignment horizontal="right" vertical="top" wrapText="1"/>
    </xf>
  </cellXfs>
  <cellStyles count="1">
    <cellStyle name="Normal" xfId="0" builtinId="0"/>
  </cellStyles>
  <dxfs count="13">
    <dxf>
      <font>
        <color rgb="FF1F497D"/>
      </font>
      <fill>
        <patternFill patternType="solid">
          <fgColor indexed="64"/>
          <bgColor rgb="FFDDEBF7"/>
        </patternFill>
      </fill>
    </dxf>
    <dxf>
      <font>
        <color rgb="FF375623"/>
      </font>
      <fill>
        <patternFill patternType="solid">
          <fgColor indexed="64"/>
          <bgColor rgb="FFE2EFDA"/>
        </patternFill>
      </fill>
    </dxf>
    <dxf>
      <font>
        <color rgb="FF9C0006"/>
      </font>
      <fill>
        <patternFill patternType="solid">
          <fgColor indexed="64"/>
          <bgColor rgb="FFFFE7E7"/>
        </patternFill>
      </fill>
    </dxf>
    <dxf>
      <font>
        <color rgb="FF4A235A"/>
      </font>
      <fill>
        <patternFill patternType="solid">
          <fgColor indexed="64"/>
          <bgColor rgb="FFEAD1DC"/>
        </patternFill>
      </fill>
    </dxf>
    <dxf>
      <font>
        <color rgb="FF4A235A"/>
      </font>
      <fill>
        <patternFill patternType="solid">
          <fgColor indexed="64"/>
          <bgColor rgb="FFEAD1DC"/>
        </patternFill>
      </fill>
    </dxf>
    <dxf>
      <font>
        <color rgb="FF1F497D"/>
      </font>
      <fill>
        <patternFill patternType="solid">
          <fgColor indexed="64"/>
          <bgColor rgb="FFDDEBF7"/>
        </patternFill>
      </fill>
    </dxf>
    <dxf>
      <font>
        <color rgb="FF843C0C"/>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FE7E7"/>
        </patternFill>
      </fill>
    </dxf>
    <dxf>
      <font>
        <color rgb="FF4A235A"/>
      </font>
      <fill>
        <patternFill patternType="solid">
          <fgColor indexed="64"/>
          <bgColor rgb="FFEAD1DC"/>
        </patternFill>
      </fill>
    </dxf>
    <dxf>
      <font>
        <color rgb="FF1F497D"/>
      </font>
      <fill>
        <patternFill patternType="solid">
          <fgColor indexed="64"/>
          <bgColor rgb="FFDDEBF7"/>
        </patternFill>
      </fill>
    </dxf>
    <dxf>
      <font>
        <color rgb="FF843C0C"/>
      </font>
      <fill>
        <patternFill patternType="solid">
          <fgColor indexed="64"/>
          <bgColor rgb="FFFCE4D6"/>
        </patternFill>
      </fill>
    </dxf>
    <dxf>
      <font>
        <color rgb="FF7F6000"/>
      </font>
      <fill>
        <patternFill patternType="solid">
          <fgColor indexed="64"/>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2A"/>
      <rgbColor rgb="FF000080"/>
      <rgbColor rgb="FF808000"/>
      <rgbColor rgb="FF800080"/>
      <rgbColor rgb="FF008080"/>
      <rgbColor rgb="FFBBBBBB"/>
      <rgbColor rgb="FF808080"/>
      <rgbColor rgb="FF9999FF"/>
      <rgbColor rgb="FF993366"/>
      <rgbColor rgb="FFFFF2CC"/>
      <rgbColor rgb="FFE3F2FD"/>
      <rgbColor rgb="FF660066"/>
      <rgbColor rgb="FFFF8080"/>
      <rgbColor rgb="FF0066CC"/>
      <rgbColor rgb="FFD9E8F5"/>
      <rgbColor rgb="FF000080"/>
      <rgbColor rgb="FFFF00FF"/>
      <rgbColor rgb="FFFFFF00"/>
      <rgbColor rgb="FF00FFFF"/>
      <rgbColor rgb="FF800080"/>
      <rgbColor rgb="FF800000"/>
      <rgbColor rgb="FF008080"/>
      <rgbColor rgb="FF0000FF"/>
      <rgbColor rgb="FF00CCFF"/>
      <rgbColor rgb="FFE8F5E9"/>
      <rgbColor rgb="FFEEF4FB"/>
      <rgbColor rgb="FFFBE9E7"/>
      <rgbColor rgb="FFEDE7F6"/>
      <rgbColor rgb="FFF7FAFE"/>
      <rgbColor rgb="FFCC99FF"/>
      <rgbColor rgb="FFFCE4EC"/>
      <rgbColor rgb="FF3366FF"/>
      <rgbColor rgb="FF33CCCC"/>
      <rgbColor rgb="FF99CC00"/>
      <rgbColor rgb="FFFFCC00"/>
      <rgbColor rgb="FFFF9900"/>
      <rgbColor rgb="FFFF6600"/>
      <rgbColor rgb="FF666699"/>
      <rgbColor rgb="FF969696"/>
      <rgbColor rgb="FF1A3A5C"/>
      <rgbColor rgb="FF339966"/>
      <rgbColor rgb="FF003300"/>
      <rgbColor rgb="FF333300"/>
      <rgbColor rgb="FFB71C1C"/>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4AB7AA-A1D7-4F70-9622-7F46B4A8F740}">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zoomScaleNormal="100" workbookViewId="0">
      <pane ySplit="2" topLeftCell="A3" activePane="bottomLeft" state="frozen"/>
      <selection pane="bottomLeft" activeCell="E38" sqref="E38"/>
    </sheetView>
  </sheetViews>
  <sheetFormatPr defaultColWidth="8.68359375" defaultRowHeight="14.4" x14ac:dyDescent="0.55000000000000004"/>
  <cols>
    <col min="1" max="1" width="14.05078125" customWidth="1"/>
    <col min="2" max="3" width="11.9453125" customWidth="1"/>
    <col min="4" max="4" width="12.62890625" customWidth="1"/>
    <col min="5" max="5" width="19.3125" customWidth="1"/>
    <col min="6" max="7" width="10.89453125" customWidth="1"/>
    <col min="8" max="8" width="22.7890625" customWidth="1"/>
    <col min="9" max="9" width="28.05078125" customWidth="1"/>
  </cols>
  <sheetData>
    <row r="1" spans="1:9" ht="18" customHeight="1" x14ac:dyDescent="0.55000000000000004">
      <c r="A1" s="14" t="s">
        <v>135</v>
      </c>
      <c r="B1" s="14"/>
      <c r="C1" s="14"/>
      <c r="D1" s="14"/>
      <c r="E1" s="14"/>
      <c r="F1" s="14"/>
      <c r="G1" s="14"/>
      <c r="H1" s="14"/>
      <c r="I1" s="14"/>
    </row>
    <row r="2" spans="1:9" ht="15" customHeight="1" x14ac:dyDescent="0.55000000000000004">
      <c r="A2" s="5" t="s">
        <v>0</v>
      </c>
      <c r="B2" s="5" t="s">
        <v>1</v>
      </c>
      <c r="C2" s="5" t="s">
        <v>2</v>
      </c>
      <c r="D2" s="5" t="s">
        <v>3</v>
      </c>
      <c r="E2" s="5" t="s">
        <v>4</v>
      </c>
      <c r="F2" s="5" t="s">
        <v>5</v>
      </c>
      <c r="G2" s="5" t="s">
        <v>6</v>
      </c>
      <c r="H2" s="5" t="s">
        <v>7</v>
      </c>
      <c r="I2" s="5" t="s">
        <v>8</v>
      </c>
    </row>
    <row r="3" spans="1:9" ht="15" customHeight="1" x14ac:dyDescent="0.55000000000000004">
      <c r="A3" s="6">
        <v>46024</v>
      </c>
      <c r="B3" s="4">
        <v>4.3499999999999996</v>
      </c>
      <c r="C3" s="4">
        <v>4.18</v>
      </c>
      <c r="D3" s="4">
        <v>4.05</v>
      </c>
      <c r="E3" s="4">
        <v>165</v>
      </c>
      <c r="F3" s="4">
        <v>4750</v>
      </c>
      <c r="G3" s="4">
        <v>1.0940000000000001</v>
      </c>
      <c r="H3" s="4"/>
      <c r="I3" s="4"/>
    </row>
    <row r="4" spans="1:9" ht="15" customHeight="1" x14ac:dyDescent="0.55000000000000004">
      <c r="A4" s="6">
        <v>46027</v>
      </c>
      <c r="B4" s="4">
        <v>4.33</v>
      </c>
      <c r="C4" s="4">
        <v>4.17</v>
      </c>
      <c r="D4" s="4">
        <v>4.0599999999999996</v>
      </c>
      <c r="E4" s="4">
        <v>166</v>
      </c>
      <c r="F4" s="4">
        <v>4762</v>
      </c>
      <c r="G4" s="4">
        <v>1.0928</v>
      </c>
      <c r="H4" s="4"/>
      <c r="I4" s="4"/>
    </row>
    <row r="5" spans="1:9" ht="15" customHeight="1" x14ac:dyDescent="0.55000000000000004">
      <c r="A5" s="6">
        <v>46028</v>
      </c>
      <c r="B5" s="4">
        <v>4.3099999999999996</v>
      </c>
      <c r="C5" s="4">
        <v>4.16</v>
      </c>
      <c r="D5" s="4">
        <v>4.05</v>
      </c>
      <c r="E5" s="4">
        <v>168</v>
      </c>
      <c r="F5" s="4">
        <v>4748</v>
      </c>
      <c r="G5" s="4">
        <v>1.0909</v>
      </c>
      <c r="H5" s="4"/>
      <c r="I5" s="4"/>
    </row>
    <row r="6" spans="1:9" ht="15" customHeight="1" x14ac:dyDescent="0.55000000000000004">
      <c r="A6" s="6">
        <v>46029</v>
      </c>
      <c r="B6" s="4">
        <v>4.34</v>
      </c>
      <c r="C6" s="4">
        <v>4.1900000000000004</v>
      </c>
      <c r="D6" s="4">
        <v>4.07</v>
      </c>
      <c r="E6" s="4">
        <v>169</v>
      </c>
      <c r="F6" s="4">
        <v>4775</v>
      </c>
      <c r="G6" s="4">
        <v>1.0914999999999999</v>
      </c>
      <c r="H6" s="4"/>
      <c r="I6" s="4"/>
    </row>
    <row r="7" spans="1:9" ht="15" customHeight="1" x14ac:dyDescent="0.55000000000000004">
      <c r="A7" s="6">
        <v>46030</v>
      </c>
      <c r="B7" s="4">
        <v>4.3600000000000003</v>
      </c>
      <c r="C7" s="4">
        <v>4.21</v>
      </c>
      <c r="D7" s="4">
        <v>4.08</v>
      </c>
      <c r="E7" s="4">
        <v>171</v>
      </c>
      <c r="F7" s="4">
        <v>4790</v>
      </c>
      <c r="G7" s="4">
        <v>1.0931999999999999</v>
      </c>
      <c r="H7" s="4"/>
      <c r="I7" s="4"/>
    </row>
    <row r="8" spans="1:9" ht="15" customHeight="1" x14ac:dyDescent="0.55000000000000004">
      <c r="A8" s="6">
        <v>46031</v>
      </c>
      <c r="B8" s="4">
        <v>4.3600000000000003</v>
      </c>
      <c r="C8" s="4">
        <v>4.21</v>
      </c>
      <c r="D8" s="4">
        <v>4.08</v>
      </c>
      <c r="E8" s="4">
        <v>171</v>
      </c>
      <c r="F8" s="4">
        <v>4790</v>
      </c>
      <c r="G8" s="4">
        <v>1.0931999999999999</v>
      </c>
      <c r="H8" s="4" t="s">
        <v>9</v>
      </c>
      <c r="I8" s="4" t="s">
        <v>10</v>
      </c>
    </row>
    <row r="9" spans="1:9" ht="15" customHeight="1" x14ac:dyDescent="0.55000000000000004">
      <c r="A9" s="6">
        <v>46034</v>
      </c>
      <c r="B9" s="4">
        <v>4.3600000000000003</v>
      </c>
      <c r="C9" s="4">
        <v>4.21</v>
      </c>
      <c r="D9" s="4">
        <v>4.08</v>
      </c>
      <c r="E9" s="4">
        <v>171</v>
      </c>
      <c r="F9" s="4">
        <v>4790</v>
      </c>
      <c r="G9" s="4">
        <v>1.0931999999999999</v>
      </c>
      <c r="H9" s="4" t="s">
        <v>9</v>
      </c>
      <c r="I9" s="4" t="s">
        <v>10</v>
      </c>
    </row>
    <row r="10" spans="1:9" ht="15" customHeight="1" x14ac:dyDescent="0.55000000000000004">
      <c r="A10" s="6">
        <v>46035</v>
      </c>
      <c r="B10" s="4">
        <v>4.29</v>
      </c>
      <c r="C10" s="4">
        <v>4.1399999999999997</v>
      </c>
      <c r="D10" s="4">
        <v>4.0199999999999996</v>
      </c>
      <c r="E10" s="4">
        <v>173</v>
      </c>
      <c r="F10" s="4">
        <v>4736</v>
      </c>
      <c r="G10" s="4">
        <v>1.0896999999999999</v>
      </c>
      <c r="H10" s="4"/>
      <c r="I10" s="4"/>
    </row>
    <row r="11" spans="1:9" ht="15" customHeight="1" x14ac:dyDescent="0.55000000000000004">
      <c r="A11" s="6">
        <v>46036</v>
      </c>
      <c r="B11" s="4">
        <v>4.28</v>
      </c>
      <c r="C11" s="4">
        <v>4.13</v>
      </c>
      <c r="D11" s="4">
        <v>4.01</v>
      </c>
      <c r="E11" s="4">
        <v>174</v>
      </c>
      <c r="F11" s="4">
        <v>4722</v>
      </c>
      <c r="G11" s="4">
        <v>1.0888</v>
      </c>
      <c r="H11" s="4"/>
      <c r="I11" s="4"/>
    </row>
    <row r="12" spans="1:9" ht="15" customHeight="1" x14ac:dyDescent="0.55000000000000004">
      <c r="A12" s="6">
        <v>46037</v>
      </c>
      <c r="B12" s="4">
        <v>4.3</v>
      </c>
      <c r="C12" s="4">
        <v>4.1500000000000004</v>
      </c>
      <c r="D12" s="4">
        <v>4.03</v>
      </c>
      <c r="E12" s="4">
        <v>176</v>
      </c>
      <c r="F12" s="4">
        <v>4741</v>
      </c>
      <c r="G12" s="4">
        <v>1.0895999999999999</v>
      </c>
      <c r="H12" s="4"/>
      <c r="I12" s="4"/>
    </row>
    <row r="13" spans="1:9" ht="15" customHeight="1" x14ac:dyDescent="0.55000000000000004">
      <c r="A13" s="6">
        <v>46038</v>
      </c>
      <c r="B13" s="4">
        <v>4.32</v>
      </c>
      <c r="C13" s="4">
        <v>4.16</v>
      </c>
      <c r="D13" s="4">
        <v>4.04</v>
      </c>
      <c r="E13" s="4">
        <v>177</v>
      </c>
      <c r="F13" s="4">
        <v>4755</v>
      </c>
      <c r="G13" s="4">
        <v>1.0904</v>
      </c>
      <c r="H13" s="4"/>
      <c r="I13" s="4"/>
    </row>
    <row r="14" spans="1:9" ht="15" customHeight="1" x14ac:dyDescent="0.55000000000000004">
      <c r="A14" s="6">
        <v>46042</v>
      </c>
      <c r="B14" s="4">
        <v>4.34</v>
      </c>
      <c r="C14" s="4">
        <v>4.18</v>
      </c>
      <c r="D14" s="4">
        <v>4.05</v>
      </c>
      <c r="E14" s="4">
        <v>179</v>
      </c>
      <c r="F14" s="4">
        <v>4768</v>
      </c>
      <c r="G14" s="4">
        <v>1.0911</v>
      </c>
      <c r="H14" s="4"/>
      <c r="I14" s="4"/>
    </row>
    <row r="15" spans="1:9" ht="15" customHeight="1" x14ac:dyDescent="0.55000000000000004">
      <c r="A15" s="6">
        <v>46043</v>
      </c>
      <c r="B15" s="4">
        <v>4.33</v>
      </c>
      <c r="C15" s="4">
        <v>4.17</v>
      </c>
      <c r="D15" s="4">
        <v>4.05</v>
      </c>
      <c r="E15" s="4">
        <v>181</v>
      </c>
      <c r="F15" s="4">
        <v>4759</v>
      </c>
      <c r="G15" s="4">
        <v>1.0899000000000001</v>
      </c>
      <c r="H15" s="4"/>
      <c r="I15" s="4"/>
    </row>
    <row r="16" spans="1:9" ht="15" customHeight="1" x14ac:dyDescent="0.55000000000000004">
      <c r="A16" s="6">
        <v>46044</v>
      </c>
      <c r="B16" s="4">
        <v>4.3099999999999996</v>
      </c>
      <c r="C16" s="4">
        <v>4.16</v>
      </c>
      <c r="D16" s="4">
        <v>4.04</v>
      </c>
      <c r="E16" s="4">
        <v>182</v>
      </c>
      <c r="F16" s="4">
        <v>4744</v>
      </c>
      <c r="G16" s="4">
        <v>1.0880000000000001</v>
      </c>
      <c r="H16" s="4"/>
      <c r="I16" s="4"/>
    </row>
    <row r="17" spans="1:9" ht="15" customHeight="1" x14ac:dyDescent="0.55000000000000004">
      <c r="A17" s="6">
        <v>46045</v>
      </c>
      <c r="B17" s="4">
        <v>4.3</v>
      </c>
      <c r="C17" s="4">
        <v>4.1500000000000004</v>
      </c>
      <c r="D17" s="4">
        <v>4.04</v>
      </c>
      <c r="E17" s="4">
        <v>183</v>
      </c>
      <c r="F17" s="4">
        <v>4728</v>
      </c>
      <c r="G17" s="4">
        <v>1.0871999999999999</v>
      </c>
      <c r="H17" s="4"/>
      <c r="I17" s="4"/>
    </row>
    <row r="18" spans="1:9" ht="15" customHeight="1" x14ac:dyDescent="0.55000000000000004">
      <c r="A18" s="6">
        <v>46048</v>
      </c>
      <c r="B18" s="4">
        <v>4.28</v>
      </c>
      <c r="C18" s="4">
        <v>4.13</v>
      </c>
      <c r="D18" s="4">
        <v>4.03</v>
      </c>
      <c r="E18" s="4">
        <v>185</v>
      </c>
      <c r="F18" s="4">
        <v>4705</v>
      </c>
      <c r="G18" s="4">
        <v>1.0854999999999999</v>
      </c>
      <c r="H18" s="4"/>
      <c r="I18" s="4"/>
    </row>
    <row r="19" spans="1:9" ht="15" customHeight="1" x14ac:dyDescent="0.55000000000000004">
      <c r="A19" s="6">
        <v>46049</v>
      </c>
      <c r="B19" s="4">
        <v>4.29</v>
      </c>
      <c r="C19" s="4">
        <v>4.1399999999999997</v>
      </c>
      <c r="D19" s="4">
        <v>4.03</v>
      </c>
      <c r="E19" s="4">
        <v>186</v>
      </c>
      <c r="F19" s="4">
        <v>4718</v>
      </c>
      <c r="G19" s="4">
        <v>1.0860000000000001</v>
      </c>
      <c r="H19" s="4"/>
      <c r="I19" s="4"/>
    </row>
    <row r="20" spans="1:9" ht="15" customHeight="1" x14ac:dyDescent="0.55000000000000004">
      <c r="A20" s="6">
        <v>46050</v>
      </c>
      <c r="B20" s="4">
        <v>4.2699999999999996</v>
      </c>
      <c r="C20" s="4">
        <v>4.12</v>
      </c>
      <c r="D20" s="4">
        <v>4.0199999999999996</v>
      </c>
      <c r="E20" s="4">
        <v>187</v>
      </c>
      <c r="F20" s="4">
        <v>4699</v>
      </c>
      <c r="G20" s="4">
        <v>1.0846</v>
      </c>
      <c r="H20" s="4"/>
      <c r="I20" s="4"/>
    </row>
    <row r="21" spans="1:9" ht="15" customHeight="1" x14ac:dyDescent="0.55000000000000004">
      <c r="A21" s="6">
        <v>46051</v>
      </c>
      <c r="B21" s="4">
        <v>4.26</v>
      </c>
      <c r="C21" s="4">
        <v>4.1100000000000003</v>
      </c>
      <c r="D21" s="4">
        <v>4.0199999999999996</v>
      </c>
      <c r="E21" s="4">
        <v>188</v>
      </c>
      <c r="F21" s="4">
        <v>4687</v>
      </c>
      <c r="G21" s="4">
        <v>1.0839000000000001</v>
      </c>
      <c r="H21" s="4"/>
      <c r="I21" s="4"/>
    </row>
    <row r="22" spans="1:9" ht="15" customHeight="1" x14ac:dyDescent="0.55000000000000004">
      <c r="A22" s="6">
        <v>46052</v>
      </c>
      <c r="B22" s="4">
        <v>4.25</v>
      </c>
      <c r="C22" s="4">
        <v>4.0999999999999996</v>
      </c>
      <c r="D22" s="4">
        <v>4.01</v>
      </c>
      <c r="E22" s="4">
        <v>189</v>
      </c>
      <c r="F22" s="4">
        <v>4696</v>
      </c>
      <c r="G22" s="4">
        <v>1.0844</v>
      </c>
      <c r="H22" s="4"/>
      <c r="I22" s="4"/>
    </row>
    <row r="23" spans="1:9" ht="15" customHeight="1" x14ac:dyDescent="0.55000000000000004">
      <c r="A23" s="6">
        <v>46055</v>
      </c>
      <c r="B23" s="4">
        <v>4.2300000000000004</v>
      </c>
      <c r="C23" s="4">
        <v>4.09</v>
      </c>
      <c r="D23" s="4">
        <v>4</v>
      </c>
      <c r="E23" s="4">
        <v>190</v>
      </c>
      <c r="F23" s="4">
        <v>4678</v>
      </c>
      <c r="G23" s="4">
        <v>1.0827</v>
      </c>
      <c r="H23" s="4"/>
      <c r="I23" s="4"/>
    </row>
    <row r="24" spans="1:9" ht="15" customHeight="1" x14ac:dyDescent="0.55000000000000004">
      <c r="A24" s="6">
        <v>46056</v>
      </c>
      <c r="B24" s="4">
        <v>4.21</v>
      </c>
      <c r="C24" s="4">
        <v>4.07</v>
      </c>
      <c r="D24" s="4">
        <v>3.98</v>
      </c>
      <c r="E24" s="4">
        <v>191</v>
      </c>
      <c r="F24" s="4">
        <v>4661</v>
      </c>
      <c r="G24" s="4">
        <v>1.0814999999999999</v>
      </c>
      <c r="H24" s="4"/>
      <c r="I24" s="4"/>
    </row>
    <row r="25" spans="1:9" ht="15" customHeight="1" x14ac:dyDescent="0.55000000000000004">
      <c r="A25" s="6">
        <v>46057</v>
      </c>
      <c r="B25" s="4">
        <v>4.2</v>
      </c>
      <c r="C25" s="4">
        <v>4.0599999999999996</v>
      </c>
      <c r="D25" s="4">
        <v>3.98</v>
      </c>
      <c r="E25" s="4">
        <v>192</v>
      </c>
      <c r="F25" s="4">
        <v>4654</v>
      </c>
      <c r="G25" s="4">
        <v>1.0809</v>
      </c>
      <c r="H25" s="4"/>
      <c r="I25" s="4"/>
    </row>
    <row r="26" spans="1:9" ht="15" customHeight="1" x14ac:dyDescent="0.55000000000000004">
      <c r="A26" s="6">
        <v>46058</v>
      </c>
      <c r="B26" s="4">
        <v>4.22</v>
      </c>
      <c r="C26" s="4">
        <v>4.08</v>
      </c>
      <c r="D26" s="4">
        <v>3.99</v>
      </c>
      <c r="E26" s="4">
        <v>193</v>
      </c>
      <c r="F26" s="4">
        <v>4668</v>
      </c>
      <c r="G26" s="4">
        <v>1.0818000000000001</v>
      </c>
      <c r="H26" s="4"/>
      <c r="I26" s="4"/>
    </row>
    <row r="27" spans="1:9" ht="15" customHeight="1" x14ac:dyDescent="0.55000000000000004">
      <c r="A27" s="6">
        <v>46059</v>
      </c>
      <c r="B27" s="4">
        <v>4.24</v>
      </c>
      <c r="C27" s="4">
        <v>4.09</v>
      </c>
      <c r="D27" s="4">
        <v>4</v>
      </c>
      <c r="E27" s="4">
        <v>194</v>
      </c>
      <c r="F27" s="4">
        <v>4681</v>
      </c>
      <c r="G27" s="4">
        <v>1.0826</v>
      </c>
      <c r="H27" s="4"/>
      <c r="I27" s="4"/>
    </row>
    <row r="28" spans="1:9" ht="15" customHeight="1" x14ac:dyDescent="0.55000000000000004">
      <c r="A28" s="6">
        <v>46062</v>
      </c>
      <c r="B28" s="4">
        <v>4.2300000000000004</v>
      </c>
      <c r="C28" s="4">
        <v>4.08</v>
      </c>
      <c r="D28" s="4">
        <v>3.99</v>
      </c>
      <c r="E28" s="4">
        <v>195</v>
      </c>
      <c r="F28" s="4">
        <v>4670</v>
      </c>
      <c r="G28" s="4">
        <v>1.0819000000000001</v>
      </c>
      <c r="H28" s="4"/>
      <c r="I28" s="4"/>
    </row>
    <row r="29" spans="1:9" ht="15" customHeight="1" x14ac:dyDescent="0.55000000000000004">
      <c r="A29" s="6">
        <v>46063</v>
      </c>
      <c r="B29" s="4">
        <v>4.24</v>
      </c>
      <c r="C29" s="4">
        <v>4.09</v>
      </c>
      <c r="D29" s="4">
        <v>4</v>
      </c>
      <c r="E29" s="4">
        <v>196</v>
      </c>
      <c r="F29" s="4">
        <v>4684</v>
      </c>
      <c r="G29" s="4">
        <v>1.0828</v>
      </c>
      <c r="H29" s="4"/>
      <c r="I29" s="4"/>
    </row>
    <row r="30" spans="1:9" ht="15" customHeight="1" x14ac:dyDescent="0.55000000000000004">
      <c r="A30" s="6">
        <v>46064</v>
      </c>
      <c r="B30" s="4">
        <v>4.25</v>
      </c>
      <c r="C30" s="4">
        <v>4.0999999999999996</v>
      </c>
      <c r="D30" s="4">
        <v>4.01</v>
      </c>
      <c r="E30" s="4">
        <v>197</v>
      </c>
      <c r="F30" s="4">
        <v>4691</v>
      </c>
      <c r="G30" s="4">
        <v>1.0835999999999999</v>
      </c>
      <c r="H30" s="4"/>
      <c r="I30" s="4"/>
    </row>
    <row r="31" spans="1:9" ht="15" customHeight="1" x14ac:dyDescent="0.55000000000000004">
      <c r="A31" s="6">
        <v>46065</v>
      </c>
      <c r="B31" s="4">
        <v>4.26</v>
      </c>
      <c r="C31" s="4">
        <v>4.1100000000000003</v>
      </c>
      <c r="D31" s="4">
        <v>4.01</v>
      </c>
      <c r="E31" s="4">
        <v>198</v>
      </c>
      <c r="F31" s="4">
        <v>4700</v>
      </c>
      <c r="G31" s="4">
        <v>1.0842000000000001</v>
      </c>
      <c r="H31" s="4"/>
      <c r="I31" s="4"/>
    </row>
    <row r="32" spans="1:9" ht="15" customHeight="1" x14ac:dyDescent="0.55000000000000004">
      <c r="A32" s="6">
        <v>46066</v>
      </c>
      <c r="B32" s="4">
        <v>4.2699999999999996</v>
      </c>
      <c r="C32" s="4">
        <v>4.12</v>
      </c>
      <c r="D32" s="4">
        <v>4.0199999999999996</v>
      </c>
      <c r="E32" s="4">
        <v>199</v>
      </c>
      <c r="F32" s="4">
        <v>4712</v>
      </c>
      <c r="G32" s="4">
        <v>1.085</v>
      </c>
      <c r="H32" s="4"/>
      <c r="I32" s="4"/>
    </row>
    <row r="33" spans="1:9" ht="15" customHeight="1" x14ac:dyDescent="0.55000000000000004">
      <c r="A33" s="6">
        <v>46070</v>
      </c>
      <c r="B33" s="4">
        <v>4.3</v>
      </c>
      <c r="C33" s="4">
        <v>4.1500000000000004</v>
      </c>
      <c r="D33" s="4">
        <v>4.04</v>
      </c>
      <c r="E33" s="4">
        <v>205</v>
      </c>
      <c r="F33" s="4">
        <v>4728</v>
      </c>
      <c r="G33" s="4">
        <v>1.0871</v>
      </c>
      <c r="H33" s="4"/>
      <c r="I33" s="4"/>
    </row>
    <row r="34" spans="1:9" ht="15" customHeight="1" x14ac:dyDescent="0.55000000000000004">
      <c r="A34" s="6">
        <v>46071</v>
      </c>
      <c r="B34" s="4">
        <v>4.3099999999999996</v>
      </c>
      <c r="C34" s="4">
        <v>4.16</v>
      </c>
      <c r="D34" s="4">
        <v>4.05</v>
      </c>
      <c r="E34" s="4">
        <v>206</v>
      </c>
      <c r="F34" s="4">
        <v>4740</v>
      </c>
      <c r="G34" s="4">
        <v>1.0882000000000001</v>
      </c>
      <c r="H34" s="4"/>
      <c r="I34" s="4"/>
    </row>
    <row r="35" spans="1:9" ht="15" customHeight="1" x14ac:dyDescent="0.55000000000000004">
      <c r="A35" s="6">
        <v>46072</v>
      </c>
      <c r="B35" s="4">
        <v>4.32</v>
      </c>
      <c r="C35" s="4">
        <v>4.17</v>
      </c>
      <c r="D35" s="4">
        <v>4.05</v>
      </c>
      <c r="E35" s="4">
        <v>207</v>
      </c>
      <c r="F35" s="4">
        <v>4755</v>
      </c>
      <c r="G35" s="4">
        <v>1.089</v>
      </c>
      <c r="H35" s="4"/>
      <c r="I35" s="4"/>
    </row>
    <row r="36" spans="1:9" ht="15" customHeight="1" x14ac:dyDescent="0.55000000000000004">
      <c r="A36" s="6">
        <v>46073</v>
      </c>
      <c r="B36" s="4">
        <v>4.0999999999999996</v>
      </c>
      <c r="C36" s="4">
        <v>3.95</v>
      </c>
      <c r="D36" s="4">
        <v>3.9</v>
      </c>
      <c r="E36" s="4">
        <v>210</v>
      </c>
      <c r="F36" s="4">
        <v>4680</v>
      </c>
      <c r="G36" s="4">
        <v>1.0878000000000001</v>
      </c>
      <c r="H36" s="4" t="s">
        <v>11</v>
      </c>
      <c r="I36" s="4" t="s">
        <v>12</v>
      </c>
    </row>
    <row r="37" spans="1:9" ht="15" customHeight="1" x14ac:dyDescent="0.55000000000000004">
      <c r="A37" s="6">
        <v>46076</v>
      </c>
      <c r="B37" s="4">
        <v>4.12</v>
      </c>
      <c r="C37" s="4">
        <v>3.98</v>
      </c>
      <c r="D37" s="4">
        <v>3.92</v>
      </c>
      <c r="E37" s="4">
        <v>212</v>
      </c>
      <c r="F37" s="4">
        <v>4692</v>
      </c>
      <c r="G37" s="4">
        <v>1.0884</v>
      </c>
      <c r="H37" s="4"/>
      <c r="I37" s="4"/>
    </row>
    <row r="38" spans="1:9" ht="15" customHeight="1" x14ac:dyDescent="0.55000000000000004">
      <c r="A38" s="6">
        <v>46077</v>
      </c>
      <c r="B38" s="4">
        <v>4.13</v>
      </c>
      <c r="C38" s="4">
        <v>3.99</v>
      </c>
      <c r="D38" s="4">
        <v>3.93</v>
      </c>
      <c r="E38" s="4"/>
      <c r="F38" s="4">
        <v>4701</v>
      </c>
      <c r="G38" s="4">
        <v>1.0889</v>
      </c>
      <c r="H38" s="4" t="s">
        <v>13</v>
      </c>
      <c r="I38" s="4" t="s">
        <v>14</v>
      </c>
    </row>
    <row r="39" spans="1:9" ht="15" customHeight="1" x14ac:dyDescent="0.55000000000000004">
      <c r="A39" s="6">
        <v>46078</v>
      </c>
      <c r="B39" s="4">
        <v>4.1399999999999997</v>
      </c>
      <c r="C39" s="4">
        <v>3.6</v>
      </c>
      <c r="D39" s="4">
        <v>3.94</v>
      </c>
      <c r="E39" s="4">
        <v>215</v>
      </c>
      <c r="F39" s="4">
        <v>4715</v>
      </c>
      <c r="G39" s="4">
        <v>1.0895999999999999</v>
      </c>
      <c r="H39" s="4" t="s">
        <v>15</v>
      </c>
      <c r="I39" s="4" t="s">
        <v>16</v>
      </c>
    </row>
    <row r="40" spans="1:9" ht="15" customHeight="1" x14ac:dyDescent="0.55000000000000004">
      <c r="A40" s="6">
        <v>46079</v>
      </c>
      <c r="B40" s="4">
        <v>4.1500000000000004</v>
      </c>
      <c r="C40" s="4">
        <v>4.01</v>
      </c>
      <c r="D40" s="4">
        <v>3.95</v>
      </c>
      <c r="E40" s="4">
        <v>216</v>
      </c>
      <c r="F40" s="4">
        <v>4722</v>
      </c>
      <c r="G40" s="4">
        <v>1.0903</v>
      </c>
      <c r="H40" s="4"/>
      <c r="I40" s="4"/>
    </row>
    <row r="41" spans="1:9" ht="15" customHeight="1" x14ac:dyDescent="0.55000000000000004">
      <c r="A41" s="6">
        <v>46080</v>
      </c>
      <c r="B41" s="4">
        <v>4.16</v>
      </c>
      <c r="C41" s="4">
        <v>4.0199999999999996</v>
      </c>
      <c r="D41" s="4">
        <v>3.96</v>
      </c>
      <c r="E41" s="4">
        <v>217</v>
      </c>
      <c r="F41" s="4">
        <v>4734</v>
      </c>
      <c r="G41" s="4">
        <v>1.0911999999999999</v>
      </c>
      <c r="H41" s="4"/>
      <c r="I41" s="4"/>
    </row>
    <row r="42" spans="1:9" ht="15" customHeight="1" x14ac:dyDescent="0.55000000000000004">
      <c r="A42" s="6">
        <v>46083</v>
      </c>
      <c r="B42" s="4">
        <v>4.18</v>
      </c>
      <c r="C42" s="4">
        <v>4.04</v>
      </c>
      <c r="D42" s="4">
        <v>3.97</v>
      </c>
      <c r="E42" s="4">
        <v>218</v>
      </c>
      <c r="F42" s="4">
        <v>4746</v>
      </c>
      <c r="G42" s="4">
        <v>1.0920000000000001</v>
      </c>
      <c r="H42" s="4"/>
      <c r="I42" s="4"/>
    </row>
    <row r="43" spans="1:9" ht="15" customHeight="1" x14ac:dyDescent="0.55000000000000004">
      <c r="A43" s="6">
        <v>46084</v>
      </c>
      <c r="B43" s="4">
        <v>4.1900000000000004</v>
      </c>
      <c r="C43" s="4">
        <v>4.05</v>
      </c>
      <c r="D43" s="4">
        <v>3.98</v>
      </c>
      <c r="E43" s="4">
        <v>-25</v>
      </c>
      <c r="F43" s="4">
        <v>4760</v>
      </c>
      <c r="G43" s="4">
        <v>1.0929</v>
      </c>
      <c r="H43" s="4" t="s">
        <v>17</v>
      </c>
      <c r="I43" s="4" t="s">
        <v>18</v>
      </c>
    </row>
    <row r="44" spans="1:9" ht="15" customHeight="1" x14ac:dyDescent="0.55000000000000004">
      <c r="A44" s="6">
        <v>46085</v>
      </c>
      <c r="B44" s="4">
        <v>4.2</v>
      </c>
      <c r="C44" s="4">
        <v>4.0599999999999996</v>
      </c>
      <c r="D44" s="4">
        <v>3.99</v>
      </c>
      <c r="E44" s="4">
        <v>219</v>
      </c>
      <c r="F44" s="4">
        <v>4772</v>
      </c>
      <c r="G44" s="4">
        <v>1.0936999999999999</v>
      </c>
      <c r="H44" s="4"/>
      <c r="I44" s="4"/>
    </row>
    <row r="45" spans="1:9" ht="15" customHeight="1" x14ac:dyDescent="0.55000000000000004">
      <c r="A45" s="6">
        <v>46086</v>
      </c>
      <c r="B45" s="4">
        <v>4.22</v>
      </c>
      <c r="C45" s="4">
        <v>4.08</v>
      </c>
      <c r="D45" s="4">
        <v>4</v>
      </c>
      <c r="E45" s="4">
        <v>220</v>
      </c>
      <c r="F45" s="4">
        <v>4788</v>
      </c>
      <c r="G45" s="4">
        <v>1.0949</v>
      </c>
      <c r="H45" s="4"/>
      <c r="I45" s="4"/>
    </row>
    <row r="46" spans="1:9" ht="15" customHeight="1" x14ac:dyDescent="0.55000000000000004">
      <c r="A46" s="6">
        <v>46087</v>
      </c>
      <c r="B46" s="4">
        <v>4.2300000000000004</v>
      </c>
      <c r="C46" s="4">
        <v>4.09</v>
      </c>
      <c r="D46" s="4">
        <v>4.01</v>
      </c>
      <c r="E46" s="4">
        <v>221</v>
      </c>
      <c r="F46" s="4">
        <v>4795</v>
      </c>
      <c r="G46" s="4">
        <v>1.25</v>
      </c>
      <c r="H46" s="4" t="s">
        <v>19</v>
      </c>
      <c r="I46" s="4" t="s">
        <v>20</v>
      </c>
    </row>
    <row r="47" spans="1:9" ht="15" customHeight="1" x14ac:dyDescent="0.55000000000000004">
      <c r="A47" s="6">
        <v>46090</v>
      </c>
      <c r="B47" s="4">
        <v>4.24</v>
      </c>
      <c r="C47" s="4">
        <v>4.0999999999999996</v>
      </c>
      <c r="D47" s="4">
        <v>4.0199999999999996</v>
      </c>
      <c r="E47" s="4">
        <v>222</v>
      </c>
      <c r="F47" s="4">
        <v>4802</v>
      </c>
      <c r="G47" s="4">
        <v>1.0962000000000001</v>
      </c>
      <c r="H47" s="4"/>
      <c r="I47" s="4"/>
    </row>
    <row r="48" spans="1:9" ht="15" customHeight="1" x14ac:dyDescent="0.55000000000000004">
      <c r="A48" s="6">
        <v>46091</v>
      </c>
      <c r="B48" s="4">
        <v>4.25</v>
      </c>
      <c r="C48" s="4">
        <v>4.1100000000000003</v>
      </c>
      <c r="D48" s="4">
        <v>4.0199999999999996</v>
      </c>
      <c r="E48" s="4">
        <v>223</v>
      </c>
      <c r="F48" s="4">
        <v>4810</v>
      </c>
      <c r="G48" s="4">
        <v>1.0954999999999999</v>
      </c>
      <c r="H48" s="4"/>
      <c r="I48" s="4"/>
    </row>
    <row r="49" spans="1:9" ht="15" customHeight="1" x14ac:dyDescent="0.55000000000000004">
      <c r="A49" s="6">
        <v>46092</v>
      </c>
      <c r="B49" s="4">
        <v>4.26</v>
      </c>
      <c r="C49" s="4">
        <v>4.12</v>
      </c>
      <c r="D49" s="4">
        <v>4.03</v>
      </c>
      <c r="E49" s="4">
        <v>224</v>
      </c>
      <c r="F49" s="4">
        <v>4822</v>
      </c>
      <c r="G49" s="4">
        <v>1.0960000000000001</v>
      </c>
      <c r="H49" s="4"/>
      <c r="I49" s="4"/>
    </row>
    <row r="50" spans="1:9" ht="15" customHeight="1" x14ac:dyDescent="0.55000000000000004">
      <c r="A50" s="7">
        <v>46093</v>
      </c>
      <c r="B50" s="8">
        <v>4.2699999999999996</v>
      </c>
      <c r="C50" s="8">
        <v>4.13</v>
      </c>
      <c r="D50" s="8">
        <v>4.04</v>
      </c>
      <c r="E50" s="8">
        <v>225</v>
      </c>
      <c r="F50" s="8">
        <v>4835</v>
      </c>
      <c r="G50" s="8">
        <v>1.0971</v>
      </c>
      <c r="H50" s="8"/>
      <c r="I50" s="8"/>
    </row>
    <row r="51" spans="1:9" x14ac:dyDescent="0.55000000000000004">
      <c r="A51" s="2"/>
      <c r="B51" s="2"/>
      <c r="C51" s="2"/>
      <c r="D51" s="2"/>
      <c r="E51" s="2"/>
      <c r="F51" s="2"/>
      <c r="G51" s="2"/>
      <c r="H51" s="2"/>
      <c r="I51" s="2"/>
    </row>
    <row r="52" spans="1:9" x14ac:dyDescent="0.55000000000000004">
      <c r="A52" s="1"/>
      <c r="B52" s="9"/>
      <c r="C52" s="10"/>
      <c r="D52" s="11"/>
      <c r="E52" s="12"/>
      <c r="F52" s="13"/>
      <c r="G52" s="2"/>
      <c r="H52" s="2"/>
      <c r="I52" s="2"/>
    </row>
    <row r="53" spans="1:9" ht="15" customHeight="1" x14ac:dyDescent="0.55000000000000004">
      <c r="A53" s="2" t="s">
        <v>21</v>
      </c>
      <c r="B53" s="2" t="s">
        <v>22</v>
      </c>
      <c r="C53" s="2" t="s">
        <v>23</v>
      </c>
      <c r="D53" s="2" t="s">
        <v>24</v>
      </c>
      <c r="E53" s="2" t="s">
        <v>25</v>
      </c>
      <c r="F53" s="2" t="s">
        <v>26</v>
      </c>
      <c r="G53" s="2"/>
      <c r="H53" s="2"/>
      <c r="I53" s="2"/>
    </row>
  </sheetData>
  <mergeCells count="1">
    <mergeCell ref="A1:I1"/>
  </mergeCells>
  <conditionalFormatting sqref="A3:I50">
    <cfRule type="expression" dxfId="12" priority="2">
      <formula>ISNUMBER(SEARCH("STALE",$H3))</formula>
    </cfRule>
    <cfRule type="expression" dxfId="11" priority="4">
      <formula>ISNUMBER(SEARCH("MISSING",$H3))</formula>
    </cfRule>
    <cfRule type="expression" dxfId="10" priority="6">
      <formula>ISNUMBER(SEARCH("DISCONTINUITY",$H3))</formula>
    </cfRule>
    <cfRule type="expression" dxfId="9" priority="8">
      <formula>ISNUMBER(SEARCH("SPIKE",$H3))</formula>
    </cfRule>
    <cfRule type="expression" dxfId="8" priority="10">
      <formula>ISNUMBER(SEARCH("NEGATIVE",$H3))</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zoomScaleNormal="100" workbookViewId="0">
      <pane ySplit="2" topLeftCell="A3" activePane="bottomLeft" state="frozen"/>
      <selection pane="bottomLeft" activeCell="F9" sqref="F9"/>
    </sheetView>
  </sheetViews>
  <sheetFormatPr defaultColWidth="8.68359375" defaultRowHeight="14.4" x14ac:dyDescent="0.55000000000000004"/>
  <cols>
    <col min="1" max="1" width="5.26171875" customWidth="1"/>
    <col min="2" max="2" width="17.5234375" customWidth="1"/>
    <col min="3" max="3" width="19.3125" customWidth="1"/>
    <col min="4" max="4" width="21.05078125" customWidth="1"/>
    <col min="5" max="5" width="15.7890625" customWidth="1"/>
    <col min="6" max="8" width="33.3125" customWidth="1"/>
    <col min="9" max="9" width="31.578125" customWidth="1"/>
  </cols>
  <sheetData>
    <row r="1" spans="1:9" ht="20.05" customHeight="1" thickBot="1" x14ac:dyDescent="0.6">
      <c r="A1" s="17" t="s">
        <v>136</v>
      </c>
      <c r="B1" s="17"/>
      <c r="C1" s="17"/>
      <c r="D1" s="17"/>
      <c r="E1" s="17"/>
      <c r="F1" s="17"/>
      <c r="G1" s="17"/>
      <c r="H1" s="17"/>
      <c r="I1" s="17"/>
    </row>
    <row r="2" spans="1:9" ht="28" customHeight="1" x14ac:dyDescent="0.55000000000000004">
      <c r="A2" s="24" t="s">
        <v>27</v>
      </c>
      <c r="B2" s="24" t="s">
        <v>28</v>
      </c>
      <c r="C2" s="24" t="s">
        <v>29</v>
      </c>
      <c r="D2" s="24" t="s">
        <v>8</v>
      </c>
      <c r="E2" s="24" t="s">
        <v>30</v>
      </c>
      <c r="F2" s="24" t="s">
        <v>31</v>
      </c>
      <c r="G2" s="24" t="s">
        <v>32</v>
      </c>
      <c r="H2" s="24" t="s">
        <v>33</v>
      </c>
      <c r="I2" s="24" t="s">
        <v>34</v>
      </c>
    </row>
    <row r="3" spans="1:9" ht="80.05" customHeight="1" x14ac:dyDescent="0.55000000000000004">
      <c r="A3" s="18">
        <v>1</v>
      </c>
      <c r="B3" s="18" t="s">
        <v>35</v>
      </c>
      <c r="C3" s="18" t="s">
        <v>36</v>
      </c>
      <c r="D3" s="18" t="s">
        <v>10</v>
      </c>
      <c r="E3" s="18" t="s">
        <v>10</v>
      </c>
      <c r="F3" s="18" t="s">
        <v>37</v>
      </c>
      <c r="G3" s="18" t="s">
        <v>110</v>
      </c>
      <c r="H3" s="18" t="s">
        <v>115</v>
      </c>
      <c r="I3" s="18" t="s">
        <v>38</v>
      </c>
    </row>
    <row r="4" spans="1:9" ht="80.05" customHeight="1" x14ac:dyDescent="0.55000000000000004">
      <c r="A4" s="20">
        <v>2</v>
      </c>
      <c r="B4" s="19">
        <f>'1_Raw_Data'!A36</f>
        <v>46073</v>
      </c>
      <c r="C4" s="20" t="s">
        <v>39</v>
      </c>
      <c r="D4" s="20" t="s">
        <v>12</v>
      </c>
      <c r="E4" s="20" t="s">
        <v>24</v>
      </c>
      <c r="F4" s="20" t="s">
        <v>40</v>
      </c>
      <c r="G4" s="20" t="s">
        <v>111</v>
      </c>
      <c r="H4" s="20" t="s">
        <v>41</v>
      </c>
      <c r="I4" s="20" t="s">
        <v>42</v>
      </c>
    </row>
    <row r="5" spans="1:9" ht="80.05" customHeight="1" x14ac:dyDescent="0.55000000000000004">
      <c r="A5" s="18">
        <v>3</v>
      </c>
      <c r="B5" s="21">
        <f>'1_Raw_Data'!A38</f>
        <v>46077</v>
      </c>
      <c r="C5" s="18" t="s">
        <v>43</v>
      </c>
      <c r="D5" s="18" t="s">
        <v>14</v>
      </c>
      <c r="E5" s="18" t="s">
        <v>14</v>
      </c>
      <c r="F5" s="18" t="s">
        <v>121</v>
      </c>
      <c r="G5" s="18" t="s">
        <v>44</v>
      </c>
      <c r="H5" s="18" t="s">
        <v>45</v>
      </c>
      <c r="I5" s="18" t="s">
        <v>46</v>
      </c>
    </row>
    <row r="6" spans="1:9" ht="80.05" customHeight="1" x14ac:dyDescent="0.55000000000000004">
      <c r="A6" s="20">
        <v>4</v>
      </c>
      <c r="B6" s="19">
        <f>'1_Raw_Data'!A39</f>
        <v>46078</v>
      </c>
      <c r="C6" s="20" t="s">
        <v>47</v>
      </c>
      <c r="D6" s="20" t="s">
        <v>20</v>
      </c>
      <c r="E6" s="20" t="s">
        <v>48</v>
      </c>
      <c r="F6" s="20" t="s">
        <v>49</v>
      </c>
      <c r="G6" s="20" t="s">
        <v>122</v>
      </c>
      <c r="H6" s="20" t="s">
        <v>50</v>
      </c>
      <c r="I6" s="20" t="s">
        <v>51</v>
      </c>
    </row>
    <row r="7" spans="1:9" ht="80.05" customHeight="1" x14ac:dyDescent="0.55000000000000004">
      <c r="A7" s="18">
        <v>5</v>
      </c>
      <c r="B7" s="21">
        <f>'1_Raw_Data'!A39</f>
        <v>46078</v>
      </c>
      <c r="C7" s="18" t="s">
        <v>52</v>
      </c>
      <c r="D7" s="18" t="s">
        <v>53</v>
      </c>
      <c r="E7" s="18" t="s">
        <v>53</v>
      </c>
      <c r="F7" s="18" t="s">
        <v>123</v>
      </c>
      <c r="G7" s="18" t="s">
        <v>112</v>
      </c>
      <c r="H7" s="18" t="s">
        <v>114</v>
      </c>
      <c r="I7" s="18" t="s">
        <v>54</v>
      </c>
    </row>
    <row r="8" spans="1:9" ht="80.05" customHeight="1" x14ac:dyDescent="0.55000000000000004">
      <c r="A8" s="20">
        <v>6</v>
      </c>
      <c r="B8" s="19">
        <f>'1_Raw_Data'!A43</f>
        <v>46084</v>
      </c>
      <c r="C8" s="20" t="s">
        <v>43</v>
      </c>
      <c r="D8" s="20" t="s">
        <v>18</v>
      </c>
      <c r="E8" s="20" t="s">
        <v>26</v>
      </c>
      <c r="F8" s="20" t="s">
        <v>55</v>
      </c>
      <c r="G8" s="20" t="s">
        <v>124</v>
      </c>
      <c r="H8" s="20" t="s">
        <v>56</v>
      </c>
      <c r="I8" s="20" t="s">
        <v>57</v>
      </c>
    </row>
    <row r="9" spans="1:9" ht="80.05" customHeight="1" x14ac:dyDescent="0.55000000000000004">
      <c r="A9" s="23">
        <v>7</v>
      </c>
      <c r="B9" s="22">
        <f>'1_Raw_Data'!A46</f>
        <v>46087</v>
      </c>
      <c r="C9" s="23" t="s">
        <v>6</v>
      </c>
      <c r="D9" s="23" t="s">
        <v>20</v>
      </c>
      <c r="E9" s="23" t="s">
        <v>48</v>
      </c>
      <c r="F9" s="23" t="s">
        <v>58</v>
      </c>
      <c r="G9" s="23" t="s">
        <v>113</v>
      </c>
      <c r="H9" s="23" t="s">
        <v>59</v>
      </c>
      <c r="I9" s="23" t="s">
        <v>60</v>
      </c>
    </row>
    <row r="10" spans="1:9" x14ac:dyDescent="0.55000000000000004">
      <c r="A10" s="2"/>
      <c r="B10" s="2"/>
      <c r="C10" s="2"/>
      <c r="D10" s="2"/>
      <c r="E10" s="2"/>
      <c r="F10" s="2"/>
      <c r="G10" s="2"/>
      <c r="H10" s="2"/>
      <c r="I10" s="2"/>
    </row>
    <row r="11" spans="1:9" x14ac:dyDescent="0.55000000000000004">
      <c r="A11" s="2"/>
      <c r="B11" s="2"/>
      <c r="C11" s="2"/>
      <c r="D11" s="2"/>
      <c r="E11" s="2"/>
      <c r="F11" s="2"/>
      <c r="G11" s="2"/>
      <c r="H11" s="2"/>
      <c r="I11" s="2"/>
    </row>
    <row r="12" spans="1:9" ht="22" customHeight="1" thickBot="1" x14ac:dyDescent="0.6">
      <c r="A12" s="25" t="s">
        <v>61</v>
      </c>
      <c r="B12" s="26"/>
      <c r="C12" s="15"/>
      <c r="D12" s="2"/>
      <c r="E12" s="2"/>
      <c r="F12" s="2"/>
      <c r="G12" s="2"/>
      <c r="H12" s="2"/>
      <c r="I12" s="2"/>
    </row>
    <row r="13" spans="1:9" ht="22" customHeight="1" x14ac:dyDescent="0.55000000000000004">
      <c r="A13" s="28" t="s">
        <v>62</v>
      </c>
      <c r="B13" s="31">
        <f>COUNT('1_Raw_Data'!A3:A1000)</f>
        <v>48</v>
      </c>
      <c r="C13" s="2"/>
      <c r="D13" s="2"/>
      <c r="E13" s="2"/>
      <c r="F13" s="2"/>
      <c r="G13" s="2"/>
      <c r="H13" s="2"/>
      <c r="I13" s="2"/>
    </row>
    <row r="14" spans="1:9" ht="18" customHeight="1" x14ac:dyDescent="0.55000000000000004">
      <c r="A14" s="29" t="s">
        <v>139</v>
      </c>
      <c r="B14" s="32">
        <f>B13*6</f>
        <v>288</v>
      </c>
      <c r="C14" s="2"/>
      <c r="D14" s="2"/>
      <c r="E14" s="2"/>
      <c r="F14" s="2"/>
      <c r="G14" s="2"/>
      <c r="H14" s="2"/>
      <c r="I14" s="2"/>
    </row>
    <row r="15" spans="1:9" ht="18" customHeight="1" x14ac:dyDescent="0.55000000000000004">
      <c r="A15" s="29" t="s">
        <v>63</v>
      </c>
      <c r="B15" s="32" cm="1">
        <f t="array" ref="B15">SUMPRODUCT(('1_Raw_Data'!B3:G50="")*('1_Raw_Data'!A3:A50&lt;&gt;""))</f>
        <v>1</v>
      </c>
      <c r="C15" s="2"/>
      <c r="D15" s="2"/>
      <c r="E15" s="2"/>
      <c r="F15" s="2"/>
      <c r="G15" s="2"/>
      <c r="H15" s="2"/>
      <c r="I15" s="2"/>
    </row>
    <row r="16" spans="1:9" ht="18" customHeight="1" x14ac:dyDescent="0.55000000000000004">
      <c r="A16" s="29" t="s">
        <v>140</v>
      </c>
      <c r="B16" s="33">
        <f>B15/B14</f>
        <v>3.472222222222222E-3</v>
      </c>
      <c r="C16" s="2"/>
      <c r="D16" s="2"/>
      <c r="E16" s="2"/>
      <c r="F16" s="2"/>
      <c r="G16" s="2"/>
      <c r="H16" s="2"/>
      <c r="I16" s="2"/>
    </row>
    <row r="17" spans="1:9" ht="18" customHeight="1" x14ac:dyDescent="0.55000000000000004">
      <c r="A17" s="29" t="s">
        <v>141</v>
      </c>
      <c r="B17" s="32">
        <f>COUNTIF('1_Raw_Data'!H3:H1000,"STALE")*6</f>
        <v>12</v>
      </c>
      <c r="C17" s="2"/>
      <c r="D17" s="2"/>
      <c r="E17" s="2"/>
      <c r="F17" s="2"/>
      <c r="G17" s="2"/>
      <c r="H17" s="2"/>
      <c r="I17" s="2"/>
    </row>
    <row r="18" spans="1:9" ht="18" customHeight="1" x14ac:dyDescent="0.55000000000000004">
      <c r="A18" s="29" t="s">
        <v>142</v>
      </c>
      <c r="B18" s="33">
        <f>B17/B14</f>
        <v>4.1666666666666664E-2</v>
      </c>
      <c r="C18" s="2"/>
      <c r="D18" s="2"/>
      <c r="E18" s="2"/>
      <c r="F18" s="2"/>
      <c r="G18" s="2"/>
      <c r="H18" s="2"/>
      <c r="I18" s="2"/>
    </row>
    <row r="19" spans="1:9" ht="18" customHeight="1" x14ac:dyDescent="0.55000000000000004">
      <c r="A19" s="29" t="s">
        <v>143</v>
      </c>
      <c r="B19" s="32">
        <f>COUNTA('1_Raw_Data'!H3:H1000)-COUNTIF('1_Raw_Data'!H3:H1000,"STALE")</f>
        <v>5</v>
      </c>
      <c r="C19" s="2"/>
      <c r="D19" s="2"/>
      <c r="E19" s="2"/>
      <c r="F19" s="2"/>
      <c r="G19" s="2"/>
      <c r="H19" s="2"/>
      <c r="I19" s="2"/>
    </row>
    <row r="20" spans="1:9" ht="18" customHeight="1" x14ac:dyDescent="0.55000000000000004">
      <c r="A20" s="30" t="s">
        <v>64</v>
      </c>
      <c r="B20" s="34">
        <f>COUNTA(A3:A9)</f>
        <v>7</v>
      </c>
      <c r="C20" s="2"/>
      <c r="D20" s="2"/>
      <c r="E20" s="2"/>
      <c r="F20" s="2"/>
      <c r="G20" s="2"/>
      <c r="H20" s="2"/>
      <c r="I20" s="2"/>
    </row>
    <row r="21" spans="1:9" ht="15" customHeight="1" x14ac:dyDescent="0.55000000000000004">
      <c r="A21" s="27" t="s">
        <v>65</v>
      </c>
      <c r="B21" s="3" cm="1">
        <f t="array" ref="B21">SUMPRODUCT(('1_Raw_Data'!I3:I50&lt;&gt;"")/COUNTIF('1_Raw_Data'!I3:I50,'1_Raw_Data'!I3:I50&amp;""))</f>
        <v>6</v>
      </c>
      <c r="C21" s="2"/>
      <c r="D21" s="2"/>
      <c r="E21" s="2"/>
      <c r="F21" s="2"/>
      <c r="G21" s="2"/>
      <c r="H21" s="2"/>
      <c r="I21" s="2"/>
    </row>
  </sheetData>
  <mergeCells count="2">
    <mergeCell ref="A1:I1"/>
    <mergeCell ref="A12:C12"/>
  </mergeCells>
  <conditionalFormatting sqref="A3:I9">
    <cfRule type="expression" dxfId="7" priority="2">
      <formula>ISNUMBER(SEARCH("Stale",$D3))</formula>
    </cfRule>
    <cfRule type="expression" dxfId="6" priority="4">
      <formula>ISNUMBER(SEARCH("Missing",$D3))</formula>
    </cfRule>
    <cfRule type="expression" dxfId="5" priority="6">
      <formula>ISNUMBER(SEARCH("Discontinuity",$D3))</formula>
    </cfRule>
    <cfRule type="expression" dxfId="4" priority="8">
      <formula>ISNUMBER(SEARCH("Spike",$D3))</formula>
    </cfRule>
    <cfRule type="expression" dxfId="3" priority="10">
      <formula>ISNUMBER(SEARCH("Tenor",$D3))</formula>
    </cfRule>
    <cfRule type="expression" dxfId="2" priority="12">
      <formula>ISNUMBER(SEARCH("Negative",$D3))</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zoomScaleNormal="100" workbookViewId="0">
      <pane ySplit="2" topLeftCell="A3" activePane="bottomLeft" state="frozen"/>
      <selection activeCell="D1" sqref="D1"/>
      <selection pane="bottomLeft" activeCell="H4" sqref="H4"/>
    </sheetView>
  </sheetViews>
  <sheetFormatPr defaultColWidth="8.68359375" defaultRowHeight="14.4" x14ac:dyDescent="0.55000000000000004"/>
  <cols>
    <col min="1" max="1" width="8.7890625" customWidth="1"/>
    <col min="2" max="2" width="14.05078125" customWidth="1"/>
    <col min="3" max="3" width="21.05078125" customWidth="1"/>
    <col min="4" max="5" width="22.7890625" customWidth="1"/>
    <col min="6" max="6" width="31.578125" customWidth="1"/>
    <col min="7" max="7" width="17.5234375" customWidth="1"/>
    <col min="8" max="8" width="38.578125" customWidth="1"/>
  </cols>
  <sheetData>
    <row r="1" spans="1:8" ht="20.05" customHeight="1" thickBot="1" x14ac:dyDescent="0.6">
      <c r="A1" s="17" t="s">
        <v>137</v>
      </c>
      <c r="B1" s="17"/>
      <c r="C1" s="17"/>
      <c r="D1" s="17"/>
      <c r="E1" s="17"/>
      <c r="F1" s="17"/>
      <c r="G1" s="17"/>
      <c r="H1" s="17"/>
    </row>
    <row r="2" spans="1:8" ht="26.05" customHeight="1" x14ac:dyDescent="0.55000000000000004">
      <c r="A2" s="24" t="s">
        <v>66</v>
      </c>
      <c r="B2" s="24" t="s">
        <v>28</v>
      </c>
      <c r="C2" s="24" t="s">
        <v>67</v>
      </c>
      <c r="D2" s="24" t="s">
        <v>8</v>
      </c>
      <c r="E2" s="24" t="s">
        <v>68</v>
      </c>
      <c r="F2" s="24" t="s">
        <v>69</v>
      </c>
      <c r="G2" s="24" t="s">
        <v>70</v>
      </c>
      <c r="H2" s="24" t="s">
        <v>125</v>
      </c>
    </row>
    <row r="3" spans="1:8" ht="65.05" customHeight="1" x14ac:dyDescent="0.55000000000000004">
      <c r="A3" s="37">
        <v>1</v>
      </c>
      <c r="B3" s="21">
        <f>'1_Raw_Data'!A8</f>
        <v>46031</v>
      </c>
      <c r="C3" s="18" t="s">
        <v>71</v>
      </c>
      <c r="D3" s="18" t="s">
        <v>22</v>
      </c>
      <c r="E3" s="18" t="s">
        <v>72</v>
      </c>
      <c r="F3" s="18" t="s">
        <v>73</v>
      </c>
      <c r="G3" s="83">
        <f>'4_Clean_Data_Assumptions'!B8</f>
        <v>4.3366666666666669</v>
      </c>
      <c r="H3" s="18" t="s">
        <v>74</v>
      </c>
    </row>
    <row r="4" spans="1:8" ht="65.05" customHeight="1" x14ac:dyDescent="0.55000000000000004">
      <c r="A4" s="38">
        <v>1</v>
      </c>
      <c r="B4" s="19">
        <f>'1_Raw_Data'!A9</f>
        <v>46034</v>
      </c>
      <c r="C4" s="20" t="s">
        <v>71</v>
      </c>
      <c r="D4" s="20" t="s">
        <v>22</v>
      </c>
      <c r="E4" s="20" t="s">
        <v>72</v>
      </c>
      <c r="F4" s="20" t="s">
        <v>75</v>
      </c>
      <c r="G4" s="84">
        <f>'4_Clean_Data_Assumptions'!B9</f>
        <v>4.3133333333333335</v>
      </c>
      <c r="H4" s="20" t="s">
        <v>76</v>
      </c>
    </row>
    <row r="5" spans="1:8" ht="65.05" customHeight="1" x14ac:dyDescent="0.55000000000000004">
      <c r="A5" s="37">
        <v>2</v>
      </c>
      <c r="B5" s="21">
        <f>'1_Raw_Data'!A36</f>
        <v>46073</v>
      </c>
      <c r="C5" s="18" t="s">
        <v>77</v>
      </c>
      <c r="D5" s="18" t="s">
        <v>24</v>
      </c>
      <c r="E5" s="18" t="s">
        <v>72</v>
      </c>
      <c r="F5" s="18" t="s">
        <v>78</v>
      </c>
      <c r="G5" s="85">
        <f>'4_Clean_Data_Assumptions'!B36</f>
        <v>4.2700000000000005</v>
      </c>
      <c r="H5" s="18" t="s">
        <v>79</v>
      </c>
    </row>
    <row r="6" spans="1:8" ht="65.05" customHeight="1" x14ac:dyDescent="0.55000000000000004">
      <c r="A6" s="38">
        <v>3</v>
      </c>
      <c r="B6" s="19">
        <f>'1_Raw_Data'!A38</f>
        <v>46077</v>
      </c>
      <c r="C6" s="20" t="s">
        <v>43</v>
      </c>
      <c r="D6" s="20" t="s">
        <v>23</v>
      </c>
      <c r="E6" s="20" t="s">
        <v>72</v>
      </c>
      <c r="F6" s="20" t="s">
        <v>80</v>
      </c>
      <c r="G6" s="86">
        <f>'4_Clean_Data_Assumptions'!E38</f>
        <v>213.5</v>
      </c>
      <c r="H6" s="20" t="s">
        <v>118</v>
      </c>
    </row>
    <row r="7" spans="1:8" ht="65.05" customHeight="1" x14ac:dyDescent="0.55000000000000004">
      <c r="A7" s="37">
        <v>4</v>
      </c>
      <c r="B7" s="21">
        <f>'1_Raw_Data'!A39</f>
        <v>46078</v>
      </c>
      <c r="C7" s="18" t="s">
        <v>47</v>
      </c>
      <c r="D7" s="18" t="s">
        <v>81</v>
      </c>
      <c r="E7" s="18" t="s">
        <v>72</v>
      </c>
      <c r="F7" s="18" t="s">
        <v>82</v>
      </c>
      <c r="G7" s="85">
        <f>'4_Clean_Data_Assumptions'!C39</f>
        <v>4</v>
      </c>
      <c r="H7" s="18" t="s">
        <v>83</v>
      </c>
    </row>
    <row r="8" spans="1:8" ht="65.05" customHeight="1" x14ac:dyDescent="0.55000000000000004">
      <c r="A8" s="38">
        <v>5</v>
      </c>
      <c r="B8" s="19">
        <f>'1_Raw_Data'!A39</f>
        <v>46078</v>
      </c>
      <c r="C8" s="20" t="s">
        <v>52</v>
      </c>
      <c r="D8" s="20" t="s">
        <v>53</v>
      </c>
      <c r="E8" s="20" t="s">
        <v>144</v>
      </c>
      <c r="F8" s="20" t="s">
        <v>145</v>
      </c>
      <c r="G8" s="87" t="s">
        <v>146</v>
      </c>
      <c r="H8" s="20" t="s">
        <v>147</v>
      </c>
    </row>
    <row r="9" spans="1:8" ht="65.05" customHeight="1" x14ac:dyDescent="0.55000000000000004">
      <c r="A9" s="37">
        <v>6</v>
      </c>
      <c r="B9" s="21">
        <f>'1_Raw_Data'!A43</f>
        <v>46084</v>
      </c>
      <c r="C9" s="18" t="s">
        <v>43</v>
      </c>
      <c r="D9" s="18" t="s">
        <v>18</v>
      </c>
      <c r="E9" s="18" t="s">
        <v>84</v>
      </c>
      <c r="F9" s="18" t="s">
        <v>85</v>
      </c>
      <c r="G9" s="88">
        <f>'4_Clean_Data_Assumptions'!E43</f>
        <v>218</v>
      </c>
      <c r="H9" s="18" t="s">
        <v>116</v>
      </c>
    </row>
    <row r="10" spans="1:8" ht="65.05" customHeight="1" x14ac:dyDescent="0.55000000000000004">
      <c r="A10" s="39">
        <v>7</v>
      </c>
      <c r="B10" s="35">
        <f>'1_Raw_Data'!A46</f>
        <v>46087</v>
      </c>
      <c r="C10" s="36" t="s">
        <v>6</v>
      </c>
      <c r="D10" s="36" t="s">
        <v>86</v>
      </c>
      <c r="E10" s="36" t="s">
        <v>72</v>
      </c>
      <c r="F10" s="36" t="s">
        <v>87</v>
      </c>
      <c r="G10" s="89">
        <f>'4_Clean_Data_Assumptions'!G46</f>
        <v>1.0955999999999999</v>
      </c>
      <c r="H10" s="36" t="s">
        <v>117</v>
      </c>
    </row>
    <row r="11" spans="1:8" x14ac:dyDescent="0.55000000000000004">
      <c r="A11" s="2"/>
      <c r="B11" s="2"/>
      <c r="C11" s="2"/>
      <c r="D11" s="2"/>
      <c r="E11" s="2"/>
      <c r="F11" s="2"/>
      <c r="G11" s="2"/>
      <c r="H11" s="2"/>
    </row>
    <row r="12" spans="1:8" ht="22" customHeight="1" thickBot="1" x14ac:dyDescent="0.6">
      <c r="A12" s="40"/>
      <c r="B12" s="40"/>
      <c r="C12" s="40"/>
      <c r="D12" s="40"/>
      <c r="E12" s="2"/>
      <c r="F12" s="2"/>
      <c r="G12" s="2"/>
      <c r="H12" s="2"/>
    </row>
    <row r="13" spans="1:8" ht="22" customHeight="1" x14ac:dyDescent="0.55000000000000004">
      <c r="A13" s="43" t="s">
        <v>88</v>
      </c>
      <c r="B13" s="43"/>
      <c r="C13" s="43"/>
      <c r="D13" s="43"/>
      <c r="E13" s="15"/>
      <c r="F13" s="15"/>
      <c r="G13" s="15"/>
      <c r="H13" s="15"/>
    </row>
    <row r="14" spans="1:8" ht="55" customHeight="1" x14ac:dyDescent="0.55000000000000004">
      <c r="A14" s="41" t="s">
        <v>89</v>
      </c>
      <c r="B14" s="41" t="s">
        <v>90</v>
      </c>
      <c r="C14" s="41" t="s">
        <v>91</v>
      </c>
      <c r="D14" s="41" t="s">
        <v>92</v>
      </c>
      <c r="E14" s="2"/>
      <c r="F14" s="2"/>
      <c r="G14" s="2"/>
      <c r="H14" s="2"/>
    </row>
    <row r="15" spans="1:8" ht="55" customHeight="1" x14ac:dyDescent="0.55000000000000004">
      <c r="A15" s="42" t="s">
        <v>72</v>
      </c>
      <c r="B15" s="42" t="s">
        <v>93</v>
      </c>
      <c r="C15" s="42" t="s">
        <v>148</v>
      </c>
      <c r="D15" s="42" t="s">
        <v>94</v>
      </c>
      <c r="E15" s="2"/>
      <c r="F15" s="2"/>
      <c r="G15" s="2"/>
      <c r="H15" s="2"/>
    </row>
    <row r="16" spans="1:8" ht="55" customHeight="1" x14ac:dyDescent="0.55000000000000004">
      <c r="A16" s="44" t="s">
        <v>84</v>
      </c>
      <c r="B16" s="44" t="s">
        <v>95</v>
      </c>
      <c r="C16" s="44" t="s">
        <v>96</v>
      </c>
      <c r="D16" s="44" t="s">
        <v>97</v>
      </c>
      <c r="E16" s="2"/>
      <c r="F16" s="2"/>
      <c r="G16" s="2"/>
      <c r="H16" s="2"/>
    </row>
  </sheetData>
  <mergeCells count="2">
    <mergeCell ref="A1:H1"/>
    <mergeCell ref="A13:H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5"/>
  <sheetViews>
    <sheetView zoomScaleNormal="100" workbookViewId="0">
      <pane ySplit="2" topLeftCell="A3" activePane="bottomLeft" state="frozen"/>
      <selection pane="bottomLeft" activeCell="H8" sqref="H8"/>
    </sheetView>
  </sheetViews>
  <sheetFormatPr defaultColWidth="8.68359375" defaultRowHeight="14.4" x14ac:dyDescent="0.55000000000000004"/>
  <cols>
    <col min="1" max="1" width="15.41796875" customWidth="1"/>
    <col min="2" max="2" width="96.47265625" customWidth="1"/>
    <col min="3" max="3" width="11.9453125" customWidth="1"/>
    <col min="4" max="4" width="13.15625" customWidth="1"/>
    <col min="5" max="5" width="15.41796875" customWidth="1"/>
    <col min="6" max="7" width="11.9453125" customWidth="1"/>
    <col min="8" max="8" width="36.83984375" customWidth="1"/>
    <col min="9" max="9" width="19.3125" customWidth="1"/>
    <col min="10" max="10" width="0.89453125" customWidth="1"/>
  </cols>
  <sheetData>
    <row r="1" spans="1:10" ht="20.05" customHeight="1" thickBot="1" x14ac:dyDescent="0.6">
      <c r="A1" s="17" t="s">
        <v>138</v>
      </c>
      <c r="B1" s="17"/>
      <c r="C1" s="17"/>
      <c r="D1" s="17"/>
      <c r="E1" s="17"/>
      <c r="F1" s="17"/>
      <c r="G1" s="17"/>
      <c r="H1" s="17"/>
      <c r="I1" s="17"/>
      <c r="J1" s="17"/>
    </row>
    <row r="2" spans="1:10" ht="26.05" customHeight="1" x14ac:dyDescent="0.55000000000000004">
      <c r="A2" s="53" t="s">
        <v>0</v>
      </c>
      <c r="B2" s="53" t="s">
        <v>1</v>
      </c>
      <c r="C2" s="53" t="s">
        <v>2</v>
      </c>
      <c r="D2" s="53" t="s">
        <v>3</v>
      </c>
      <c r="E2" s="53" t="s">
        <v>98</v>
      </c>
      <c r="F2" s="53" t="s">
        <v>5</v>
      </c>
      <c r="G2" s="53" t="s">
        <v>6</v>
      </c>
      <c r="H2" s="53" t="s">
        <v>99</v>
      </c>
      <c r="I2" s="53" t="s">
        <v>89</v>
      </c>
      <c r="J2" s="53"/>
    </row>
    <row r="3" spans="1:10" ht="18" customHeight="1" x14ac:dyDescent="0.55000000000000004">
      <c r="A3" s="58">
        <f>'1_Raw_Data'!A3</f>
        <v>46024</v>
      </c>
      <c r="B3" s="46">
        <f>'1_Raw_Data'!B3</f>
        <v>4.3499999999999996</v>
      </c>
      <c r="C3" s="46">
        <f>'1_Raw_Data'!C3</f>
        <v>4.18</v>
      </c>
      <c r="D3" s="46">
        <f>'1_Raw_Data'!D3</f>
        <v>4.05</v>
      </c>
      <c r="E3" s="47">
        <f>'1_Raw_Data'!E3</f>
        <v>165</v>
      </c>
      <c r="F3" s="47">
        <f>'1_Raw_Data'!F3</f>
        <v>4750</v>
      </c>
      <c r="G3" s="45">
        <f>'1_Raw_Data'!G3</f>
        <v>1.0940000000000001</v>
      </c>
      <c r="H3" s="48" t="s">
        <v>126</v>
      </c>
      <c r="I3" s="48" t="s">
        <v>126</v>
      </c>
      <c r="J3" s="61"/>
    </row>
    <row r="4" spans="1:10" ht="18" customHeight="1" x14ac:dyDescent="0.55000000000000004">
      <c r="A4" s="59">
        <f>'1_Raw_Data'!A4</f>
        <v>46027</v>
      </c>
      <c r="B4" s="50">
        <f>'1_Raw_Data'!B4</f>
        <v>4.33</v>
      </c>
      <c r="C4" s="50">
        <f>'1_Raw_Data'!C4</f>
        <v>4.17</v>
      </c>
      <c r="D4" s="50">
        <f>'1_Raw_Data'!D4</f>
        <v>4.0599999999999996</v>
      </c>
      <c r="E4" s="51">
        <f>'1_Raw_Data'!E4</f>
        <v>166</v>
      </c>
      <c r="F4" s="51">
        <f>'1_Raw_Data'!F4</f>
        <v>4762</v>
      </c>
      <c r="G4" s="49">
        <f>'1_Raw_Data'!G4</f>
        <v>1.0928</v>
      </c>
      <c r="H4" s="52" t="s">
        <v>126</v>
      </c>
      <c r="I4" s="52" t="s">
        <v>126</v>
      </c>
      <c r="J4" s="62"/>
    </row>
    <row r="5" spans="1:10" ht="18" customHeight="1" x14ac:dyDescent="0.55000000000000004">
      <c r="A5" s="58">
        <f>'1_Raw_Data'!A5</f>
        <v>46028</v>
      </c>
      <c r="B5" s="46">
        <f>'1_Raw_Data'!B5</f>
        <v>4.3099999999999996</v>
      </c>
      <c r="C5" s="46">
        <f>'1_Raw_Data'!C5</f>
        <v>4.16</v>
      </c>
      <c r="D5" s="46">
        <f>'1_Raw_Data'!D5</f>
        <v>4.05</v>
      </c>
      <c r="E5" s="47">
        <f>'1_Raw_Data'!E5</f>
        <v>168</v>
      </c>
      <c r="F5" s="47">
        <f>'1_Raw_Data'!F5</f>
        <v>4748</v>
      </c>
      <c r="G5" s="45">
        <f>'1_Raw_Data'!G5</f>
        <v>1.0909</v>
      </c>
      <c r="H5" s="48" t="s">
        <v>126</v>
      </c>
      <c r="I5" s="48" t="s">
        <v>126</v>
      </c>
      <c r="J5" s="61"/>
    </row>
    <row r="6" spans="1:10" ht="18" customHeight="1" x14ac:dyDescent="0.55000000000000004">
      <c r="A6" s="59">
        <f>'1_Raw_Data'!A6</f>
        <v>46029</v>
      </c>
      <c r="B6" s="50">
        <f>'1_Raw_Data'!B6</f>
        <v>4.34</v>
      </c>
      <c r="C6" s="50">
        <f>'1_Raw_Data'!C6</f>
        <v>4.1900000000000004</v>
      </c>
      <c r="D6" s="50">
        <f>'1_Raw_Data'!D6</f>
        <v>4.07</v>
      </c>
      <c r="E6" s="51">
        <f>'1_Raw_Data'!E6</f>
        <v>169</v>
      </c>
      <c r="F6" s="51">
        <f>'1_Raw_Data'!F6</f>
        <v>4775</v>
      </c>
      <c r="G6" s="49">
        <f>'1_Raw_Data'!G6</f>
        <v>1.0914999999999999</v>
      </c>
      <c r="H6" s="52" t="s">
        <v>126</v>
      </c>
      <c r="I6" s="52" t="s">
        <v>126</v>
      </c>
      <c r="J6" s="62"/>
    </row>
    <row r="7" spans="1:10" ht="18" customHeight="1" x14ac:dyDescent="0.55000000000000004">
      <c r="A7" s="58">
        <f>'1_Raw_Data'!A7</f>
        <v>46030</v>
      </c>
      <c r="B7" s="46">
        <f>'1_Raw_Data'!B7</f>
        <v>4.3600000000000003</v>
      </c>
      <c r="C7" s="46">
        <f>'1_Raw_Data'!C7</f>
        <v>4.21</v>
      </c>
      <c r="D7" s="46">
        <f>'1_Raw_Data'!D7</f>
        <v>4.08</v>
      </c>
      <c r="E7" s="47">
        <f>'1_Raw_Data'!E7</f>
        <v>171</v>
      </c>
      <c r="F7" s="47">
        <f>'1_Raw_Data'!F7</f>
        <v>4790</v>
      </c>
      <c r="G7" s="45">
        <f>'1_Raw_Data'!G7</f>
        <v>1.0931999999999999</v>
      </c>
      <c r="H7" s="48" t="s">
        <v>126</v>
      </c>
      <c r="I7" s="48" t="s">
        <v>126</v>
      </c>
      <c r="J7" s="61"/>
    </row>
    <row r="8" spans="1:10" ht="18" customHeight="1" x14ac:dyDescent="0.55000000000000004">
      <c r="A8" s="64">
        <f>'1_Raw_Data'!A8</f>
        <v>46031</v>
      </c>
      <c r="B8" s="66">
        <f>'1_Raw_Data'!B7+('1_Raw_Data'!B10-'1_Raw_Data'!B7)*(1/3)</f>
        <v>4.3366666666666669</v>
      </c>
      <c r="C8" s="66">
        <f>'1_Raw_Data'!C7+('1_Raw_Data'!C10-'1_Raw_Data'!C7)*(1/3)</f>
        <v>4.1866666666666665</v>
      </c>
      <c r="D8" s="66">
        <f>'1_Raw_Data'!D7+('1_Raw_Data'!D10-'1_Raw_Data'!D7)*(1/3)</f>
        <v>4.0599999999999996</v>
      </c>
      <c r="E8" s="67">
        <f>'1_Raw_Data'!E7+('1_Raw_Data'!E10-'1_Raw_Data'!E7)*(1/3)</f>
        <v>171.66666666666666</v>
      </c>
      <c r="F8" s="67">
        <f>'1_Raw_Data'!F7+('1_Raw_Data'!F10-'1_Raw_Data'!F7)*(1/3)</f>
        <v>4772</v>
      </c>
      <c r="G8" s="65">
        <f>'1_Raw_Data'!G7+('1_Raw_Data'!G10-'1_Raw_Data'!G7)*(1/3)</f>
        <v>1.0920333333333332</v>
      </c>
      <c r="H8" s="68" t="s">
        <v>119</v>
      </c>
      <c r="I8" s="68" t="s">
        <v>72</v>
      </c>
      <c r="J8" s="69"/>
    </row>
    <row r="9" spans="1:10" ht="18" customHeight="1" x14ac:dyDescent="0.55000000000000004">
      <c r="A9" s="64">
        <f>'1_Raw_Data'!A9</f>
        <v>46034</v>
      </c>
      <c r="B9" s="66">
        <f>'1_Raw_Data'!B7+('1_Raw_Data'!B10-'1_Raw_Data'!B7)*(2/3)</f>
        <v>4.3133333333333335</v>
      </c>
      <c r="C9" s="66">
        <f>'1_Raw_Data'!C7+('1_Raw_Data'!C10-'1_Raw_Data'!C7)*(2/3)</f>
        <v>4.1633333333333331</v>
      </c>
      <c r="D9" s="66">
        <f>'1_Raw_Data'!D7+('1_Raw_Data'!D10-'1_Raw_Data'!D7)*(2/3)</f>
        <v>4.04</v>
      </c>
      <c r="E9" s="67">
        <f>'1_Raw_Data'!E7+('1_Raw_Data'!E10-'1_Raw_Data'!E7)*(2/3)</f>
        <v>172.33333333333334</v>
      </c>
      <c r="F9" s="67">
        <f>'1_Raw_Data'!F7+('1_Raw_Data'!F10-'1_Raw_Data'!F7)*(2/3)</f>
        <v>4754</v>
      </c>
      <c r="G9" s="65">
        <f>'1_Raw_Data'!G7+('1_Raw_Data'!G10-'1_Raw_Data'!G7)*(2/3)</f>
        <v>1.0908666666666667</v>
      </c>
      <c r="H9" s="68" t="s">
        <v>120</v>
      </c>
      <c r="I9" s="68" t="s">
        <v>72</v>
      </c>
      <c r="J9" s="69"/>
    </row>
    <row r="10" spans="1:10" ht="18" customHeight="1" x14ac:dyDescent="0.55000000000000004">
      <c r="A10" s="59">
        <f>'1_Raw_Data'!A10</f>
        <v>46035</v>
      </c>
      <c r="B10" s="50">
        <f>'1_Raw_Data'!B10</f>
        <v>4.29</v>
      </c>
      <c r="C10" s="50">
        <f>'1_Raw_Data'!C10</f>
        <v>4.1399999999999997</v>
      </c>
      <c r="D10" s="50">
        <f>'1_Raw_Data'!D10</f>
        <v>4.0199999999999996</v>
      </c>
      <c r="E10" s="51">
        <f>'1_Raw_Data'!E10</f>
        <v>173</v>
      </c>
      <c r="F10" s="51">
        <f>'1_Raw_Data'!F10</f>
        <v>4736</v>
      </c>
      <c r="G10" s="49">
        <f>'1_Raw_Data'!G10</f>
        <v>1.0896999999999999</v>
      </c>
      <c r="H10" s="52" t="s">
        <v>126</v>
      </c>
      <c r="I10" s="52" t="s">
        <v>126</v>
      </c>
      <c r="J10" s="62"/>
    </row>
    <row r="11" spans="1:10" ht="18" customHeight="1" x14ac:dyDescent="0.55000000000000004">
      <c r="A11" s="58">
        <f>'1_Raw_Data'!A11</f>
        <v>46036</v>
      </c>
      <c r="B11" s="46">
        <f>'1_Raw_Data'!B11</f>
        <v>4.28</v>
      </c>
      <c r="C11" s="46">
        <f>'1_Raw_Data'!C11</f>
        <v>4.13</v>
      </c>
      <c r="D11" s="46">
        <f>'1_Raw_Data'!D11</f>
        <v>4.01</v>
      </c>
      <c r="E11" s="47">
        <f>'1_Raw_Data'!E11</f>
        <v>174</v>
      </c>
      <c r="F11" s="47">
        <f>'1_Raw_Data'!F11</f>
        <v>4722</v>
      </c>
      <c r="G11" s="45">
        <f>'1_Raw_Data'!G11</f>
        <v>1.0888</v>
      </c>
      <c r="H11" s="48" t="s">
        <v>126</v>
      </c>
      <c r="I11" s="48" t="s">
        <v>126</v>
      </c>
      <c r="J11" s="61"/>
    </row>
    <row r="12" spans="1:10" ht="18" customHeight="1" x14ac:dyDescent="0.55000000000000004">
      <c r="A12" s="59">
        <f>'1_Raw_Data'!A12</f>
        <v>46037</v>
      </c>
      <c r="B12" s="50">
        <f>'1_Raw_Data'!B12</f>
        <v>4.3</v>
      </c>
      <c r="C12" s="50">
        <f>'1_Raw_Data'!C12</f>
        <v>4.1500000000000004</v>
      </c>
      <c r="D12" s="50">
        <f>'1_Raw_Data'!D12</f>
        <v>4.03</v>
      </c>
      <c r="E12" s="51">
        <f>'1_Raw_Data'!E12</f>
        <v>176</v>
      </c>
      <c r="F12" s="51">
        <f>'1_Raw_Data'!F12</f>
        <v>4741</v>
      </c>
      <c r="G12" s="49">
        <f>'1_Raw_Data'!G12</f>
        <v>1.0895999999999999</v>
      </c>
      <c r="H12" s="52" t="s">
        <v>126</v>
      </c>
      <c r="I12" s="52" t="s">
        <v>126</v>
      </c>
      <c r="J12" s="62"/>
    </row>
    <row r="13" spans="1:10" ht="18" customHeight="1" x14ac:dyDescent="0.55000000000000004">
      <c r="A13" s="58">
        <f>'1_Raw_Data'!A13</f>
        <v>46038</v>
      </c>
      <c r="B13" s="46">
        <f>'1_Raw_Data'!B13</f>
        <v>4.32</v>
      </c>
      <c r="C13" s="46">
        <f>'1_Raw_Data'!C13</f>
        <v>4.16</v>
      </c>
      <c r="D13" s="46">
        <f>'1_Raw_Data'!D13</f>
        <v>4.04</v>
      </c>
      <c r="E13" s="47">
        <f>'1_Raw_Data'!E13</f>
        <v>177</v>
      </c>
      <c r="F13" s="47">
        <f>'1_Raw_Data'!F13</f>
        <v>4755</v>
      </c>
      <c r="G13" s="45">
        <f>'1_Raw_Data'!G13</f>
        <v>1.0904</v>
      </c>
      <c r="H13" s="48" t="s">
        <v>126</v>
      </c>
      <c r="I13" s="48" t="s">
        <v>126</v>
      </c>
      <c r="J13" s="61"/>
    </row>
    <row r="14" spans="1:10" ht="18" customHeight="1" x14ac:dyDescent="0.55000000000000004">
      <c r="A14" s="59">
        <f>'1_Raw_Data'!A14</f>
        <v>46042</v>
      </c>
      <c r="B14" s="50">
        <f>'1_Raw_Data'!B14</f>
        <v>4.34</v>
      </c>
      <c r="C14" s="50">
        <f>'1_Raw_Data'!C14</f>
        <v>4.18</v>
      </c>
      <c r="D14" s="50">
        <f>'1_Raw_Data'!D14</f>
        <v>4.05</v>
      </c>
      <c r="E14" s="51">
        <f>'1_Raw_Data'!E14</f>
        <v>179</v>
      </c>
      <c r="F14" s="51">
        <f>'1_Raw_Data'!F14</f>
        <v>4768</v>
      </c>
      <c r="G14" s="49">
        <f>'1_Raw_Data'!G14</f>
        <v>1.0911</v>
      </c>
      <c r="H14" s="52" t="s">
        <v>126</v>
      </c>
      <c r="I14" s="52" t="s">
        <v>126</v>
      </c>
      <c r="J14" s="62"/>
    </row>
    <row r="15" spans="1:10" ht="18" customHeight="1" x14ac:dyDescent="0.55000000000000004">
      <c r="A15" s="58">
        <f>'1_Raw_Data'!A15</f>
        <v>46043</v>
      </c>
      <c r="B15" s="46">
        <f>'1_Raw_Data'!B15</f>
        <v>4.33</v>
      </c>
      <c r="C15" s="46">
        <f>'1_Raw_Data'!C15</f>
        <v>4.17</v>
      </c>
      <c r="D15" s="46">
        <f>'1_Raw_Data'!D15</f>
        <v>4.05</v>
      </c>
      <c r="E15" s="47">
        <f>'1_Raw_Data'!E15</f>
        <v>181</v>
      </c>
      <c r="F15" s="47">
        <f>'1_Raw_Data'!F15</f>
        <v>4759</v>
      </c>
      <c r="G15" s="45">
        <f>'1_Raw_Data'!G15</f>
        <v>1.0899000000000001</v>
      </c>
      <c r="H15" s="48" t="s">
        <v>126</v>
      </c>
      <c r="I15" s="48" t="s">
        <v>126</v>
      </c>
      <c r="J15" s="61"/>
    </row>
    <row r="16" spans="1:10" ht="18" customHeight="1" x14ac:dyDescent="0.55000000000000004">
      <c r="A16" s="59">
        <f>'1_Raw_Data'!A16</f>
        <v>46044</v>
      </c>
      <c r="B16" s="50">
        <f>'1_Raw_Data'!B16</f>
        <v>4.3099999999999996</v>
      </c>
      <c r="C16" s="50">
        <f>'1_Raw_Data'!C16</f>
        <v>4.16</v>
      </c>
      <c r="D16" s="50">
        <f>'1_Raw_Data'!D16</f>
        <v>4.04</v>
      </c>
      <c r="E16" s="51">
        <f>'1_Raw_Data'!E16</f>
        <v>182</v>
      </c>
      <c r="F16" s="51">
        <f>'1_Raw_Data'!F16</f>
        <v>4744</v>
      </c>
      <c r="G16" s="49">
        <f>'1_Raw_Data'!G16</f>
        <v>1.0880000000000001</v>
      </c>
      <c r="H16" s="52" t="s">
        <v>126</v>
      </c>
      <c r="I16" s="52" t="s">
        <v>126</v>
      </c>
      <c r="J16" s="62"/>
    </row>
    <row r="17" spans="1:10" ht="18" customHeight="1" x14ac:dyDescent="0.55000000000000004">
      <c r="A17" s="58">
        <f>'1_Raw_Data'!A17</f>
        <v>46045</v>
      </c>
      <c r="B17" s="46">
        <f>'1_Raw_Data'!B17</f>
        <v>4.3</v>
      </c>
      <c r="C17" s="46">
        <f>'1_Raw_Data'!C17</f>
        <v>4.1500000000000004</v>
      </c>
      <c r="D17" s="46">
        <f>'1_Raw_Data'!D17</f>
        <v>4.04</v>
      </c>
      <c r="E17" s="47">
        <f>'1_Raw_Data'!E17</f>
        <v>183</v>
      </c>
      <c r="F17" s="47">
        <f>'1_Raw_Data'!F17</f>
        <v>4728</v>
      </c>
      <c r="G17" s="45">
        <f>'1_Raw_Data'!G17</f>
        <v>1.0871999999999999</v>
      </c>
      <c r="H17" s="48" t="s">
        <v>126</v>
      </c>
      <c r="I17" s="48" t="s">
        <v>126</v>
      </c>
      <c r="J17" s="61"/>
    </row>
    <row r="18" spans="1:10" ht="18" customHeight="1" x14ac:dyDescent="0.55000000000000004">
      <c r="A18" s="59">
        <f>'1_Raw_Data'!A18</f>
        <v>46048</v>
      </c>
      <c r="B18" s="50">
        <f>'1_Raw_Data'!B18</f>
        <v>4.28</v>
      </c>
      <c r="C18" s="50">
        <f>'1_Raw_Data'!C18</f>
        <v>4.13</v>
      </c>
      <c r="D18" s="50">
        <f>'1_Raw_Data'!D18</f>
        <v>4.03</v>
      </c>
      <c r="E18" s="51">
        <f>'1_Raw_Data'!E18</f>
        <v>185</v>
      </c>
      <c r="F18" s="51">
        <f>'1_Raw_Data'!F18</f>
        <v>4705</v>
      </c>
      <c r="G18" s="49">
        <f>'1_Raw_Data'!G18</f>
        <v>1.0854999999999999</v>
      </c>
      <c r="H18" s="52" t="s">
        <v>126</v>
      </c>
      <c r="I18" s="52" t="s">
        <v>126</v>
      </c>
      <c r="J18" s="62"/>
    </row>
    <row r="19" spans="1:10" ht="18" customHeight="1" x14ac:dyDescent="0.55000000000000004">
      <c r="A19" s="58">
        <f>'1_Raw_Data'!A19</f>
        <v>46049</v>
      </c>
      <c r="B19" s="46">
        <f>'1_Raw_Data'!B19</f>
        <v>4.29</v>
      </c>
      <c r="C19" s="46">
        <f>'1_Raw_Data'!C19</f>
        <v>4.1399999999999997</v>
      </c>
      <c r="D19" s="46">
        <f>'1_Raw_Data'!D19</f>
        <v>4.03</v>
      </c>
      <c r="E19" s="47">
        <f>'1_Raw_Data'!E19</f>
        <v>186</v>
      </c>
      <c r="F19" s="47">
        <f>'1_Raw_Data'!F19</f>
        <v>4718</v>
      </c>
      <c r="G19" s="45">
        <f>'1_Raw_Data'!G19</f>
        <v>1.0860000000000001</v>
      </c>
      <c r="H19" s="48" t="s">
        <v>126</v>
      </c>
      <c r="I19" s="48" t="s">
        <v>126</v>
      </c>
      <c r="J19" s="61"/>
    </row>
    <row r="20" spans="1:10" ht="18" customHeight="1" x14ac:dyDescent="0.55000000000000004">
      <c r="A20" s="59">
        <f>'1_Raw_Data'!A20</f>
        <v>46050</v>
      </c>
      <c r="B20" s="50">
        <f>'1_Raw_Data'!B20</f>
        <v>4.2699999999999996</v>
      </c>
      <c r="C20" s="50">
        <f>'1_Raw_Data'!C20</f>
        <v>4.12</v>
      </c>
      <c r="D20" s="50">
        <f>'1_Raw_Data'!D20</f>
        <v>4.0199999999999996</v>
      </c>
      <c r="E20" s="51">
        <f>'1_Raw_Data'!E20</f>
        <v>187</v>
      </c>
      <c r="F20" s="51">
        <f>'1_Raw_Data'!F20</f>
        <v>4699</v>
      </c>
      <c r="G20" s="49">
        <f>'1_Raw_Data'!G20</f>
        <v>1.0846</v>
      </c>
      <c r="H20" s="52" t="s">
        <v>126</v>
      </c>
      <c r="I20" s="52" t="s">
        <v>126</v>
      </c>
      <c r="J20" s="62"/>
    </row>
    <row r="21" spans="1:10" ht="18" customHeight="1" x14ac:dyDescent="0.55000000000000004">
      <c r="A21" s="58">
        <f>'1_Raw_Data'!A21</f>
        <v>46051</v>
      </c>
      <c r="B21" s="46">
        <f>'1_Raw_Data'!B21</f>
        <v>4.26</v>
      </c>
      <c r="C21" s="46">
        <f>'1_Raw_Data'!C21</f>
        <v>4.1100000000000003</v>
      </c>
      <c r="D21" s="46">
        <f>'1_Raw_Data'!D21</f>
        <v>4.0199999999999996</v>
      </c>
      <c r="E21" s="47">
        <f>'1_Raw_Data'!E21</f>
        <v>188</v>
      </c>
      <c r="F21" s="47">
        <f>'1_Raw_Data'!F21</f>
        <v>4687</v>
      </c>
      <c r="G21" s="45">
        <f>'1_Raw_Data'!G21</f>
        <v>1.0839000000000001</v>
      </c>
      <c r="H21" s="48" t="s">
        <v>126</v>
      </c>
      <c r="I21" s="48" t="s">
        <v>126</v>
      </c>
      <c r="J21" s="61"/>
    </row>
    <row r="22" spans="1:10" ht="18" customHeight="1" x14ac:dyDescent="0.55000000000000004">
      <c r="A22" s="59">
        <f>'1_Raw_Data'!A22</f>
        <v>46052</v>
      </c>
      <c r="B22" s="50">
        <f>'1_Raw_Data'!B22</f>
        <v>4.25</v>
      </c>
      <c r="C22" s="50">
        <f>'1_Raw_Data'!C22</f>
        <v>4.0999999999999996</v>
      </c>
      <c r="D22" s="50">
        <f>'1_Raw_Data'!D22</f>
        <v>4.01</v>
      </c>
      <c r="E22" s="51">
        <f>'1_Raw_Data'!E22</f>
        <v>189</v>
      </c>
      <c r="F22" s="51">
        <f>'1_Raw_Data'!F22</f>
        <v>4696</v>
      </c>
      <c r="G22" s="49">
        <f>'1_Raw_Data'!G22</f>
        <v>1.0844</v>
      </c>
      <c r="H22" s="52" t="s">
        <v>126</v>
      </c>
      <c r="I22" s="52" t="s">
        <v>126</v>
      </c>
      <c r="J22" s="62"/>
    </row>
    <row r="23" spans="1:10" ht="18" customHeight="1" x14ac:dyDescent="0.55000000000000004">
      <c r="A23" s="58">
        <f>'1_Raw_Data'!A23</f>
        <v>46055</v>
      </c>
      <c r="B23" s="46">
        <f>'1_Raw_Data'!B23</f>
        <v>4.2300000000000004</v>
      </c>
      <c r="C23" s="46">
        <f>'1_Raw_Data'!C23</f>
        <v>4.09</v>
      </c>
      <c r="D23" s="46">
        <f>'1_Raw_Data'!D23</f>
        <v>4</v>
      </c>
      <c r="E23" s="47">
        <f>'1_Raw_Data'!E23</f>
        <v>190</v>
      </c>
      <c r="F23" s="47">
        <f>'1_Raw_Data'!F23</f>
        <v>4678</v>
      </c>
      <c r="G23" s="45">
        <f>'1_Raw_Data'!G23</f>
        <v>1.0827</v>
      </c>
      <c r="H23" s="48" t="s">
        <v>126</v>
      </c>
      <c r="I23" s="48" t="s">
        <v>126</v>
      </c>
      <c r="J23" s="61"/>
    </row>
    <row r="24" spans="1:10" ht="18" customHeight="1" x14ac:dyDescent="0.55000000000000004">
      <c r="A24" s="59">
        <f>'1_Raw_Data'!A24</f>
        <v>46056</v>
      </c>
      <c r="B24" s="50">
        <f>'1_Raw_Data'!B24</f>
        <v>4.21</v>
      </c>
      <c r="C24" s="50">
        <f>'1_Raw_Data'!C24</f>
        <v>4.07</v>
      </c>
      <c r="D24" s="50">
        <f>'1_Raw_Data'!D24</f>
        <v>3.98</v>
      </c>
      <c r="E24" s="51">
        <f>'1_Raw_Data'!E24</f>
        <v>191</v>
      </c>
      <c r="F24" s="51">
        <f>'1_Raw_Data'!F24</f>
        <v>4661</v>
      </c>
      <c r="G24" s="49">
        <f>'1_Raw_Data'!G24</f>
        <v>1.0814999999999999</v>
      </c>
      <c r="H24" s="52" t="s">
        <v>126</v>
      </c>
      <c r="I24" s="52" t="s">
        <v>126</v>
      </c>
      <c r="J24" s="62"/>
    </row>
    <row r="25" spans="1:10" ht="18" customHeight="1" x14ac:dyDescent="0.55000000000000004">
      <c r="A25" s="58">
        <f>'1_Raw_Data'!A25</f>
        <v>46057</v>
      </c>
      <c r="B25" s="46">
        <f>'1_Raw_Data'!B25</f>
        <v>4.2</v>
      </c>
      <c r="C25" s="46">
        <f>'1_Raw_Data'!C25</f>
        <v>4.0599999999999996</v>
      </c>
      <c r="D25" s="46">
        <f>'1_Raw_Data'!D25</f>
        <v>3.98</v>
      </c>
      <c r="E25" s="47">
        <f>'1_Raw_Data'!E25</f>
        <v>192</v>
      </c>
      <c r="F25" s="47">
        <f>'1_Raw_Data'!F25</f>
        <v>4654</v>
      </c>
      <c r="G25" s="45">
        <f>'1_Raw_Data'!G25</f>
        <v>1.0809</v>
      </c>
      <c r="H25" s="48" t="s">
        <v>126</v>
      </c>
      <c r="I25" s="48" t="s">
        <v>126</v>
      </c>
      <c r="J25" s="61"/>
    </row>
    <row r="26" spans="1:10" ht="18" customHeight="1" x14ac:dyDescent="0.55000000000000004">
      <c r="A26" s="59">
        <f>'1_Raw_Data'!A26</f>
        <v>46058</v>
      </c>
      <c r="B26" s="50">
        <f>'1_Raw_Data'!B26</f>
        <v>4.22</v>
      </c>
      <c r="C26" s="50">
        <f>'1_Raw_Data'!C26</f>
        <v>4.08</v>
      </c>
      <c r="D26" s="50">
        <f>'1_Raw_Data'!D26</f>
        <v>3.99</v>
      </c>
      <c r="E26" s="51">
        <f>'1_Raw_Data'!E26</f>
        <v>193</v>
      </c>
      <c r="F26" s="51">
        <f>'1_Raw_Data'!F26</f>
        <v>4668</v>
      </c>
      <c r="G26" s="49">
        <f>'1_Raw_Data'!G26</f>
        <v>1.0818000000000001</v>
      </c>
      <c r="H26" s="52" t="s">
        <v>126</v>
      </c>
      <c r="I26" s="52" t="s">
        <v>126</v>
      </c>
      <c r="J26" s="62"/>
    </row>
    <row r="27" spans="1:10" ht="18" customHeight="1" x14ac:dyDescent="0.55000000000000004">
      <c r="A27" s="58">
        <f>'1_Raw_Data'!A27</f>
        <v>46059</v>
      </c>
      <c r="B27" s="46">
        <f>'1_Raw_Data'!B27</f>
        <v>4.24</v>
      </c>
      <c r="C27" s="46">
        <f>'1_Raw_Data'!C27</f>
        <v>4.09</v>
      </c>
      <c r="D27" s="46">
        <f>'1_Raw_Data'!D27</f>
        <v>4</v>
      </c>
      <c r="E27" s="47">
        <f>'1_Raw_Data'!E27</f>
        <v>194</v>
      </c>
      <c r="F27" s="47">
        <f>'1_Raw_Data'!F27</f>
        <v>4681</v>
      </c>
      <c r="G27" s="45">
        <f>'1_Raw_Data'!G27</f>
        <v>1.0826</v>
      </c>
      <c r="H27" s="48" t="s">
        <v>126</v>
      </c>
      <c r="I27" s="48" t="s">
        <v>126</v>
      </c>
      <c r="J27" s="61"/>
    </row>
    <row r="28" spans="1:10" ht="18" customHeight="1" x14ac:dyDescent="0.55000000000000004">
      <c r="A28" s="59">
        <f>'1_Raw_Data'!A28</f>
        <v>46062</v>
      </c>
      <c r="B28" s="50">
        <f>'1_Raw_Data'!B28</f>
        <v>4.2300000000000004</v>
      </c>
      <c r="C28" s="50">
        <f>'1_Raw_Data'!C28</f>
        <v>4.08</v>
      </c>
      <c r="D28" s="50">
        <f>'1_Raw_Data'!D28</f>
        <v>3.99</v>
      </c>
      <c r="E28" s="51">
        <f>'1_Raw_Data'!E28</f>
        <v>195</v>
      </c>
      <c r="F28" s="51">
        <f>'1_Raw_Data'!F28</f>
        <v>4670</v>
      </c>
      <c r="G28" s="49">
        <f>'1_Raw_Data'!G28</f>
        <v>1.0819000000000001</v>
      </c>
      <c r="H28" s="52" t="s">
        <v>126</v>
      </c>
      <c r="I28" s="52" t="s">
        <v>126</v>
      </c>
      <c r="J28" s="62"/>
    </row>
    <row r="29" spans="1:10" ht="18" customHeight="1" x14ac:dyDescent="0.55000000000000004">
      <c r="A29" s="58">
        <f>'1_Raw_Data'!A29</f>
        <v>46063</v>
      </c>
      <c r="B29" s="46">
        <f>'1_Raw_Data'!B29</f>
        <v>4.24</v>
      </c>
      <c r="C29" s="46">
        <f>'1_Raw_Data'!C29</f>
        <v>4.09</v>
      </c>
      <c r="D29" s="46">
        <f>'1_Raw_Data'!D29</f>
        <v>4</v>
      </c>
      <c r="E29" s="47">
        <f>'1_Raw_Data'!E29</f>
        <v>196</v>
      </c>
      <c r="F29" s="47">
        <f>'1_Raw_Data'!F29</f>
        <v>4684</v>
      </c>
      <c r="G29" s="45">
        <f>'1_Raw_Data'!G29</f>
        <v>1.0828</v>
      </c>
      <c r="H29" s="48" t="s">
        <v>126</v>
      </c>
      <c r="I29" s="48" t="s">
        <v>126</v>
      </c>
      <c r="J29" s="61"/>
    </row>
    <row r="30" spans="1:10" ht="18" customHeight="1" x14ac:dyDescent="0.55000000000000004">
      <c r="A30" s="59">
        <f>'1_Raw_Data'!A30</f>
        <v>46064</v>
      </c>
      <c r="B30" s="50">
        <f>'1_Raw_Data'!B30</f>
        <v>4.25</v>
      </c>
      <c r="C30" s="50">
        <f>'1_Raw_Data'!C30</f>
        <v>4.0999999999999996</v>
      </c>
      <c r="D30" s="50">
        <f>'1_Raw_Data'!D30</f>
        <v>4.01</v>
      </c>
      <c r="E30" s="51">
        <f>'1_Raw_Data'!E30</f>
        <v>197</v>
      </c>
      <c r="F30" s="51">
        <f>'1_Raw_Data'!F30</f>
        <v>4691</v>
      </c>
      <c r="G30" s="49">
        <f>'1_Raw_Data'!G30</f>
        <v>1.0835999999999999</v>
      </c>
      <c r="H30" s="52" t="s">
        <v>126</v>
      </c>
      <c r="I30" s="52" t="s">
        <v>126</v>
      </c>
      <c r="J30" s="62"/>
    </row>
    <row r="31" spans="1:10" ht="18" customHeight="1" x14ac:dyDescent="0.55000000000000004">
      <c r="A31" s="58">
        <f>'1_Raw_Data'!A31</f>
        <v>46065</v>
      </c>
      <c r="B31" s="46">
        <f>'1_Raw_Data'!B31</f>
        <v>4.26</v>
      </c>
      <c r="C31" s="46">
        <f>'1_Raw_Data'!C31</f>
        <v>4.1100000000000003</v>
      </c>
      <c r="D31" s="46">
        <f>'1_Raw_Data'!D31</f>
        <v>4.01</v>
      </c>
      <c r="E31" s="47">
        <f>'1_Raw_Data'!E31</f>
        <v>198</v>
      </c>
      <c r="F31" s="47">
        <f>'1_Raw_Data'!F31</f>
        <v>4700</v>
      </c>
      <c r="G31" s="45">
        <f>'1_Raw_Data'!G31</f>
        <v>1.0842000000000001</v>
      </c>
      <c r="H31" s="48" t="s">
        <v>126</v>
      </c>
      <c r="I31" s="48" t="s">
        <v>126</v>
      </c>
      <c r="J31" s="61"/>
    </row>
    <row r="32" spans="1:10" ht="18" customHeight="1" x14ac:dyDescent="0.55000000000000004">
      <c r="A32" s="59">
        <f>'1_Raw_Data'!A32</f>
        <v>46066</v>
      </c>
      <c r="B32" s="50">
        <f>'1_Raw_Data'!B32</f>
        <v>4.2699999999999996</v>
      </c>
      <c r="C32" s="50">
        <f>'1_Raw_Data'!C32</f>
        <v>4.12</v>
      </c>
      <c r="D32" s="50">
        <f>'1_Raw_Data'!D32</f>
        <v>4.0199999999999996</v>
      </c>
      <c r="E32" s="51">
        <f>'1_Raw_Data'!E32</f>
        <v>199</v>
      </c>
      <c r="F32" s="51">
        <f>'1_Raw_Data'!F32</f>
        <v>4712</v>
      </c>
      <c r="G32" s="49">
        <f>'1_Raw_Data'!G32</f>
        <v>1.085</v>
      </c>
      <c r="H32" s="52" t="s">
        <v>126</v>
      </c>
      <c r="I32" s="52" t="s">
        <v>126</v>
      </c>
      <c r="J32" s="62"/>
    </row>
    <row r="33" spans="1:10" ht="18" customHeight="1" x14ac:dyDescent="0.55000000000000004">
      <c r="A33" s="58">
        <f>'1_Raw_Data'!A33</f>
        <v>46070</v>
      </c>
      <c r="B33" s="46">
        <f>'1_Raw_Data'!B33</f>
        <v>4.3</v>
      </c>
      <c r="C33" s="46">
        <f>'1_Raw_Data'!C33</f>
        <v>4.1500000000000004</v>
      </c>
      <c r="D33" s="46">
        <f>'1_Raw_Data'!D33</f>
        <v>4.04</v>
      </c>
      <c r="E33" s="47">
        <f>'1_Raw_Data'!E33</f>
        <v>205</v>
      </c>
      <c r="F33" s="47">
        <f>'1_Raw_Data'!F33</f>
        <v>4728</v>
      </c>
      <c r="G33" s="45">
        <f>'1_Raw_Data'!G33</f>
        <v>1.0871</v>
      </c>
      <c r="H33" s="48" t="s">
        <v>126</v>
      </c>
      <c r="I33" s="48" t="s">
        <v>126</v>
      </c>
      <c r="J33" s="61"/>
    </row>
    <row r="34" spans="1:10" ht="18" customHeight="1" x14ac:dyDescent="0.55000000000000004">
      <c r="A34" s="59">
        <f>'1_Raw_Data'!A34</f>
        <v>46071</v>
      </c>
      <c r="B34" s="50">
        <f>'1_Raw_Data'!B34</f>
        <v>4.3099999999999996</v>
      </c>
      <c r="C34" s="50">
        <f>'1_Raw_Data'!C34</f>
        <v>4.16</v>
      </c>
      <c r="D34" s="50">
        <f>'1_Raw_Data'!D34</f>
        <v>4.05</v>
      </c>
      <c r="E34" s="51">
        <f>'1_Raw_Data'!E34</f>
        <v>206</v>
      </c>
      <c r="F34" s="51">
        <f>'1_Raw_Data'!F34</f>
        <v>4740</v>
      </c>
      <c r="G34" s="49">
        <f>'1_Raw_Data'!G34</f>
        <v>1.0882000000000001</v>
      </c>
      <c r="H34" s="52" t="s">
        <v>126</v>
      </c>
      <c r="I34" s="52" t="s">
        <v>126</v>
      </c>
      <c r="J34" s="62"/>
    </row>
    <row r="35" spans="1:10" ht="18" customHeight="1" x14ac:dyDescent="0.55000000000000004">
      <c r="A35" s="58">
        <f>'1_Raw_Data'!A35</f>
        <v>46072</v>
      </c>
      <c r="B35" s="46">
        <f>'1_Raw_Data'!B35</f>
        <v>4.32</v>
      </c>
      <c r="C35" s="46">
        <f>'1_Raw_Data'!C35</f>
        <v>4.17</v>
      </c>
      <c r="D35" s="46">
        <f>'1_Raw_Data'!D35</f>
        <v>4.05</v>
      </c>
      <c r="E35" s="47">
        <f>'1_Raw_Data'!E35</f>
        <v>207</v>
      </c>
      <c r="F35" s="47">
        <f>'1_Raw_Data'!F35</f>
        <v>4755</v>
      </c>
      <c r="G35" s="45">
        <f>'1_Raw_Data'!G35</f>
        <v>1.089</v>
      </c>
      <c r="H35" s="48" t="s">
        <v>126</v>
      </c>
      <c r="I35" s="48" t="s">
        <v>126</v>
      </c>
      <c r="J35" s="61"/>
    </row>
    <row r="36" spans="1:10" ht="18" customHeight="1" x14ac:dyDescent="0.55000000000000004">
      <c r="A36" s="64">
        <f>'1_Raw_Data'!A36</f>
        <v>46073</v>
      </c>
      <c r="B36" s="66">
        <f>'1_Raw_Data'!B35+('1_Raw_Data'!B37-'1_Raw_Data'!B35)*(1/4)</f>
        <v>4.2700000000000005</v>
      </c>
      <c r="C36" s="66">
        <f>'1_Raw_Data'!C35+('1_Raw_Data'!C37-'1_Raw_Data'!C35)*(1/4)</f>
        <v>4.1224999999999996</v>
      </c>
      <c r="D36" s="66">
        <f>'1_Raw_Data'!D35+('1_Raw_Data'!D37-'1_Raw_Data'!D35)*(1/4)</f>
        <v>4.0175000000000001</v>
      </c>
      <c r="E36" s="67">
        <f>'1_Raw_Data'!E36</f>
        <v>210</v>
      </c>
      <c r="F36" s="67">
        <f>'1_Raw_Data'!F36</f>
        <v>4680</v>
      </c>
      <c r="G36" s="65">
        <f>'1_Raw_Data'!G36</f>
        <v>1.0878000000000001</v>
      </c>
      <c r="H36" s="68" t="s">
        <v>127</v>
      </c>
      <c r="I36" s="68" t="s">
        <v>72</v>
      </c>
      <c r="J36" s="69"/>
    </row>
    <row r="37" spans="1:10" ht="18" customHeight="1" x14ac:dyDescent="0.55000000000000004">
      <c r="A37" s="58">
        <f>'1_Raw_Data'!A37</f>
        <v>46076</v>
      </c>
      <c r="B37" s="46">
        <f>'1_Raw_Data'!B37</f>
        <v>4.12</v>
      </c>
      <c r="C37" s="46">
        <f>'1_Raw_Data'!C37</f>
        <v>3.98</v>
      </c>
      <c r="D37" s="46">
        <f>'1_Raw_Data'!D37</f>
        <v>3.92</v>
      </c>
      <c r="E37" s="47">
        <f>'1_Raw_Data'!E37</f>
        <v>212</v>
      </c>
      <c r="F37" s="47">
        <f>'1_Raw_Data'!F37</f>
        <v>4692</v>
      </c>
      <c r="G37" s="45">
        <f>'1_Raw_Data'!G37</f>
        <v>1.0884</v>
      </c>
      <c r="H37" s="48" t="s">
        <v>126</v>
      </c>
      <c r="I37" s="48" t="s">
        <v>126</v>
      </c>
      <c r="J37" s="61"/>
    </row>
    <row r="38" spans="1:10" ht="18" customHeight="1" x14ac:dyDescent="0.55000000000000004">
      <c r="A38" s="64">
        <f>'1_Raw_Data'!A38</f>
        <v>46077</v>
      </c>
      <c r="B38" s="66">
        <f>'1_Raw_Data'!B38</f>
        <v>4.13</v>
      </c>
      <c r="C38" s="66">
        <f>'1_Raw_Data'!C38</f>
        <v>3.99</v>
      </c>
      <c r="D38" s="66">
        <f>'1_Raw_Data'!D38</f>
        <v>3.93</v>
      </c>
      <c r="E38" s="67">
        <f>('1_Raw_Data'!E37+'1_Raw_Data'!E39)/2</f>
        <v>213.5</v>
      </c>
      <c r="F38" s="67">
        <f>'1_Raw_Data'!F38</f>
        <v>4701</v>
      </c>
      <c r="G38" s="65">
        <f>'1_Raw_Data'!G38</f>
        <v>1.0889</v>
      </c>
      <c r="H38" s="68" t="s">
        <v>128</v>
      </c>
      <c r="I38" s="68" t="s">
        <v>72</v>
      </c>
      <c r="J38" s="69"/>
    </row>
    <row r="39" spans="1:10" ht="18" customHeight="1" x14ac:dyDescent="0.55000000000000004">
      <c r="A39" s="64">
        <f>'1_Raw_Data'!A39</f>
        <v>46078</v>
      </c>
      <c r="B39" s="66">
        <f>'1_Raw_Data'!B39</f>
        <v>4.1399999999999997</v>
      </c>
      <c r="C39" s="66">
        <f>('1_Raw_Data'!C38+'1_Raw_Data'!C40)/2</f>
        <v>4</v>
      </c>
      <c r="D39" s="66">
        <f>'1_Raw_Data'!D39</f>
        <v>3.94</v>
      </c>
      <c r="E39" s="67">
        <f>'1_Raw_Data'!E39</f>
        <v>215</v>
      </c>
      <c r="F39" s="67">
        <f>'1_Raw_Data'!F39</f>
        <v>4715</v>
      </c>
      <c r="G39" s="65">
        <f>'1_Raw_Data'!G39</f>
        <v>1.0895999999999999</v>
      </c>
      <c r="H39" s="68" t="s">
        <v>129</v>
      </c>
      <c r="I39" s="68" t="s">
        <v>72</v>
      </c>
      <c r="J39" s="69"/>
    </row>
    <row r="40" spans="1:10" ht="18" customHeight="1" x14ac:dyDescent="0.55000000000000004">
      <c r="A40" s="59">
        <f>'1_Raw_Data'!A40</f>
        <v>46079</v>
      </c>
      <c r="B40" s="50">
        <f>'1_Raw_Data'!B40</f>
        <v>4.1500000000000004</v>
      </c>
      <c r="C40" s="50">
        <f>'1_Raw_Data'!C40</f>
        <v>4.01</v>
      </c>
      <c r="D40" s="50">
        <f>'1_Raw_Data'!D40</f>
        <v>3.95</v>
      </c>
      <c r="E40" s="51">
        <f>'1_Raw_Data'!E40</f>
        <v>216</v>
      </c>
      <c r="F40" s="51">
        <f>'1_Raw_Data'!F40</f>
        <v>4722</v>
      </c>
      <c r="G40" s="49">
        <f>'1_Raw_Data'!G40</f>
        <v>1.0903</v>
      </c>
      <c r="H40" s="52" t="s">
        <v>126</v>
      </c>
      <c r="I40" s="52" t="s">
        <v>126</v>
      </c>
      <c r="J40" s="62"/>
    </row>
    <row r="41" spans="1:10" ht="18" customHeight="1" x14ac:dyDescent="0.55000000000000004">
      <c r="A41" s="58">
        <f>'1_Raw_Data'!A41</f>
        <v>46080</v>
      </c>
      <c r="B41" s="46">
        <f>'1_Raw_Data'!B41</f>
        <v>4.16</v>
      </c>
      <c r="C41" s="46">
        <f>'1_Raw_Data'!C41</f>
        <v>4.0199999999999996</v>
      </c>
      <c r="D41" s="46">
        <f>'1_Raw_Data'!D41</f>
        <v>3.96</v>
      </c>
      <c r="E41" s="47">
        <f>'1_Raw_Data'!E41</f>
        <v>217</v>
      </c>
      <c r="F41" s="47">
        <f>'1_Raw_Data'!F41</f>
        <v>4734</v>
      </c>
      <c r="G41" s="45">
        <f>'1_Raw_Data'!G41</f>
        <v>1.0911999999999999</v>
      </c>
      <c r="H41" s="48" t="s">
        <v>126</v>
      </c>
      <c r="I41" s="48" t="s">
        <v>126</v>
      </c>
      <c r="J41" s="61"/>
    </row>
    <row r="42" spans="1:10" ht="18" customHeight="1" x14ac:dyDescent="0.55000000000000004">
      <c r="A42" s="59">
        <f>'1_Raw_Data'!A42</f>
        <v>46083</v>
      </c>
      <c r="B42" s="50">
        <f>'1_Raw_Data'!B42</f>
        <v>4.18</v>
      </c>
      <c r="C42" s="50">
        <f>'1_Raw_Data'!C42</f>
        <v>4.04</v>
      </c>
      <c r="D42" s="50">
        <f>'1_Raw_Data'!D42</f>
        <v>3.97</v>
      </c>
      <c r="E42" s="51">
        <f>'1_Raw_Data'!E42</f>
        <v>218</v>
      </c>
      <c r="F42" s="51">
        <f>'1_Raw_Data'!F42</f>
        <v>4746</v>
      </c>
      <c r="G42" s="49">
        <f>'1_Raw_Data'!G42</f>
        <v>1.0920000000000001</v>
      </c>
      <c r="H42" s="52" t="s">
        <v>126</v>
      </c>
      <c r="I42" s="52" t="s">
        <v>126</v>
      </c>
      <c r="J42" s="62"/>
    </row>
    <row r="43" spans="1:10" ht="18" customHeight="1" x14ac:dyDescent="0.55000000000000004">
      <c r="A43" s="64">
        <f>'1_Raw_Data'!A43</f>
        <v>46084</v>
      </c>
      <c r="B43" s="66">
        <f>'1_Raw_Data'!B43</f>
        <v>4.1900000000000004</v>
      </c>
      <c r="C43" s="66">
        <f>'1_Raw_Data'!C43</f>
        <v>4.05</v>
      </c>
      <c r="D43" s="66">
        <f>'1_Raw_Data'!D43</f>
        <v>3.98</v>
      </c>
      <c r="E43" s="67">
        <f>'1_Raw_Data'!E42</f>
        <v>218</v>
      </c>
      <c r="F43" s="67">
        <f>'1_Raw_Data'!F43</f>
        <v>4760</v>
      </c>
      <c r="G43" s="65">
        <f>'1_Raw_Data'!G43</f>
        <v>1.0929</v>
      </c>
      <c r="H43" s="68" t="s">
        <v>130</v>
      </c>
      <c r="I43" s="68" t="s">
        <v>84</v>
      </c>
      <c r="J43" s="69"/>
    </row>
    <row r="44" spans="1:10" ht="18" customHeight="1" x14ac:dyDescent="0.55000000000000004">
      <c r="A44" s="59">
        <f>'1_Raw_Data'!A44</f>
        <v>46085</v>
      </c>
      <c r="B44" s="50">
        <f>'1_Raw_Data'!B44</f>
        <v>4.2</v>
      </c>
      <c r="C44" s="50">
        <f>'1_Raw_Data'!C44</f>
        <v>4.0599999999999996</v>
      </c>
      <c r="D44" s="50">
        <f>'1_Raw_Data'!D44</f>
        <v>3.99</v>
      </c>
      <c r="E44" s="51">
        <f>'1_Raw_Data'!E44</f>
        <v>219</v>
      </c>
      <c r="F44" s="51">
        <f>'1_Raw_Data'!F44</f>
        <v>4772</v>
      </c>
      <c r="G44" s="49">
        <f>'1_Raw_Data'!G44</f>
        <v>1.0936999999999999</v>
      </c>
      <c r="H44" s="52" t="s">
        <v>126</v>
      </c>
      <c r="I44" s="52" t="s">
        <v>126</v>
      </c>
      <c r="J44" s="62"/>
    </row>
    <row r="45" spans="1:10" ht="18" customHeight="1" x14ac:dyDescent="0.55000000000000004">
      <c r="A45" s="58">
        <f>'1_Raw_Data'!A45</f>
        <v>46086</v>
      </c>
      <c r="B45" s="46">
        <f>'1_Raw_Data'!B45</f>
        <v>4.22</v>
      </c>
      <c r="C45" s="46">
        <f>'1_Raw_Data'!C45</f>
        <v>4.08</v>
      </c>
      <c r="D45" s="46">
        <f>'1_Raw_Data'!D45</f>
        <v>4</v>
      </c>
      <c r="E45" s="47">
        <f>'1_Raw_Data'!E45</f>
        <v>220</v>
      </c>
      <c r="F45" s="47">
        <f>'1_Raw_Data'!F45</f>
        <v>4788</v>
      </c>
      <c r="G45" s="45">
        <f>'1_Raw_Data'!G45</f>
        <v>1.0949</v>
      </c>
      <c r="H45" s="48" t="s">
        <v>126</v>
      </c>
      <c r="I45" s="48" t="s">
        <v>126</v>
      </c>
      <c r="J45" s="61"/>
    </row>
    <row r="46" spans="1:10" ht="18" customHeight="1" x14ac:dyDescent="0.55000000000000004">
      <c r="A46" s="64">
        <f>'1_Raw_Data'!A46</f>
        <v>46087</v>
      </c>
      <c r="B46" s="66">
        <f>'1_Raw_Data'!B46</f>
        <v>4.2300000000000004</v>
      </c>
      <c r="C46" s="66">
        <f>'1_Raw_Data'!C46</f>
        <v>4.09</v>
      </c>
      <c r="D46" s="66">
        <f>'1_Raw_Data'!D46</f>
        <v>4.01</v>
      </c>
      <c r="E46" s="67">
        <f>'1_Raw_Data'!E46</f>
        <v>221</v>
      </c>
      <c r="F46" s="67">
        <f>'1_Raw_Data'!F46</f>
        <v>4795</v>
      </c>
      <c r="G46" s="65">
        <f>ROUND(('1_Raw_Data'!G45+'1_Raw_Data'!G47)/2,4)</f>
        <v>1.0955999999999999</v>
      </c>
      <c r="H46" s="68" t="s">
        <v>131</v>
      </c>
      <c r="I46" s="68" t="s">
        <v>72</v>
      </c>
      <c r="J46" s="69"/>
    </row>
    <row r="47" spans="1:10" ht="18" customHeight="1" x14ac:dyDescent="0.55000000000000004">
      <c r="A47" s="58">
        <f>'1_Raw_Data'!A47</f>
        <v>46090</v>
      </c>
      <c r="B47" s="46">
        <f>'1_Raw_Data'!B47</f>
        <v>4.24</v>
      </c>
      <c r="C47" s="46">
        <f>'1_Raw_Data'!C47</f>
        <v>4.0999999999999996</v>
      </c>
      <c r="D47" s="46">
        <f>'1_Raw_Data'!D47</f>
        <v>4.0199999999999996</v>
      </c>
      <c r="E47" s="47">
        <f>'1_Raw_Data'!E47</f>
        <v>222</v>
      </c>
      <c r="F47" s="47">
        <f>'1_Raw_Data'!F47</f>
        <v>4802</v>
      </c>
      <c r="G47" s="45">
        <f>'1_Raw_Data'!G47</f>
        <v>1.0962000000000001</v>
      </c>
      <c r="H47" s="48" t="s">
        <v>126</v>
      </c>
      <c r="I47" s="48" t="s">
        <v>126</v>
      </c>
      <c r="J47" s="61"/>
    </row>
    <row r="48" spans="1:10" ht="18" customHeight="1" x14ac:dyDescent="0.55000000000000004">
      <c r="A48" s="59">
        <f>'1_Raw_Data'!A48</f>
        <v>46091</v>
      </c>
      <c r="B48" s="50">
        <f>'1_Raw_Data'!B48</f>
        <v>4.25</v>
      </c>
      <c r="C48" s="50">
        <f>'1_Raw_Data'!C48</f>
        <v>4.1100000000000003</v>
      </c>
      <c r="D48" s="50">
        <f>'1_Raw_Data'!D48</f>
        <v>4.0199999999999996</v>
      </c>
      <c r="E48" s="51">
        <f>'1_Raw_Data'!E48</f>
        <v>223</v>
      </c>
      <c r="F48" s="51">
        <f>'1_Raw_Data'!F48</f>
        <v>4810</v>
      </c>
      <c r="G48" s="49">
        <f>'1_Raw_Data'!G48</f>
        <v>1.0954999999999999</v>
      </c>
      <c r="H48" s="52" t="s">
        <v>126</v>
      </c>
      <c r="I48" s="52" t="s">
        <v>126</v>
      </c>
      <c r="J48" s="62"/>
    </row>
    <row r="49" spans="1:10" ht="18" customHeight="1" x14ac:dyDescent="0.55000000000000004">
      <c r="A49" s="58">
        <f>'1_Raw_Data'!A49</f>
        <v>46092</v>
      </c>
      <c r="B49" s="46">
        <f>'1_Raw_Data'!B49</f>
        <v>4.26</v>
      </c>
      <c r="C49" s="46">
        <f>'1_Raw_Data'!C49</f>
        <v>4.12</v>
      </c>
      <c r="D49" s="46">
        <f>'1_Raw_Data'!D49</f>
        <v>4.03</v>
      </c>
      <c r="E49" s="47">
        <f>'1_Raw_Data'!E49</f>
        <v>224</v>
      </c>
      <c r="F49" s="47">
        <f>'1_Raw_Data'!F49</f>
        <v>4822</v>
      </c>
      <c r="G49" s="45">
        <f>'1_Raw_Data'!G49</f>
        <v>1.0960000000000001</v>
      </c>
      <c r="H49" s="48" t="s">
        <v>126</v>
      </c>
      <c r="I49" s="48" t="s">
        <v>126</v>
      </c>
      <c r="J49" s="61"/>
    </row>
    <row r="50" spans="1:10" ht="18" customHeight="1" x14ac:dyDescent="0.55000000000000004">
      <c r="A50" s="60">
        <f>'1_Raw_Data'!A50</f>
        <v>46093</v>
      </c>
      <c r="B50" s="55">
        <f>'1_Raw_Data'!B50</f>
        <v>4.2699999999999996</v>
      </c>
      <c r="C50" s="55">
        <f>'1_Raw_Data'!C50</f>
        <v>4.13</v>
      </c>
      <c r="D50" s="55">
        <f>'1_Raw_Data'!D50</f>
        <v>4.04</v>
      </c>
      <c r="E50" s="56">
        <f>'1_Raw_Data'!E50</f>
        <v>225</v>
      </c>
      <c r="F50" s="56">
        <f>'1_Raw_Data'!F50</f>
        <v>4835</v>
      </c>
      <c r="G50" s="54">
        <f>'1_Raw_Data'!G50</f>
        <v>1.0971</v>
      </c>
      <c r="H50" s="57" t="s">
        <v>126</v>
      </c>
      <c r="I50" s="57" t="s">
        <v>126</v>
      </c>
      <c r="J50" s="63"/>
    </row>
    <row r="51" spans="1:10" s="82" customFormat="1" ht="14.05" customHeight="1" x14ac:dyDescent="0.55000000000000004">
      <c r="A51" s="81"/>
      <c r="B51" s="81"/>
      <c r="C51" s="81"/>
      <c r="D51" s="81"/>
      <c r="E51" s="81"/>
      <c r="F51" s="81"/>
      <c r="G51" s="81"/>
      <c r="H51" s="81"/>
      <c r="I51" s="81"/>
      <c r="J51" s="81"/>
    </row>
    <row r="52" spans="1:10" ht="22" customHeight="1" thickBot="1" x14ac:dyDescent="0.6">
      <c r="A52" s="70"/>
      <c r="B52" s="70"/>
      <c r="C52" s="2"/>
      <c r="D52" s="2"/>
      <c r="E52" s="2"/>
      <c r="F52" s="2"/>
      <c r="G52" s="2"/>
      <c r="H52" s="2"/>
      <c r="I52" s="2"/>
      <c r="J52" s="2"/>
    </row>
    <row r="53" spans="1:10" ht="24" customHeight="1" x14ac:dyDescent="0.55000000000000004">
      <c r="A53" s="72" t="s">
        <v>100</v>
      </c>
      <c r="B53" s="72"/>
      <c r="C53" s="15"/>
      <c r="D53" s="15"/>
      <c r="E53" s="15"/>
      <c r="F53" s="15"/>
      <c r="G53" s="15"/>
      <c r="H53" s="15"/>
      <c r="I53" s="15"/>
      <c r="J53" s="2"/>
    </row>
    <row r="54" spans="1:10" ht="40" customHeight="1" x14ac:dyDescent="0.55000000000000004">
      <c r="A54" s="73" t="s">
        <v>27</v>
      </c>
      <c r="B54" s="77" t="s">
        <v>101</v>
      </c>
      <c r="C54" s="15"/>
      <c r="D54" s="15"/>
      <c r="E54" s="15"/>
      <c r="F54" s="15"/>
      <c r="G54" s="15"/>
      <c r="H54" s="15"/>
      <c r="I54" s="15"/>
      <c r="J54" s="2"/>
    </row>
    <row r="55" spans="1:10" ht="40" customHeight="1" x14ac:dyDescent="0.55000000000000004">
      <c r="A55" s="74">
        <v>1</v>
      </c>
      <c r="B55" s="78" t="s">
        <v>132</v>
      </c>
      <c r="C55" s="15"/>
      <c r="D55" s="15"/>
      <c r="E55" s="15"/>
      <c r="F55" s="15"/>
      <c r="G55" s="15"/>
      <c r="H55" s="15"/>
      <c r="I55" s="15"/>
      <c r="J55" s="2"/>
    </row>
    <row r="56" spans="1:10" ht="40" customHeight="1" x14ac:dyDescent="0.55000000000000004">
      <c r="A56" s="75">
        <v>2</v>
      </c>
      <c r="B56" s="79" t="s">
        <v>102</v>
      </c>
      <c r="C56" s="15"/>
      <c r="D56" s="15"/>
      <c r="E56" s="15"/>
      <c r="F56" s="15"/>
      <c r="G56" s="15"/>
      <c r="H56" s="15"/>
      <c r="I56" s="15"/>
      <c r="J56" s="2"/>
    </row>
    <row r="57" spans="1:10" ht="40" customHeight="1" x14ac:dyDescent="0.55000000000000004">
      <c r="A57" s="74">
        <v>3</v>
      </c>
      <c r="B57" s="78" t="s">
        <v>103</v>
      </c>
      <c r="C57" s="15"/>
      <c r="D57" s="15"/>
      <c r="E57" s="15"/>
      <c r="F57" s="15"/>
      <c r="G57" s="15"/>
      <c r="H57" s="15"/>
      <c r="I57" s="15"/>
      <c r="J57" s="2"/>
    </row>
    <row r="58" spans="1:10" ht="40" customHeight="1" x14ac:dyDescent="0.55000000000000004">
      <c r="A58" s="75">
        <v>4</v>
      </c>
      <c r="B58" s="79" t="s">
        <v>104</v>
      </c>
      <c r="C58" s="15"/>
      <c r="D58" s="15"/>
      <c r="E58" s="15"/>
      <c r="F58" s="15"/>
      <c r="G58" s="15"/>
      <c r="H58" s="15"/>
      <c r="I58" s="15"/>
      <c r="J58" s="2"/>
    </row>
    <row r="59" spans="1:10" ht="40" customHeight="1" x14ac:dyDescent="0.55000000000000004">
      <c r="A59" s="74">
        <v>5</v>
      </c>
      <c r="B59" s="78" t="s">
        <v>105</v>
      </c>
      <c r="C59" s="15"/>
      <c r="D59" s="15"/>
      <c r="E59" s="15"/>
      <c r="F59" s="15"/>
      <c r="G59" s="15"/>
      <c r="H59" s="15"/>
      <c r="I59" s="15"/>
      <c r="J59" s="2"/>
    </row>
    <row r="60" spans="1:10" ht="40" customHeight="1" x14ac:dyDescent="0.55000000000000004">
      <c r="A60" s="75">
        <v>6</v>
      </c>
      <c r="B60" s="79" t="s">
        <v>106</v>
      </c>
      <c r="C60" s="15"/>
      <c r="D60" s="15"/>
      <c r="E60" s="15"/>
      <c r="F60" s="15"/>
      <c r="G60" s="15"/>
      <c r="H60" s="15"/>
      <c r="I60" s="15"/>
      <c r="J60" s="2"/>
    </row>
    <row r="61" spans="1:10" ht="40" customHeight="1" x14ac:dyDescent="0.55000000000000004">
      <c r="A61" s="74">
        <v>7</v>
      </c>
      <c r="B61" s="78" t="s">
        <v>107</v>
      </c>
      <c r="C61" s="15"/>
      <c r="D61" s="15"/>
      <c r="E61" s="15"/>
      <c r="F61" s="15"/>
      <c r="G61" s="15"/>
      <c r="H61" s="15"/>
      <c r="I61" s="15"/>
      <c r="J61" s="2"/>
    </row>
    <row r="62" spans="1:10" ht="40" customHeight="1" x14ac:dyDescent="0.55000000000000004">
      <c r="A62" s="75">
        <v>8</v>
      </c>
      <c r="B62" s="79" t="s">
        <v>133</v>
      </c>
      <c r="C62" s="15"/>
      <c r="D62" s="15"/>
      <c r="E62" s="15"/>
      <c r="F62" s="15"/>
      <c r="G62" s="15"/>
      <c r="H62" s="15"/>
      <c r="I62" s="15"/>
      <c r="J62" s="2"/>
    </row>
    <row r="63" spans="1:10" ht="40" customHeight="1" x14ac:dyDescent="0.55000000000000004">
      <c r="A63" s="74">
        <v>9</v>
      </c>
      <c r="B63" s="78" t="s">
        <v>108</v>
      </c>
      <c r="C63" s="15"/>
      <c r="D63" s="15"/>
      <c r="E63" s="15"/>
      <c r="F63" s="15"/>
      <c r="G63" s="15"/>
      <c r="H63" s="15"/>
      <c r="I63" s="15"/>
      <c r="J63" s="2"/>
    </row>
    <row r="64" spans="1:10" ht="40" customHeight="1" x14ac:dyDescent="0.55000000000000004">
      <c r="A64" s="76">
        <v>10</v>
      </c>
      <c r="B64" s="80" t="s">
        <v>134</v>
      </c>
      <c r="C64" s="15"/>
      <c r="D64" s="15"/>
      <c r="E64" s="15"/>
      <c r="F64" s="15"/>
      <c r="G64" s="15"/>
      <c r="H64" s="15"/>
      <c r="I64" s="15"/>
      <c r="J64" s="2"/>
    </row>
    <row r="65" spans="1:10" ht="38.049999999999997" customHeight="1" x14ac:dyDescent="0.55000000000000004">
      <c r="A65" s="16">
        <v>11</v>
      </c>
      <c r="B65" s="71" t="s">
        <v>109</v>
      </c>
      <c r="C65" s="15"/>
      <c r="D65" s="15"/>
      <c r="E65" s="15"/>
      <c r="F65" s="15"/>
      <c r="G65" s="15"/>
      <c r="H65" s="15"/>
      <c r="I65" s="15"/>
      <c r="J65" s="2"/>
    </row>
  </sheetData>
  <mergeCells count="14">
    <mergeCell ref="B62:I62"/>
    <mergeCell ref="B63:I63"/>
    <mergeCell ref="B64:I64"/>
    <mergeCell ref="B65:I65"/>
    <mergeCell ref="B57:I57"/>
    <mergeCell ref="B58:I58"/>
    <mergeCell ref="B59:I59"/>
    <mergeCell ref="B60:I60"/>
    <mergeCell ref="B61:I61"/>
    <mergeCell ref="A1:J1"/>
    <mergeCell ref="A53:I53"/>
    <mergeCell ref="B54:I54"/>
    <mergeCell ref="B55:I55"/>
    <mergeCell ref="B56:I56"/>
  </mergeCells>
  <conditionalFormatting sqref="A3:J50">
    <cfRule type="expression" dxfId="1" priority="2">
      <formula>ISNUMBER(SEARCH("INTERP",$H3))</formula>
    </cfRule>
    <cfRule type="expression" dxfId="0" priority="4">
      <formula>ISNUMBER(SEARCH("FFILL",$H3))</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1_Raw_Data</vt:lpstr>
      <vt:lpstr>2_DQ_Detection</vt:lpstr>
      <vt:lpstr>3_Remediation</vt:lpstr>
      <vt:lpstr>4_Clean_Data_Assumptions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Deepak Chaudhary</dc:creator>
  <dc:description/>
  <cp:lastModifiedBy>Deepak Chaudhary</cp:lastModifiedBy>
  <cp:revision>0</cp:revision>
  <dcterms:created xsi:type="dcterms:W3CDTF">2026-03-28T16:54:05Z</dcterms:created>
  <dcterms:modified xsi:type="dcterms:W3CDTF">2026-03-29T04:08:13Z</dcterms:modified>
  <dc:language>en-US</dc:language>
</cp:coreProperties>
</file>