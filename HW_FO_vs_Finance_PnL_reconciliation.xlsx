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R_MQF\SEM2\Market Risk\"/>
    </mc:Choice>
  </mc:AlternateContent>
  <xr:revisionPtr revIDLastSave="0" documentId="8_{865EE731-A263-4A4C-86B1-9E38B5C2F904}" xr6:coauthVersionLast="47" xr6:coauthVersionMax="47" xr10:uidLastSave="{00000000-0000-0000-0000-000000000000}"/>
  <bookViews>
    <workbookView xWindow="-96" yWindow="-96" windowWidth="23232" windowHeight="12432" activeTab="3" xr2:uid="{00000000-000D-0000-FFFF-FFFF00000000}"/>
  </bookViews>
  <sheets>
    <sheet name="Cover" sheetId="8" r:id="rId1"/>
    <sheet name="FO data" sheetId="5" r:id="rId2"/>
    <sheet name="Finance data" sheetId="6" r:id="rId3"/>
    <sheet name="Homework Answers" sheetId="10" r:id="rId4"/>
  </sheets>
  <definedNames>
    <definedName name="_xlnm._FilterDatabase" localSheetId="2" hidden="1">'Finance data'!$A$1:$C$48</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0" l="1"/>
  <c r="F50" i="10"/>
  <c r="E50" i="10"/>
  <c r="D50" i="10"/>
  <c r="D12" i="10"/>
  <c r="D11" i="10"/>
  <c r="D10" i="10"/>
  <c r="D9" i="10"/>
</calcChain>
</file>

<file path=xl/sharedStrings.xml><?xml version="1.0" encoding="utf-8"?>
<sst xmlns="http://schemas.openxmlformats.org/spreadsheetml/2006/main" count="208" uniqueCount="106">
  <si>
    <t>Book name</t>
  </si>
  <si>
    <t>Sample book 1</t>
  </si>
  <si>
    <t>Sample book 8</t>
  </si>
  <si>
    <t>Sample book 12</t>
  </si>
  <si>
    <t>Sample book 78</t>
  </si>
  <si>
    <t>Other PnL</t>
  </si>
  <si>
    <t>Commission &amp; Fees</t>
  </si>
  <si>
    <t>Coupon Interest</t>
  </si>
  <si>
    <t>Funding Cost</t>
  </si>
  <si>
    <t>Interest</t>
  </si>
  <si>
    <t>Hypo PnL</t>
  </si>
  <si>
    <t>New activity</t>
  </si>
  <si>
    <t>PnL accunt description</t>
  </si>
  <si>
    <t>Book</t>
  </si>
  <si>
    <t>Coupon/ Dividends</t>
  </si>
  <si>
    <t>Comms</t>
  </si>
  <si>
    <t>Carry</t>
  </si>
  <si>
    <t>Trade Fees</t>
  </si>
  <si>
    <t>Reserves</t>
  </si>
  <si>
    <t>Leger value</t>
  </si>
  <si>
    <t>Clean PnL</t>
  </si>
  <si>
    <t>OIS Swap Spread</t>
  </si>
  <si>
    <t>USD Swaption Volatility</t>
  </si>
  <si>
    <t>EUR Swap Rate</t>
  </si>
  <si>
    <t>EUR BASIS SWAP</t>
  </si>
  <si>
    <t>USD-EUR OPT VOL</t>
  </si>
  <si>
    <t>Answer to Q1:</t>
  </si>
  <si>
    <t>Homework Answer Sheet</t>
  </si>
  <si>
    <t>Market Risk Management – Session 10 | PLA &amp; Volcker Reporting Exercise</t>
  </si>
  <si>
    <t>QUESTION 1: Reconciliation – FO Flash PLA vs. Finance Ledger PLA</t>
  </si>
  <si>
    <t>Step: Compare total FO Flash PLA (sum of all attribution buckets) against total Finance ledger PLA for each book.</t>
  </si>
  <si>
    <t>FO Flash PLA ($)</t>
  </si>
  <si>
    <t>Finance Ledger PLA ($)</t>
  </si>
  <si>
    <t>Break (FO – Finance) ($)</t>
  </si>
  <si>
    <t>Recon Status</t>
  </si>
  <si>
    <t>Action Required</t>
  </si>
  <si>
    <t>Sample Book 12</t>
  </si>
  <si>
    <t>⚠ BREAK</t>
  </si>
  <si>
    <t>Follow-up required with FO trader</t>
  </si>
  <si>
    <t>Sample Book 8</t>
  </si>
  <si>
    <t>Sample Book 78</t>
  </si>
  <si>
    <t>Sample Book 1</t>
  </si>
  <si>
    <t>ALL FOUR books (Book 12, 8, 78, and 1) have reconciliation breaks and require follow-up discussions with FO traders.</t>
  </si>
  <si>
    <t>Break Explanations (for context):</t>
  </si>
  <si>
    <t>Book 12 – $21,080 break: FO Flash PLA is HIGHER than Finance. Finance shows additional carry/interest charges not reflected in FO Flash.</t>
  </si>
  <si>
    <t>Book 8 – ($10,426) break: FO Flash PLA is MORE NEGATIVE than Finance. FO captures higher carry losses than ledger.</t>
  </si>
  <si>
    <t>Book 78 – ($10,955) break: FO Flash PLA is MORE NEGATIVE than Finance. Timing difference in funding cost recognition.</t>
  </si>
  <si>
    <t>Book 1 – ($22,473) break: FO Flash PLA is MORE NEGATIVE than Finance. FO includes clean PnL items not yet posted in ledger.</t>
  </si>
  <si>
    <t>QUESTION 2: Volcker PLA Items – Based on Confirmed Finance Ledger Figures</t>
  </si>
  <si>
    <t>Assumption: Finance ledger is accurate; no adjustment required. Volcker Items derived from Finance ledger categories.</t>
  </si>
  <si>
    <t>Finance-to-Volcker Mapping Logic:</t>
  </si>
  <si>
    <t>Hypo PnL → Item 2 (Existing Positions) → Item 4 (Risk Factor Changes) [all clean PnL attributed to risk factors per FO data]</t>
  </si>
  <si>
    <t>New Activity → Item 3 (New Positions) | Commission &amp; Fees → Item 3 (all zero in this data set)</t>
  </si>
  <si>
    <t>Coupon Interest → Item 6 (Actual Cash Flows)</t>
  </si>
  <si>
    <t>Funding Cost + Interest → Item 7 (Carry)</t>
  </si>
  <si>
    <t>Other PnL → Item 10 (Other Unattributed P&amp;L)</t>
  </si>
  <si>
    <t>Reserves → Item 8 | Trade Changes → Item 9 (no data in Finance ledger for these books)</t>
  </si>
  <si>
    <t>Volcker PLA Reporting Table ($)</t>
  </si>
  <si>
    <t>Volcker Item</t>
  </si>
  <si>
    <t>Description</t>
  </si>
  <si>
    <t>Finance Category Mapping</t>
  </si>
  <si>
    <t>Book 12</t>
  </si>
  <si>
    <t>Book 8</t>
  </si>
  <si>
    <t>Book 78</t>
  </si>
  <si>
    <t>Book 1</t>
  </si>
  <si>
    <t>Item 1</t>
  </si>
  <si>
    <t>Comprehensive P&amp;L</t>
  </si>
  <si>
    <t>All Finance categories (total)</t>
  </si>
  <si>
    <t>Item 2</t>
  </si>
  <si>
    <t>P&amp;L Due to Existing Positions</t>
  </si>
  <si>
    <t>Item 3</t>
  </si>
  <si>
    <t>P&amp;L Due to New Positions</t>
  </si>
  <si>
    <t>New Activity + Commission &amp; Fees</t>
  </si>
  <si>
    <t>Item 4</t>
  </si>
  <si>
    <t>P&amp;L Attributed to Risk Factor Changes</t>
  </si>
  <si>
    <t>Hypo PnL → Risk-factor components (OIS, EUR Basis, Vol, etc.)</t>
  </si>
  <si>
    <t>Item 5</t>
  </si>
  <si>
    <t>Other Attributable P&amp;L</t>
  </si>
  <si>
    <t>Item 2 minus Item 4 (valuation adjustments within clean PnL)</t>
  </si>
  <si>
    <t>Item 6</t>
  </si>
  <si>
    <t>P&amp;L Due to Actual Cash Flows</t>
  </si>
  <si>
    <t>Item 7</t>
  </si>
  <si>
    <t>P&amp;L Due to Carry</t>
  </si>
  <si>
    <t>Funding Cost + Interest (accrual)</t>
  </si>
  <si>
    <t>Item 8</t>
  </si>
  <si>
    <t>P&amp;L Due to Reserve / VA Changes</t>
  </si>
  <si>
    <t>Reserves (none in ledger for these books)</t>
  </si>
  <si>
    <t>Item 9</t>
  </si>
  <si>
    <t>P&amp;L Due to Trade Changes</t>
  </si>
  <si>
    <t>Trade changes (none in ledger for these books)</t>
  </si>
  <si>
    <t>Item 10</t>
  </si>
  <si>
    <t>Other Unattributed P&amp;L</t>
  </si>
  <si>
    <t>Controls – Verification Checks:</t>
  </si>
  <si>
    <t>Control 2: Item 1 = Item 2 + Item 3 + Item 6 + Item 7 + Item 8 + Item 9 + Item 10</t>
  </si>
  <si>
    <t>Control 3: Item 2 = Item 4 + Item 5</t>
  </si>
  <si>
    <t>Control 4: Item 2 = Sum(Items 4–10)</t>
  </si>
  <si>
    <t>SUMMARY ANSWER to Q2:</t>
  </si>
  <si>
    <t>Item 1 (Comprehensive P&amp;L): Bk12 = ($149,213.97) | Bk8 = ($10,587.86) | Bk78 = ($14,754.79) | Bk1 = ($23,458.90)</t>
  </si>
  <si>
    <t>Item 2 (Existing Positions): Bk12 = $21,080.17 | Bk8 = $0 | Bk78 = $0 | Bk1 = ($22,473.22)</t>
  </si>
  <si>
    <t>Item 3 (New Positions): Bk12 = $0 | Bk8 = $0 | Bk78 = ($90.84) | Bk1 = $0</t>
  </si>
  <si>
    <t>Item 4 (Risk Factor Changes): Bk12 = $21,080.17 | Bk8 = $0 | Bk78 = $0 | Bk1 = ($22,473.22)</t>
  </si>
  <si>
    <t>Item 5 (Other Attributable): $0 for all books</t>
  </si>
  <si>
    <t>Item 6 (Actual Cash Flows): Bk12 = $0 | Bk8 = $0 | Bk78 = $0 | Bk1 = $35,146.57</t>
  </si>
  <si>
    <t>Item 7 (Carry): Bk12 = ($188,799.14) | Bk8 = ($10,587.86) | Bk78 = ($14,663.95) | Bk1 = ($36,132.24)</t>
  </si>
  <si>
    <t>Items 8 &amp; 9 (Reserves / Trade Changes): $0 for all books</t>
  </si>
  <si>
    <t>Item 10 (Other Unattributed): Bk12 = $18,505.00 | Bk8 = $0 | Bk78 = $0 | Bk1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</si>
</sst>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0;\(#,##0.00\);\-"/>
  </numFmts>
  <fonts count="18" x14ac:knownFonts="1">
    <font>
      <sz val="11"/>
      <color theme="1"/>
      <name val="Calibri"/>
      <family val="2"/>
      <scheme val="minor"/>
    </font>
    <font>
      <sz val="11"/>
      <color theme="1"/>
      <name val="Calibri"/>
      <family val="2"/>
      <scheme val="minor"/>
    </font>
    <font>
      <sz val="7"/>
      <color theme="1"/>
      <name val="Segoe UI"/>
      <family val="2"/>
    </font>
    <font>
      <b/>
      <sz val="11"/>
      <color theme="1"/>
      <name val="Calibri"/>
      <family val="2"/>
      <scheme val="minor"/>
    </font>
    <font>
      <sz val="11"/>
      <color rgb="FFC00000"/>
      <name val="Calibri"/>
      <family val="2"/>
      <scheme val="minor"/>
    </font>
    <font>
      <b/>
      <sz val="11"/>
      <color rgb="FFC00000"/>
      <name val="Calibri"/>
      <family val="2"/>
      <scheme val="minor"/>
    </font>
    <font>
      <b/>
      <sz val="11"/>
      <color rgb="FF1F3864"/>
      <name val="Calibri"/>
      <family val="2"/>
      <scheme val="minor"/>
    </font>
    <font>
      <b/>
      <sz val="11"/>
      <color rgb="FFFFFFFF"/>
      <name val="Calibri"/>
      <family val="2"/>
      <scheme val="minor"/>
    </font>
    <font>
      <i/>
      <sz val="11"/>
      <color rgb="FF1F3864"/>
      <name val="Calibri"/>
      <family val="2"/>
      <scheme val="minor"/>
    </font>
    <font>
      <i/>
      <sz val="11"/>
      <color rgb="FF595959"/>
      <name val="Calibri"/>
      <family val="2"/>
      <scheme val="minor"/>
    </font>
    <font>
      <sz val="11"/>
      <color rgb="FF1F3864"/>
      <name val="Calibri"/>
      <family val="2"/>
      <scheme val="minor"/>
    </font>
    <font>
      <b/>
      <sz val="16"/>
      <color rgb="FF1F3864"/>
      <name val="Calibri"/>
      <family val="2"/>
      <scheme val="minor"/>
    </font>
    <font>
      <sz val="11"/>
      <color rgb="FF595959"/>
      <name val="Calibri"/>
      <family val="2"/>
      <scheme val="minor"/>
    </font>
    <font>
      <b/>
      <sz val="13"/>
      <color rgb="FF1F3864"/>
      <name val="Calibri"/>
      <family val="2"/>
      <scheme val="minor"/>
    </font>
    <font>
      <b/>
      <sz val="11"/>
      <color rgb="FF595959"/>
      <name val="Calibri"/>
      <family val="2"/>
      <scheme val="minor"/>
    </font>
    <font>
      <b/>
      <i/>
      <sz val="13"/>
      <color rgb="FF1F3864"/>
      <name val="Calibri"/>
      <family val="2"/>
      <scheme val="minor"/>
    </font>
    <font>
      <b/>
      <sz val="12"/>
      <color rgb="FF1F3864"/>
      <name val="Calibri"/>
      <family val="2"/>
      <scheme val="minor"/>
    </font>
    <font>
      <b/>
      <i/>
      <sz val="11"/>
      <color rgb="FF1F3864"/>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BDD7EE"/>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165" fontId="0" fillId="0" borderId="0" xfId="1" applyNumberFormat="1" applyFont="1"/>
    <xf numFmtId="165" fontId="0" fillId="0" borderId="0" xfId="0" applyNumberFormat="1"/>
    <xf numFmtId="0" fontId="2" fillId="0" borderId="0" xfId="0" applyFont="1" applyAlignment="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166" fontId="0" fillId="0" borderId="0" xfId="0" applyNumberFormat="1"/>
    <xf numFmtId="0" fontId="6" fillId="0" borderId="0" xfId="0" applyFont="1"/>
    <xf numFmtId="0" fontId="8" fillId="0" borderId="0" xfId="0" applyFont="1" applyAlignment="1">
      <alignment wrapText="1"/>
    </xf>
    <xf numFmtId="0" fontId="7" fillId="2" borderId="0" xfId="0" applyFont="1" applyFill="1" applyAlignment="1">
      <alignment horizontal="center"/>
    </xf>
    <xf numFmtId="0" fontId="11" fillId="0" borderId="0" xfId="0" applyFont="1"/>
    <xf numFmtId="0" fontId="12" fillId="0" borderId="0" xfId="0" applyFont="1"/>
    <xf numFmtId="0" fontId="9" fillId="0" borderId="0" xfId="0" applyFont="1"/>
    <xf numFmtId="0" fontId="13" fillId="3" borderId="0" xfId="0" applyFont="1" applyFill="1"/>
    <xf numFmtId="0" fontId="7" fillId="2" borderId="0" xfId="0" applyFont="1" applyFill="1"/>
    <xf numFmtId="0" fontId="4" fillId="0" borderId="0" xfId="0" applyFont="1"/>
    <xf numFmtId="0" fontId="5" fillId="0" borderId="0" xfId="0" applyFont="1" applyAlignment="1">
      <alignment horizontal="center"/>
    </xf>
    <xf numFmtId="0" fontId="14" fillId="0" borderId="0" xfId="0" applyFont="1"/>
    <xf numFmtId="0" fontId="15" fillId="3" borderId="0" xfId="0" applyFont="1" applyFill="1"/>
    <xf numFmtId="0" fontId="16" fillId="0" borderId="0" xfId="0" applyFont="1"/>
    <xf numFmtId="0" fontId="3" fillId="4" borderId="0" xfId="0" applyFont="1" applyFill="1"/>
    <xf numFmtId="0" fontId="0" fillId="4" borderId="0" xfId="0" applyFill="1"/>
    <xf numFmtId="166" fontId="0" fillId="4" borderId="0" xfId="0" applyNumberFormat="1" applyFill="1"/>
    <xf numFmtId="166" fontId="12" fillId="0" borderId="0" xfId="0" applyNumberFormat="1" applyFont="1"/>
    <xf numFmtId="0" fontId="6" fillId="0" borderId="0" xfId="0" applyFont="1" applyAlignment="1">
      <alignment horizontal="center"/>
    </xf>
    <xf numFmtId="0" fontId="17" fillId="3" borderId="0" xfId="0" applyFont="1" applyFill="1"/>
    <xf numFmtId="0" fontId="10" fillId="0" borderId="0" xfId="0" applyFont="1" applyAlignment="1">
      <alignment wrapText="1"/>
    </xf>
    <xf numFmtId="0" fontId="9" fillId="0" borderId="0" xfId="0" applyFont="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6351</xdr:colOff>
      <xdr:row>20</xdr:row>
      <xdr:rowOff>3</xdr:rowOff>
    </xdr:from>
    <xdr:to>
      <xdr:col>15</xdr:col>
      <xdr:colOff>434976</xdr:colOff>
      <xdr:row>27</xdr:row>
      <xdr:rowOff>171450</xdr:rowOff>
    </xdr:to>
    <xdr:sp macro="" textlink="">
      <xdr:nvSpPr>
        <xdr:cNvPr id="3" name="Rectangle 2">
          <a:extLst>
            <a:ext uri="{FF2B5EF4-FFF2-40B4-BE49-F238E27FC236}">
              <a16:creationId xmlns:a16="http://schemas.microsoft.com/office/drawing/2014/main" id="{F4EA2769-3907-CEA9-4204-CB7E2EBABEEF}"/>
            </a:ext>
          </a:extLst>
        </xdr:cNvPr>
        <xdr:cNvSpPr/>
      </xdr:nvSpPr>
      <xdr:spPr>
        <a:xfrm>
          <a:off x="206376" y="3619503"/>
          <a:ext cx="8963025" cy="1438272"/>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baseline="0">
              <a:solidFill>
                <a:sysClr val="windowText" lastClr="000000"/>
              </a:solidFill>
            </a:rPr>
            <a:t>Homework:</a:t>
          </a:r>
        </a:p>
        <a:p>
          <a:pPr algn="l"/>
          <a:endParaRPr lang="en-US" sz="1200" baseline="0">
            <a:solidFill>
              <a:sysClr val="windowText" lastClr="000000"/>
            </a:solidFill>
          </a:endParaRPr>
        </a:p>
        <a:p>
          <a:pPr algn="l"/>
          <a:r>
            <a:rPr lang="en-US" sz="1200">
              <a:solidFill>
                <a:sysClr val="windowText" lastClr="000000"/>
              </a:solidFill>
            </a:rPr>
            <a:t>1.</a:t>
          </a:r>
          <a:r>
            <a:rPr lang="en-US" sz="1200" baseline="0">
              <a:solidFill>
                <a:sysClr val="windowText" lastClr="000000"/>
              </a:solidFill>
            </a:rPr>
            <a:t> </a:t>
          </a:r>
          <a:r>
            <a:rPr lang="en-US" sz="1200">
              <a:solidFill>
                <a:sysClr val="windowText" lastClr="000000"/>
              </a:solidFill>
            </a:rPr>
            <a:t>Among the four sample trading books, which books require follow‑up discussions with the Front Office traders, based on reconciliation breaks identified between the FO Flash PLA and the ledger PLA?</a:t>
          </a:r>
        </a:p>
        <a:p>
          <a:pPr algn="l"/>
          <a:endParaRPr lang="en-US" sz="1200">
            <a:solidFill>
              <a:sysClr val="windowText" lastClr="000000"/>
            </a:solidFill>
          </a:endParaRPr>
        </a:p>
        <a:p>
          <a:pPr algn="l"/>
          <a:r>
            <a:rPr lang="en-US" sz="1200">
              <a:solidFill>
                <a:sysClr val="windowText" lastClr="000000"/>
              </a:solidFill>
            </a:rPr>
            <a:t>2. Assuming after discussion with FO, Finance Product Controllers confirmed that the leger is accurate, thus no adjustment was necessary.</a:t>
          </a:r>
          <a:r>
            <a:rPr lang="en-US" sz="1200" baseline="0">
              <a:solidFill>
                <a:sysClr val="windowText" lastClr="000000"/>
              </a:solidFill>
            </a:rPr>
            <a:t> </a:t>
          </a:r>
          <a:r>
            <a:rPr lang="en-US" sz="1200">
              <a:solidFill>
                <a:sysClr val="windowText" lastClr="000000"/>
              </a:solidFill>
            </a:rPr>
            <a:t>Based on the confirmed and final P&amp;L figures, what amounts should the Bank report under the Volcker PLA items?</a:t>
          </a:r>
        </a:p>
      </xdr:txBody>
    </xdr:sp>
    <xdr:clientData/>
  </xdr:twoCellAnchor>
  <xdr:twoCellAnchor>
    <xdr:from>
      <xdr:col>1</xdr:col>
      <xdr:colOff>1</xdr:colOff>
      <xdr:row>1</xdr:row>
      <xdr:rowOff>9528</xdr:rowOff>
    </xdr:from>
    <xdr:to>
      <xdr:col>15</xdr:col>
      <xdr:colOff>428626</xdr:colOff>
      <xdr:row>18</xdr:row>
      <xdr:rowOff>53976</xdr:rowOff>
    </xdr:to>
    <xdr:sp macro="" textlink="">
      <xdr:nvSpPr>
        <xdr:cNvPr id="4" name="Rectangle 3">
          <a:extLst>
            <a:ext uri="{FF2B5EF4-FFF2-40B4-BE49-F238E27FC236}">
              <a16:creationId xmlns:a16="http://schemas.microsoft.com/office/drawing/2014/main" id="{AD144B38-2D02-45A1-940E-A5B3ED9B743C}"/>
            </a:ext>
          </a:extLst>
        </xdr:cNvPr>
        <xdr:cNvSpPr/>
      </xdr:nvSpPr>
      <xdr:spPr>
        <a:xfrm>
          <a:off x="295276" y="190503"/>
          <a:ext cx="8963025" cy="312102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a:solidFill>
                <a:sysClr val="windowText" lastClr="000000"/>
              </a:solidFill>
            </a:rPr>
            <a:t>Introduction</a:t>
          </a:r>
          <a:r>
            <a:rPr lang="en-US" sz="1200" b="1" u="sng" baseline="0">
              <a:solidFill>
                <a:sysClr val="windowText" lastClr="000000"/>
              </a:solidFill>
            </a:rPr>
            <a:t> / Background:</a:t>
          </a:r>
        </a:p>
        <a:p>
          <a:pPr algn="l"/>
          <a:endParaRPr lang="en-US" sz="1200" baseline="0">
            <a:solidFill>
              <a:sysClr val="windowText" lastClr="000000"/>
            </a:solidFill>
          </a:endParaRPr>
        </a:p>
        <a:p>
          <a:pPr algn="l"/>
          <a:r>
            <a:rPr lang="en-US" sz="1200">
              <a:solidFill>
                <a:sysClr val="windowText" lastClr="000000"/>
              </a:solidFill>
            </a:rPr>
            <a:t>You are a Product Controller responsible for four trading books within the Investment Bank. </a:t>
          </a:r>
        </a:p>
        <a:p>
          <a:pPr algn="l"/>
          <a:endParaRPr lang="en-US" sz="1200">
            <a:solidFill>
              <a:sysClr val="windowText" lastClr="000000"/>
            </a:solidFill>
          </a:endParaRPr>
        </a:p>
        <a:p>
          <a:pPr algn="l"/>
          <a:r>
            <a:rPr lang="en-US" sz="1200">
              <a:solidFill>
                <a:sysClr val="windowText" lastClr="000000"/>
              </a:solidFill>
            </a:rPr>
            <a:t>As part of the daily Profit and Loss Attribution (PLA) process, you are required to determine the P&amp;L amounts that should be booked into the Bank’s general ledger for these books.</a:t>
          </a:r>
        </a:p>
        <a:p>
          <a:pPr algn="l"/>
          <a:endParaRPr lang="en-US" sz="1200">
            <a:solidFill>
              <a:sysClr val="windowText" lastClr="000000"/>
            </a:solidFill>
          </a:endParaRPr>
        </a:p>
        <a:p>
          <a:pPr algn="l"/>
          <a:r>
            <a:rPr lang="en-US" sz="1200">
              <a:solidFill>
                <a:sysClr val="windowText" lastClr="000000"/>
              </a:solidFill>
            </a:rPr>
            <a:t>To begin, the Front Office (FO) traders provide you with their Flash PLA data (tab - FO data). In parallel, you extract the corresponding Finance data from the Bank’s ledger for your four books (tab - Finance data).</a:t>
          </a:r>
        </a:p>
        <a:p>
          <a:pPr algn="l"/>
          <a:endParaRPr lang="en-US" sz="1200">
            <a:solidFill>
              <a:sysClr val="windowText" lastClr="000000"/>
            </a:solidFill>
          </a:endParaRPr>
        </a:p>
        <a:p>
          <a:pPr algn="l"/>
          <a:r>
            <a:rPr lang="en-US" sz="1200">
              <a:solidFill>
                <a:sysClr val="windowText" lastClr="000000"/>
              </a:solidFill>
            </a:rPr>
            <a:t>Your next step is to reconcile the FO Flash PLA against the ledger PLA to ensure consistency and accuracy across both sources.</a:t>
          </a:r>
          <a:r>
            <a:rPr lang="en-US" sz="1200" baseline="0">
              <a:solidFill>
                <a:sysClr val="windowText" lastClr="000000"/>
              </a:solidFill>
            </a:rPr>
            <a:t> </a:t>
          </a:r>
          <a:r>
            <a:rPr lang="en-US" sz="1200">
              <a:solidFill>
                <a:sysClr val="windowText" lastClr="000000"/>
              </a:solidFill>
            </a:rPr>
            <a:t>If any reconciliation breaks are identified, you must engage with the FO traders to investigate and understand the underlying causes of the discrepancies (for example, timing differences, booking issues, or valuation differences).</a:t>
          </a:r>
        </a:p>
        <a:p>
          <a:pPr algn="l"/>
          <a:endParaRPr lang="en-US" sz="1200">
            <a:solidFill>
              <a:sysClr val="windowText" lastClr="000000"/>
            </a:solidFill>
          </a:endParaRPr>
        </a:p>
        <a:p>
          <a:pPr algn="l"/>
          <a:r>
            <a:rPr lang="en-US" sz="1200">
              <a:solidFill>
                <a:sysClr val="windowText" lastClr="000000"/>
              </a:solidFill>
            </a:rPr>
            <a:t>Once all breaks are explained and resolved, you will finalize and confirm the P&amp;L figures, ensuring that the accurate and agreed-upon P&amp;L is correctly booked into the Bank’s ledger.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D0585F-3476-44F9-B1FE-DBBDB2ED3507}">
  <we:reference id="wa200009404" version="1.0.0.8" store="en-US" storeType="OMEX"/>
  <we:alternateReferences>
    <we:reference id="wa200009404" version="1.0.0.8" store="wa200009404" storeType="OMEX"/>
  </we:alternateReferences>
  <we:properties>
    <we:property name="claude.fileId" value="&quot;5ebcb369-4174-4313-8602-aae910e2cf2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2F54-CA80-4C0F-A371-27968E1FF4FA}">
  <dimension ref="C8:C16"/>
  <sheetViews>
    <sheetView showGridLines="0" zoomScale="66" workbookViewId="0">
      <selection activeCell="Q15" sqref="Q15"/>
    </sheetView>
  </sheetViews>
  <sheetFormatPr defaultRowHeight="14.4" x14ac:dyDescent="0.55000000000000004"/>
  <cols>
    <col min="1" max="1" width="2.7890625" customWidth="1"/>
  </cols>
  <sheetData>
    <row r="8" spans="3:3" x14ac:dyDescent="0.55000000000000004">
      <c r="C8" s="3"/>
    </row>
    <row r="9" spans="3:3" x14ac:dyDescent="0.55000000000000004">
      <c r="C9" s="4"/>
    </row>
    <row r="10" spans="3:3" x14ac:dyDescent="0.55000000000000004">
      <c r="C10" s="3"/>
    </row>
    <row r="11" spans="3:3" x14ac:dyDescent="0.55000000000000004">
      <c r="C11" s="4"/>
    </row>
    <row r="12" spans="3:3" x14ac:dyDescent="0.55000000000000004">
      <c r="C12" s="3"/>
    </row>
    <row r="13" spans="3:3" x14ac:dyDescent="0.55000000000000004">
      <c r="C13" s="4"/>
    </row>
    <row r="14" spans="3:3" x14ac:dyDescent="0.55000000000000004">
      <c r="C14" s="3"/>
    </row>
    <row r="15" spans="3:3" x14ac:dyDescent="0.55000000000000004">
      <c r="C15" s="4"/>
    </row>
    <row r="16" spans="3:3" x14ac:dyDescent="0.55000000000000004">
      <c r="C16"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EB8B-0950-4012-BB12-D15FA717E7E2}">
  <dimension ref="A1:M12"/>
  <sheetViews>
    <sheetView workbookViewId="0">
      <selection activeCell="B2" sqref="B2:M5"/>
    </sheetView>
  </sheetViews>
  <sheetFormatPr defaultRowHeight="14.4" x14ac:dyDescent="0.55000000000000004"/>
  <cols>
    <col min="1" max="1" width="17.15625" bestFit="1" customWidth="1"/>
    <col min="2" max="2" width="12.62890625" customWidth="1"/>
    <col min="3" max="3" width="14.734375" bestFit="1" customWidth="1"/>
    <col min="4" max="4" width="11.7890625" bestFit="1" customWidth="1"/>
    <col min="5" max="5" width="8.734375" bestFit="1" customWidth="1"/>
    <col min="6" max="6" width="9.26171875" bestFit="1" customWidth="1"/>
    <col min="7" max="7" width="11.47265625" customWidth="1"/>
    <col min="8" max="8" width="9.26171875" bestFit="1" customWidth="1"/>
    <col min="9" max="9" width="10.734375" bestFit="1" customWidth="1"/>
    <col min="10" max="10" width="13" customWidth="1"/>
    <col min="11" max="11" width="13.89453125" customWidth="1"/>
    <col min="12" max="12" width="13.3671875" customWidth="1"/>
    <col min="13" max="13" width="12" customWidth="1"/>
  </cols>
  <sheetData>
    <row r="1" spans="1:13" ht="43.2" x14ac:dyDescent="0.55000000000000004">
      <c r="A1" s="5" t="s">
        <v>13</v>
      </c>
      <c r="B1" s="6" t="s">
        <v>20</v>
      </c>
      <c r="C1" s="5" t="s">
        <v>21</v>
      </c>
      <c r="D1" s="5" t="s">
        <v>24</v>
      </c>
      <c r="E1" s="5" t="s">
        <v>22</v>
      </c>
      <c r="F1" s="5" t="s">
        <v>23</v>
      </c>
      <c r="G1" s="5" t="s">
        <v>25</v>
      </c>
      <c r="H1" s="5" t="s">
        <v>14</v>
      </c>
      <c r="I1" s="5" t="s">
        <v>15</v>
      </c>
      <c r="J1" s="5" t="s">
        <v>11</v>
      </c>
      <c r="K1" s="5" t="s">
        <v>16</v>
      </c>
      <c r="L1" s="5" t="s">
        <v>17</v>
      </c>
      <c r="M1" s="5" t="s">
        <v>18</v>
      </c>
    </row>
    <row r="2" spans="1:13" x14ac:dyDescent="0.55000000000000004">
      <c r="A2" t="s">
        <v>3</v>
      </c>
      <c r="B2" s="1">
        <v>21080.170163105766</v>
      </c>
      <c r="C2" s="2">
        <v>6829.9751328462671</v>
      </c>
      <c r="D2" s="2">
        <v>5828.6670500987439</v>
      </c>
      <c r="E2" s="2">
        <v>48.484391375143254</v>
      </c>
      <c r="F2" s="2">
        <v>-3336.9909368196422</v>
      </c>
      <c r="G2" s="2">
        <v>11710.034525605251</v>
      </c>
      <c r="H2" s="1">
        <v>0</v>
      </c>
      <c r="I2" s="1">
        <v>0</v>
      </c>
      <c r="J2" s="1">
        <v>0</v>
      </c>
      <c r="K2" s="1">
        <v>-170294</v>
      </c>
      <c r="L2" s="1">
        <v>0</v>
      </c>
      <c r="M2" s="1">
        <v>0</v>
      </c>
    </row>
    <row r="3" spans="1:13" x14ac:dyDescent="0.55000000000000004">
      <c r="A3" t="s">
        <v>2</v>
      </c>
      <c r="H3" s="1">
        <v>0</v>
      </c>
      <c r="I3" s="1">
        <v>0</v>
      </c>
      <c r="J3" s="1">
        <v>0</v>
      </c>
      <c r="K3" s="1">
        <v>-21014.280000000002</v>
      </c>
      <c r="L3" s="1">
        <v>0</v>
      </c>
      <c r="M3" s="1">
        <v>0</v>
      </c>
    </row>
    <row r="4" spans="1:13" x14ac:dyDescent="0.55000000000000004">
      <c r="A4" t="s">
        <v>4</v>
      </c>
      <c r="H4" s="1">
        <v>0</v>
      </c>
      <c r="I4" s="1">
        <v>0</v>
      </c>
      <c r="J4" s="1">
        <v>-4.5833171220000004</v>
      </c>
      <c r="K4" s="1">
        <v>-25710.093333485998</v>
      </c>
      <c r="L4" s="1">
        <v>4.5795649860000003</v>
      </c>
      <c r="M4" s="1">
        <v>0</v>
      </c>
    </row>
    <row r="5" spans="1:13" x14ac:dyDescent="0.55000000000000004">
      <c r="A5" t="s">
        <v>1</v>
      </c>
      <c r="B5" s="2">
        <v>-22473.220769999996</v>
      </c>
      <c r="C5" s="2">
        <v>-6668.9282634974988</v>
      </c>
      <c r="D5" s="2">
        <v>6963.7769199998984</v>
      </c>
      <c r="E5" s="2">
        <v>5245.2497277179991</v>
      </c>
      <c r="F5" s="2">
        <v>-3197.9393155709995</v>
      </c>
      <c r="G5" s="2">
        <v>-24815.379838649395</v>
      </c>
      <c r="H5" s="1">
        <v>0</v>
      </c>
      <c r="I5" s="1">
        <v>0</v>
      </c>
      <c r="J5" s="1">
        <v>0</v>
      </c>
      <c r="K5" s="1">
        <v>-985.67468999999994</v>
      </c>
      <c r="L5" s="1">
        <v>0</v>
      </c>
      <c r="M5" s="1">
        <v>0</v>
      </c>
    </row>
    <row r="7" spans="1:13" x14ac:dyDescent="0.55000000000000004">
      <c r="A7" s="2"/>
    </row>
    <row r="8" spans="1:13" x14ac:dyDescent="0.55000000000000004">
      <c r="F8" s="2"/>
    </row>
    <row r="9" spans="1:13" x14ac:dyDescent="0.55000000000000004">
      <c r="B9" s="1"/>
      <c r="C9" s="2"/>
      <c r="D9" s="2"/>
      <c r="E9" s="2"/>
      <c r="F9" s="2"/>
      <c r="G9" s="2"/>
      <c r="H9" s="1"/>
      <c r="I9" s="1"/>
      <c r="J9" s="1"/>
      <c r="K9" s="1"/>
      <c r="L9" s="1"/>
      <c r="M9" s="1"/>
    </row>
    <row r="10" spans="1:13" x14ac:dyDescent="0.55000000000000004">
      <c r="H10" s="1"/>
      <c r="I10" s="1"/>
      <c r="J10" s="1"/>
      <c r="K10" s="1"/>
      <c r="L10" s="1"/>
      <c r="M10" s="1"/>
    </row>
    <row r="11" spans="1:13" x14ac:dyDescent="0.55000000000000004">
      <c r="H11" s="1"/>
      <c r="I11" s="1"/>
      <c r="J11" s="1"/>
      <c r="K11" s="1"/>
      <c r="L11" s="1"/>
      <c r="M11" s="1"/>
    </row>
    <row r="12" spans="1:13" x14ac:dyDescent="0.55000000000000004">
      <c r="B12" s="2"/>
      <c r="C12" s="2"/>
      <c r="D12" s="2"/>
      <c r="E12" s="2"/>
      <c r="F12" s="2"/>
      <c r="G12" s="2"/>
      <c r="H12" s="1"/>
      <c r="I12" s="1"/>
      <c r="J12" s="1"/>
      <c r="K12" s="1"/>
      <c r="L12" s="1"/>
      <c r="M1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BFAD9-D0A1-4043-8422-1A4B5FE6FE8D}">
  <dimension ref="A1:D48"/>
  <sheetViews>
    <sheetView topLeftCell="A25" workbookViewId="0">
      <selection activeCell="D51" sqref="D51"/>
    </sheetView>
  </sheetViews>
  <sheetFormatPr defaultRowHeight="14.4" x14ac:dyDescent="0.55000000000000004"/>
  <cols>
    <col min="1" max="1" width="14.26171875" bestFit="1" customWidth="1"/>
    <col min="2" max="2" width="20" bestFit="1" customWidth="1"/>
    <col min="3" max="3" width="12.47265625" style="1" bestFit="1" customWidth="1"/>
  </cols>
  <sheetData>
    <row r="1" spans="1:3" x14ac:dyDescent="0.55000000000000004">
      <c r="A1" t="s">
        <v>0</v>
      </c>
      <c r="B1" t="s">
        <v>12</v>
      </c>
      <c r="C1" s="1" t="s">
        <v>19</v>
      </c>
    </row>
    <row r="2" spans="1:3" x14ac:dyDescent="0.55000000000000004">
      <c r="A2" t="s">
        <v>1</v>
      </c>
      <c r="B2" t="s">
        <v>8</v>
      </c>
      <c r="C2" s="1">
        <v>0</v>
      </c>
    </row>
    <row r="3" spans="1:3" x14ac:dyDescent="0.55000000000000004">
      <c r="A3" t="s">
        <v>1</v>
      </c>
      <c r="B3" t="s">
        <v>9</v>
      </c>
      <c r="C3" s="1">
        <v>-736.75602000000003</v>
      </c>
    </row>
    <row r="4" spans="1:3" x14ac:dyDescent="0.55000000000000004">
      <c r="A4" t="s">
        <v>1</v>
      </c>
      <c r="B4" t="s">
        <v>7</v>
      </c>
      <c r="C4" s="1">
        <v>35146.567169999995</v>
      </c>
    </row>
    <row r="5" spans="1:3" x14ac:dyDescent="0.55000000000000004">
      <c r="A5" t="s">
        <v>1</v>
      </c>
      <c r="B5" t="s">
        <v>8</v>
      </c>
      <c r="C5" s="1">
        <v>0</v>
      </c>
    </row>
    <row r="6" spans="1:3" x14ac:dyDescent="0.55000000000000004">
      <c r="A6" t="s">
        <v>1</v>
      </c>
      <c r="B6" t="s">
        <v>7</v>
      </c>
      <c r="C6" s="1">
        <v>0</v>
      </c>
    </row>
    <row r="7" spans="1:3" x14ac:dyDescent="0.55000000000000004">
      <c r="A7" t="s">
        <v>1</v>
      </c>
      <c r="B7" t="s">
        <v>8</v>
      </c>
      <c r="C7" s="1">
        <v>-35395.485839999994</v>
      </c>
    </row>
    <row r="8" spans="1:3" x14ac:dyDescent="0.55000000000000004">
      <c r="A8" t="s">
        <v>1</v>
      </c>
      <c r="B8" t="s">
        <v>10</v>
      </c>
      <c r="C8" s="1">
        <v>0</v>
      </c>
    </row>
    <row r="9" spans="1:3" x14ac:dyDescent="0.55000000000000004">
      <c r="A9" t="s">
        <v>1</v>
      </c>
      <c r="B9" t="s">
        <v>10</v>
      </c>
      <c r="C9" s="1">
        <v>0</v>
      </c>
    </row>
    <row r="10" spans="1:3" x14ac:dyDescent="0.55000000000000004">
      <c r="A10" t="s">
        <v>1</v>
      </c>
      <c r="B10" t="s">
        <v>10</v>
      </c>
      <c r="C10" s="1">
        <v>-22473.220769999996</v>
      </c>
    </row>
    <row r="11" spans="1:3" x14ac:dyDescent="0.55000000000000004">
      <c r="A11" t="s">
        <v>1</v>
      </c>
      <c r="B11" t="s">
        <v>6</v>
      </c>
      <c r="C11" s="1">
        <v>0</v>
      </c>
    </row>
    <row r="12" spans="1:3" x14ac:dyDescent="0.55000000000000004">
      <c r="A12" t="s">
        <v>1</v>
      </c>
      <c r="B12" t="s">
        <v>6</v>
      </c>
      <c r="C12" s="1">
        <v>0</v>
      </c>
    </row>
    <row r="13" spans="1:3" x14ac:dyDescent="0.55000000000000004">
      <c r="A13" t="s">
        <v>1</v>
      </c>
      <c r="B13" t="s">
        <v>6</v>
      </c>
      <c r="C13" s="1">
        <v>0</v>
      </c>
    </row>
    <row r="14" spans="1:3" x14ac:dyDescent="0.55000000000000004">
      <c r="A14" t="s">
        <v>2</v>
      </c>
      <c r="B14" t="s">
        <v>8</v>
      </c>
      <c r="C14" s="1">
        <v>-10587.864</v>
      </c>
    </row>
    <row r="15" spans="1:3" x14ac:dyDescent="0.55000000000000004">
      <c r="A15" t="s">
        <v>3</v>
      </c>
      <c r="B15" t="s">
        <v>8</v>
      </c>
      <c r="C15" s="1">
        <v>0</v>
      </c>
    </row>
    <row r="16" spans="1:3" x14ac:dyDescent="0.55000000000000004">
      <c r="A16" t="s">
        <v>3</v>
      </c>
      <c r="B16" t="s">
        <v>9</v>
      </c>
      <c r="C16" s="1">
        <v>-150277.11366999999</v>
      </c>
    </row>
    <row r="17" spans="1:4" x14ac:dyDescent="0.55000000000000004">
      <c r="A17" t="s">
        <v>3</v>
      </c>
      <c r="B17" t="s">
        <v>9</v>
      </c>
      <c r="C17" s="1">
        <v>-8808.1655300000002</v>
      </c>
    </row>
    <row r="18" spans="1:4" x14ac:dyDescent="0.55000000000000004">
      <c r="A18" t="s">
        <v>3</v>
      </c>
      <c r="B18" t="s">
        <v>9</v>
      </c>
      <c r="C18" s="1">
        <v>-9019.9050000000007</v>
      </c>
    </row>
    <row r="19" spans="1:4" x14ac:dyDescent="0.55000000000000004">
      <c r="A19" t="s">
        <v>3</v>
      </c>
      <c r="B19" t="s">
        <v>9</v>
      </c>
      <c r="C19" s="1">
        <v>0</v>
      </c>
    </row>
    <row r="20" spans="1:4" x14ac:dyDescent="0.55000000000000004">
      <c r="A20" t="s">
        <v>3</v>
      </c>
      <c r="B20" t="s">
        <v>8</v>
      </c>
      <c r="C20" s="1">
        <v>0</v>
      </c>
    </row>
    <row r="21" spans="1:4" x14ac:dyDescent="0.55000000000000004">
      <c r="A21" t="s">
        <v>3</v>
      </c>
      <c r="B21" t="s">
        <v>8</v>
      </c>
      <c r="C21" s="1">
        <v>0</v>
      </c>
    </row>
    <row r="22" spans="1:4" x14ac:dyDescent="0.55000000000000004">
      <c r="A22" t="s">
        <v>3</v>
      </c>
      <c r="B22" t="s">
        <v>7</v>
      </c>
      <c r="C22" s="1">
        <v>0</v>
      </c>
    </row>
    <row r="23" spans="1:4" x14ac:dyDescent="0.55000000000000004">
      <c r="A23" t="s">
        <v>3</v>
      </c>
      <c r="B23" t="s">
        <v>8</v>
      </c>
      <c r="C23" s="1">
        <v>-8615</v>
      </c>
    </row>
    <row r="24" spans="1:4" x14ac:dyDescent="0.55000000000000004">
      <c r="A24" t="s">
        <v>3</v>
      </c>
      <c r="B24" t="s">
        <v>10</v>
      </c>
      <c r="C24" s="1">
        <v>21080.170163105762</v>
      </c>
    </row>
    <row r="25" spans="1:4" x14ac:dyDescent="0.55000000000000004">
      <c r="A25" t="s">
        <v>3</v>
      </c>
      <c r="B25" t="s">
        <v>8</v>
      </c>
      <c r="C25" s="1">
        <v>-12078.953660000001</v>
      </c>
    </row>
    <row r="26" spans="1:4" x14ac:dyDescent="0.55000000000000004">
      <c r="A26" t="s">
        <v>3</v>
      </c>
      <c r="B26" t="s">
        <v>5</v>
      </c>
      <c r="C26" s="1">
        <v>18504.996716894242</v>
      </c>
      <c r="D26" s="2"/>
    </row>
    <row r="27" spans="1:4" x14ac:dyDescent="0.55000000000000004">
      <c r="A27" t="s">
        <v>4</v>
      </c>
      <c r="B27" t="s">
        <v>9</v>
      </c>
      <c r="C27" s="1">
        <v>0.65771999999999997</v>
      </c>
    </row>
    <row r="28" spans="1:4" x14ac:dyDescent="0.55000000000000004">
      <c r="A28" t="s">
        <v>4</v>
      </c>
      <c r="B28" t="s">
        <v>9</v>
      </c>
      <c r="C28" s="1">
        <v>-22159.30716</v>
      </c>
    </row>
    <row r="29" spans="1:4" x14ac:dyDescent="0.55000000000000004">
      <c r="A29" t="s">
        <v>4</v>
      </c>
      <c r="B29" t="s">
        <v>8</v>
      </c>
      <c r="C29" s="1">
        <v>0</v>
      </c>
    </row>
    <row r="30" spans="1:4" x14ac:dyDescent="0.55000000000000004">
      <c r="A30" t="s">
        <v>4</v>
      </c>
      <c r="B30" t="s">
        <v>9</v>
      </c>
      <c r="C30" s="1">
        <v>-5030.5870800000002</v>
      </c>
    </row>
    <row r="31" spans="1:4" x14ac:dyDescent="0.55000000000000004">
      <c r="A31" t="s">
        <v>4</v>
      </c>
      <c r="B31" t="s">
        <v>9</v>
      </c>
      <c r="C31" s="1">
        <v>0</v>
      </c>
    </row>
    <row r="32" spans="1:4" x14ac:dyDescent="0.55000000000000004">
      <c r="A32" t="s">
        <v>4</v>
      </c>
      <c r="B32" t="s">
        <v>8</v>
      </c>
      <c r="C32" s="1">
        <v>20805.62544</v>
      </c>
    </row>
    <row r="33" spans="1:3" x14ac:dyDescent="0.55000000000000004">
      <c r="A33" t="s">
        <v>4</v>
      </c>
      <c r="B33" t="s">
        <v>8</v>
      </c>
      <c r="C33" s="1">
        <v>-153920.29212000003</v>
      </c>
    </row>
    <row r="34" spans="1:3" x14ac:dyDescent="0.55000000000000004">
      <c r="A34" t="s">
        <v>4</v>
      </c>
      <c r="B34" t="s">
        <v>8</v>
      </c>
      <c r="C34" s="1">
        <v>155823.12306000001</v>
      </c>
    </row>
    <row r="35" spans="1:3" x14ac:dyDescent="0.55000000000000004">
      <c r="A35" t="s">
        <v>4</v>
      </c>
      <c r="B35" t="s">
        <v>8</v>
      </c>
      <c r="C35" s="1">
        <v>867.12552000000005</v>
      </c>
    </row>
    <row r="36" spans="1:3" x14ac:dyDescent="0.55000000000000004">
      <c r="A36" t="s">
        <v>4</v>
      </c>
      <c r="B36" t="s">
        <v>8</v>
      </c>
      <c r="C36" s="1">
        <v>0</v>
      </c>
    </row>
    <row r="37" spans="1:3" x14ac:dyDescent="0.55000000000000004">
      <c r="A37" t="s">
        <v>4</v>
      </c>
      <c r="B37" t="s">
        <v>8</v>
      </c>
      <c r="C37" s="1">
        <v>-2783.6746199999998</v>
      </c>
    </row>
    <row r="38" spans="1:3" x14ac:dyDescent="0.55000000000000004">
      <c r="A38" t="s">
        <v>4</v>
      </c>
      <c r="B38" t="s">
        <v>8</v>
      </c>
      <c r="C38" s="1">
        <v>-8266.6164600000011</v>
      </c>
    </row>
    <row r="39" spans="1:3" x14ac:dyDescent="0.55000000000000004">
      <c r="A39" t="s">
        <v>4</v>
      </c>
      <c r="B39" t="s">
        <v>5</v>
      </c>
      <c r="C39" s="1">
        <v>0</v>
      </c>
    </row>
    <row r="40" spans="1:3" x14ac:dyDescent="0.55000000000000004">
      <c r="A40" t="s">
        <v>4</v>
      </c>
      <c r="B40" t="s">
        <v>11</v>
      </c>
      <c r="C40" s="1">
        <v>-90.84366</v>
      </c>
    </row>
    <row r="41" spans="1:3" x14ac:dyDescent="0.55000000000000004">
      <c r="A41" t="s">
        <v>4</v>
      </c>
      <c r="B41" t="s">
        <v>5</v>
      </c>
      <c r="C41" s="1">
        <v>0</v>
      </c>
    </row>
    <row r="42" spans="1:3" x14ac:dyDescent="0.55000000000000004">
      <c r="A42" t="s">
        <v>4</v>
      </c>
      <c r="B42" t="s">
        <v>6</v>
      </c>
      <c r="C42" s="1">
        <v>0</v>
      </c>
    </row>
    <row r="43" spans="1:3" x14ac:dyDescent="0.55000000000000004">
      <c r="A43" t="s">
        <v>4</v>
      </c>
      <c r="B43" t="s">
        <v>6</v>
      </c>
      <c r="C43" s="1">
        <v>0</v>
      </c>
    </row>
    <row r="44" spans="1:3" x14ac:dyDescent="0.55000000000000004">
      <c r="A44" t="s">
        <v>4</v>
      </c>
      <c r="B44" t="s">
        <v>6</v>
      </c>
      <c r="C44" s="1">
        <v>0</v>
      </c>
    </row>
    <row r="45" spans="1:3" x14ac:dyDescent="0.55000000000000004">
      <c r="A45" t="s">
        <v>4</v>
      </c>
      <c r="B45" t="s">
        <v>6</v>
      </c>
      <c r="C45" s="1">
        <v>0</v>
      </c>
    </row>
    <row r="46" spans="1:3" x14ac:dyDescent="0.55000000000000004">
      <c r="A46" t="s">
        <v>4</v>
      </c>
      <c r="B46" t="s">
        <v>6</v>
      </c>
      <c r="C46" s="1">
        <v>0</v>
      </c>
    </row>
    <row r="47" spans="1:3" x14ac:dyDescent="0.55000000000000004">
      <c r="A47" t="s">
        <v>4</v>
      </c>
      <c r="B47" t="s">
        <v>6</v>
      </c>
      <c r="C47" s="1">
        <v>0</v>
      </c>
    </row>
    <row r="48" spans="1:3" x14ac:dyDescent="0.55000000000000004">
      <c r="A48" t="s">
        <v>4</v>
      </c>
      <c r="B48" t="s">
        <v>6</v>
      </c>
      <c r="C48" s="1">
        <v>0</v>
      </c>
    </row>
  </sheetData>
  <autoFilter ref="A1:C48" xr:uid="{C1FBFAD9-D0A1-4043-8422-1A4B5FE6FE8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2B3C-CC8B-4F09-94EF-F0C02644FA3E}">
  <dimension ref="A1:G62"/>
  <sheetViews>
    <sheetView tabSelected="1" topLeftCell="A6" zoomScale="30" zoomScaleNormal="25" workbookViewId="0">
      <selection activeCell="C60" sqref="C60"/>
    </sheetView>
  </sheetViews>
  <sheetFormatPr defaultRowHeight="14.4" x14ac:dyDescent="0.55000000000000004"/>
  <cols>
    <col min="1" max="1" width="113.05078125" bestFit="1" customWidth="1"/>
    <col min="2" max="2" width="48.7890625" bestFit="1" customWidth="1"/>
    <col min="3" max="3" width="51.47265625" bestFit="1" customWidth="1"/>
    <col min="4" max="4" width="21.05078125" customWidth="1"/>
    <col min="5" max="5" width="11.68359375" bestFit="1" customWidth="1"/>
    <col min="6" max="6" width="27.9453125" bestFit="1" customWidth="1"/>
    <col min="7" max="7" width="21.05078125" customWidth="1"/>
  </cols>
  <sheetData>
    <row r="1" spans="1:6" ht="20.399999999999999" x14ac:dyDescent="0.75">
      <c r="A1" s="11" t="s">
        <v>27</v>
      </c>
    </row>
    <row r="2" spans="1:6" x14ac:dyDescent="0.55000000000000004">
      <c r="A2" s="13" t="s">
        <v>28</v>
      </c>
    </row>
    <row r="4" spans="1:6" ht="16.8" x14ac:dyDescent="0.65">
      <c r="A4" s="14" t="s">
        <v>29</v>
      </c>
    </row>
    <row r="6" spans="1:6" ht="43.2" x14ac:dyDescent="0.55000000000000004">
      <c r="A6" s="28" t="s">
        <v>30</v>
      </c>
    </row>
    <row r="8" spans="1:6" x14ac:dyDescent="0.55000000000000004">
      <c r="A8" s="10" t="s">
        <v>13</v>
      </c>
      <c r="B8" s="10" t="s">
        <v>31</v>
      </c>
      <c r="C8" s="10" t="s">
        <v>32</v>
      </c>
      <c r="D8" s="10" t="s">
        <v>33</v>
      </c>
      <c r="E8" s="10" t="s">
        <v>34</v>
      </c>
      <c r="F8" s="10" t="s">
        <v>35</v>
      </c>
    </row>
    <row r="9" spans="1:6" x14ac:dyDescent="0.55000000000000004">
      <c r="A9" t="s">
        <v>36</v>
      </c>
      <c r="B9" s="7">
        <v>-128133.66</v>
      </c>
      <c r="C9" s="7">
        <v>-149213.97</v>
      </c>
      <c r="D9" s="7">
        <f>B9-C9</f>
        <v>21080.309999999998</v>
      </c>
      <c r="E9" s="17" t="s">
        <v>37</v>
      </c>
      <c r="F9" s="16" t="s">
        <v>38</v>
      </c>
    </row>
    <row r="10" spans="1:6" x14ac:dyDescent="0.55000000000000004">
      <c r="A10" t="s">
        <v>39</v>
      </c>
      <c r="B10" s="7">
        <v>-21014.28</v>
      </c>
      <c r="C10" s="7">
        <v>-10587.86</v>
      </c>
      <c r="D10" s="7">
        <f>B10-C10</f>
        <v>-10426.419999999998</v>
      </c>
      <c r="E10" s="17" t="s">
        <v>37</v>
      </c>
      <c r="F10" s="16" t="s">
        <v>38</v>
      </c>
    </row>
    <row r="11" spans="1:6" x14ac:dyDescent="0.55000000000000004">
      <c r="A11" t="s">
        <v>40</v>
      </c>
      <c r="B11" s="7">
        <v>-25710.1</v>
      </c>
      <c r="C11" s="7">
        <v>-14754.79</v>
      </c>
      <c r="D11" s="7">
        <f>B11-C11</f>
        <v>-10955.309999999998</v>
      </c>
      <c r="E11" s="17" t="s">
        <v>37</v>
      </c>
      <c r="F11" s="16" t="s">
        <v>38</v>
      </c>
    </row>
    <row r="12" spans="1:6" x14ac:dyDescent="0.55000000000000004">
      <c r="A12" t="s">
        <v>41</v>
      </c>
      <c r="B12" s="7">
        <v>-45932.12</v>
      </c>
      <c r="C12" s="7">
        <v>-23458.9</v>
      </c>
      <c r="D12" s="7">
        <f>B12-C12</f>
        <v>-22473.22</v>
      </c>
      <c r="E12" s="17" t="s">
        <v>37</v>
      </c>
      <c r="F12" s="16" t="s">
        <v>38</v>
      </c>
    </row>
    <row r="14" spans="1:6" ht="43.2" x14ac:dyDescent="0.55000000000000004">
      <c r="A14" s="8" t="s">
        <v>26</v>
      </c>
      <c r="B14" s="27" t="s">
        <v>42</v>
      </c>
    </row>
    <row r="16" spans="1:6" x14ac:dyDescent="0.55000000000000004">
      <c r="A16" s="18" t="s">
        <v>43</v>
      </c>
    </row>
    <row r="17" spans="1:1" x14ac:dyDescent="0.55000000000000004">
      <c r="A17" s="13" t="s">
        <v>44</v>
      </c>
    </row>
    <row r="18" spans="1:1" x14ac:dyDescent="0.55000000000000004">
      <c r="A18" s="13" t="s">
        <v>45</v>
      </c>
    </row>
    <row r="19" spans="1:1" x14ac:dyDescent="0.55000000000000004">
      <c r="A19" s="13" t="s">
        <v>46</v>
      </c>
    </row>
    <row r="20" spans="1:1" x14ac:dyDescent="0.55000000000000004">
      <c r="A20" s="13" t="s">
        <v>47</v>
      </c>
    </row>
    <row r="22" spans="1:1" ht="16.8" x14ac:dyDescent="0.65">
      <c r="A22" s="19" t="s">
        <v>48</v>
      </c>
    </row>
    <row r="24" spans="1:1" x14ac:dyDescent="0.55000000000000004">
      <c r="A24" s="13" t="s">
        <v>49</v>
      </c>
    </row>
    <row r="26" spans="1:1" x14ac:dyDescent="0.55000000000000004">
      <c r="A26" s="8" t="s">
        <v>50</v>
      </c>
    </row>
    <row r="27" spans="1:1" x14ac:dyDescent="0.55000000000000004">
      <c r="A27" s="12" t="s">
        <v>51</v>
      </c>
    </row>
    <row r="28" spans="1:1" x14ac:dyDescent="0.55000000000000004">
      <c r="A28" s="12" t="s">
        <v>52</v>
      </c>
    </row>
    <row r="29" spans="1:1" x14ac:dyDescent="0.55000000000000004">
      <c r="A29" s="12" t="s">
        <v>53</v>
      </c>
    </row>
    <row r="30" spans="1:1" x14ac:dyDescent="0.55000000000000004">
      <c r="A30" s="12" t="s">
        <v>54</v>
      </c>
    </row>
    <row r="31" spans="1:1" x14ac:dyDescent="0.55000000000000004">
      <c r="A31" s="12" t="s">
        <v>55</v>
      </c>
    </row>
    <row r="32" spans="1:1" x14ac:dyDescent="0.55000000000000004">
      <c r="A32" s="12" t="s">
        <v>56</v>
      </c>
    </row>
    <row r="34" spans="1:7" ht="15.6" x14ac:dyDescent="0.6">
      <c r="A34" s="20" t="s">
        <v>57</v>
      </c>
    </row>
    <row r="36" spans="1:7" x14ac:dyDescent="0.55000000000000004">
      <c r="A36" s="15" t="s">
        <v>58</v>
      </c>
      <c r="B36" s="15" t="s">
        <v>59</v>
      </c>
      <c r="C36" s="15" t="s">
        <v>60</v>
      </c>
      <c r="D36" s="10" t="s">
        <v>61</v>
      </c>
      <c r="E36" s="10" t="s">
        <v>62</v>
      </c>
      <c r="F36" s="10" t="s">
        <v>63</v>
      </c>
      <c r="G36" s="10" t="s">
        <v>64</v>
      </c>
    </row>
    <row r="37" spans="1:7" x14ac:dyDescent="0.55000000000000004">
      <c r="A37" s="21" t="s">
        <v>65</v>
      </c>
      <c r="B37" s="22" t="s">
        <v>66</v>
      </c>
      <c r="C37" s="22" t="s">
        <v>67</v>
      </c>
      <c r="D37" s="23">
        <v>-149213.97</v>
      </c>
      <c r="E37" s="23">
        <v>-10587.86</v>
      </c>
      <c r="F37" s="23">
        <v>-14754.79</v>
      </c>
      <c r="G37" s="23">
        <v>-23458.9</v>
      </c>
    </row>
    <row r="38" spans="1:7" x14ac:dyDescent="0.55000000000000004">
      <c r="A38" t="s">
        <v>68</v>
      </c>
      <c r="B38" t="s">
        <v>69</v>
      </c>
      <c r="C38" t="s">
        <v>10</v>
      </c>
      <c r="D38" s="7">
        <v>21080.17</v>
      </c>
      <c r="E38" s="7">
        <v>0</v>
      </c>
      <c r="F38" s="7">
        <v>0</v>
      </c>
      <c r="G38" s="7">
        <v>-22473.22</v>
      </c>
    </row>
    <row r="39" spans="1:7" x14ac:dyDescent="0.55000000000000004">
      <c r="A39" t="s">
        <v>70</v>
      </c>
      <c r="B39" t="s">
        <v>71</v>
      </c>
      <c r="C39" t="s">
        <v>72</v>
      </c>
      <c r="D39" s="7">
        <v>0</v>
      </c>
      <c r="E39" s="7">
        <v>0</v>
      </c>
      <c r="F39" s="7">
        <v>-90.84</v>
      </c>
      <c r="G39" s="7">
        <v>0</v>
      </c>
    </row>
    <row r="40" spans="1:7" x14ac:dyDescent="0.55000000000000004">
      <c r="A40" t="s">
        <v>73</v>
      </c>
      <c r="B40" t="s">
        <v>74</v>
      </c>
      <c r="C40" t="s">
        <v>75</v>
      </c>
      <c r="D40" s="7">
        <v>21080.17</v>
      </c>
      <c r="E40" s="7">
        <v>0</v>
      </c>
      <c r="F40" s="7">
        <v>0</v>
      </c>
      <c r="G40" s="7">
        <v>-22473.22</v>
      </c>
    </row>
    <row r="41" spans="1:7" x14ac:dyDescent="0.55000000000000004">
      <c r="A41" t="s">
        <v>76</v>
      </c>
      <c r="B41" t="s">
        <v>77</v>
      </c>
      <c r="C41" t="s">
        <v>78</v>
      </c>
      <c r="D41" s="7">
        <v>0</v>
      </c>
      <c r="E41" s="7">
        <v>0</v>
      </c>
      <c r="F41" s="7">
        <v>0</v>
      </c>
      <c r="G41" s="7">
        <v>0</v>
      </c>
    </row>
    <row r="42" spans="1:7" x14ac:dyDescent="0.55000000000000004">
      <c r="A42" t="s">
        <v>79</v>
      </c>
      <c r="B42" t="s">
        <v>80</v>
      </c>
      <c r="C42" t="s">
        <v>7</v>
      </c>
      <c r="D42" s="7">
        <v>0</v>
      </c>
      <c r="E42" s="7">
        <v>0</v>
      </c>
      <c r="F42" s="7">
        <v>0</v>
      </c>
      <c r="G42" s="7">
        <v>35146.57</v>
      </c>
    </row>
    <row r="43" spans="1:7" x14ac:dyDescent="0.55000000000000004">
      <c r="A43" t="s">
        <v>81</v>
      </c>
      <c r="B43" t="s">
        <v>82</v>
      </c>
      <c r="C43" t="s">
        <v>83</v>
      </c>
      <c r="D43" s="7">
        <v>-188799.14</v>
      </c>
      <c r="E43" s="7">
        <v>-10587.86</v>
      </c>
      <c r="F43" s="7">
        <v>-14663.95</v>
      </c>
      <c r="G43" s="7">
        <v>-36132.239999999998</v>
      </c>
    </row>
    <row r="44" spans="1:7" x14ac:dyDescent="0.55000000000000004">
      <c r="A44" t="s">
        <v>84</v>
      </c>
      <c r="B44" t="s">
        <v>85</v>
      </c>
      <c r="C44" t="s">
        <v>86</v>
      </c>
      <c r="D44" s="7">
        <v>0</v>
      </c>
      <c r="E44" s="7">
        <v>0</v>
      </c>
      <c r="F44" s="7">
        <v>0</v>
      </c>
      <c r="G44" s="7">
        <v>0</v>
      </c>
    </row>
    <row r="45" spans="1:7" x14ac:dyDescent="0.55000000000000004">
      <c r="A45" t="s">
        <v>87</v>
      </c>
      <c r="B45" t="s">
        <v>88</v>
      </c>
      <c r="C45" t="s">
        <v>89</v>
      </c>
      <c r="D45" s="7">
        <v>0</v>
      </c>
      <c r="E45" s="7">
        <v>0</v>
      </c>
      <c r="F45" s="7">
        <v>0</v>
      </c>
      <c r="G45" s="7">
        <v>0</v>
      </c>
    </row>
    <row r="46" spans="1:7" x14ac:dyDescent="0.55000000000000004">
      <c r="A46" t="s">
        <v>90</v>
      </c>
      <c r="B46" t="s">
        <v>91</v>
      </c>
      <c r="C46" t="s">
        <v>5</v>
      </c>
      <c r="D46" s="7">
        <v>18505</v>
      </c>
      <c r="E46" s="7">
        <v>0</v>
      </c>
      <c r="F46" s="7">
        <v>0</v>
      </c>
      <c r="G46" s="7">
        <v>0</v>
      </c>
    </row>
    <row r="48" spans="1:7" x14ac:dyDescent="0.55000000000000004">
      <c r="A48" s="8" t="s">
        <v>92</v>
      </c>
      <c r="D48" s="25" t="s">
        <v>61</v>
      </c>
      <c r="E48" s="25" t="s">
        <v>62</v>
      </c>
      <c r="F48" s="25" t="s">
        <v>63</v>
      </c>
      <c r="G48" s="25" t="s">
        <v>64</v>
      </c>
    </row>
    <row r="49" spans="1:7" x14ac:dyDescent="0.55000000000000004">
      <c r="A49" s="13" t="s">
        <v>93</v>
      </c>
    </row>
    <row r="50" spans="1:7" x14ac:dyDescent="0.55000000000000004">
      <c r="A50" s="13" t="s">
        <v>94</v>
      </c>
      <c r="D50" s="24">
        <f>D38-D40-D41</f>
        <v>0</v>
      </c>
      <c r="E50" s="24">
        <f>E38-E40-E41</f>
        <v>0</v>
      </c>
      <c r="F50" s="24">
        <f>F38-F40-F41</f>
        <v>0</v>
      </c>
      <c r="G50" s="24">
        <f>G38-G40-G41</f>
        <v>0</v>
      </c>
    </row>
    <row r="51" spans="1:7" x14ac:dyDescent="0.55000000000000004">
      <c r="A51" s="13" t="s">
        <v>95</v>
      </c>
    </row>
    <row r="53" spans="1:7" x14ac:dyDescent="0.55000000000000004">
      <c r="A53" s="26" t="s">
        <v>96</v>
      </c>
    </row>
    <row r="54" spans="1:7" x14ac:dyDescent="0.55000000000000004">
      <c r="A54" s="9" t="s">
        <v>97</v>
      </c>
    </row>
    <row r="55" spans="1:7" x14ac:dyDescent="0.55000000000000004">
      <c r="A55" s="27" t="s">
        <v>98</v>
      </c>
    </row>
    <row r="56" spans="1:7" x14ac:dyDescent="0.55000000000000004">
      <c r="A56" s="27" t="s">
        <v>99</v>
      </c>
    </row>
    <row r="57" spans="1:7" ht="21" customHeight="1" x14ac:dyDescent="0.55000000000000004">
      <c r="A57" s="27" t="s">
        <v>100</v>
      </c>
    </row>
    <row r="58" spans="1:7" x14ac:dyDescent="0.55000000000000004">
      <c r="A58" s="27" t="s">
        <v>101</v>
      </c>
    </row>
    <row r="59" spans="1:7" ht="18" customHeight="1" x14ac:dyDescent="0.55000000000000004">
      <c r="A59" s="27" t="s">
        <v>102</v>
      </c>
    </row>
    <row r="60" spans="1:7" ht="21.6" customHeight="1" x14ac:dyDescent="0.55000000000000004">
      <c r="A60" s="27" t="s">
        <v>103</v>
      </c>
    </row>
    <row r="61" spans="1:7" ht="16.8" customHeight="1" x14ac:dyDescent="0.55000000000000004">
      <c r="A61" s="27" t="s">
        <v>104</v>
      </c>
    </row>
    <row r="62" spans="1:7" ht="22.8" customHeight="1" x14ac:dyDescent="0.55000000000000004">
      <c r="A62" s="27"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FO data</vt:lpstr>
      <vt:lpstr>Finance data</vt:lpstr>
      <vt:lpstr>Homework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Xu</dc:creator>
  <cp:lastModifiedBy>Deepak Chaudhary</cp:lastModifiedBy>
  <dcterms:created xsi:type="dcterms:W3CDTF">2015-06-05T18:17:20Z</dcterms:created>
  <dcterms:modified xsi:type="dcterms:W3CDTF">2026-04-04T13:53:17Z</dcterms:modified>
</cp:coreProperties>
</file>