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ad8096bc9a08d064/Desktop/Rutgers MSQF/Prep/Class Study/Sem 2/Special Topics Market Risk/Individual Assignment/FINALS/Final/"/>
    </mc:Choice>
  </mc:AlternateContent>
  <xr:revisionPtr revIDLastSave="597" documentId="8_{E840CB2A-3962-2143-9584-BA117FCE1BD9}" xr6:coauthVersionLast="47" xr6:coauthVersionMax="47" xr10:uidLastSave="{0C0D0BA8-B804-4DFE-83D3-EB2A320DA022}"/>
  <bookViews>
    <workbookView xWindow="-110" yWindow="-110" windowWidth="25820" windowHeight="15500" activeTab="1" xr2:uid="{E79BB6F0-4C26-F141-A41C-042065F7C86A}"/>
  </bookViews>
  <sheets>
    <sheet name="Instructions" sheetId="7" r:id="rId1"/>
    <sheet name="Student's worksheet" sheetId="3" r:id="rId2"/>
    <sheet name="Parameters"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3" l="1"/>
  <c r="B23" i="3"/>
  <c r="D23" i="3"/>
  <c r="B17" i="3"/>
  <c r="B11" i="3"/>
  <c r="B12" i="3"/>
  <c r="C23" i="3"/>
  <c r="C17" i="3"/>
  <c r="C12" i="3"/>
  <c r="C11" i="3"/>
  <c r="G43" i="3"/>
  <c r="G42" i="3"/>
  <c r="G41" i="3"/>
  <c r="G40" i="3"/>
  <c r="G37" i="3"/>
  <c r="G36" i="3"/>
  <c r="G35" i="3"/>
  <c r="G34" i="3"/>
  <c r="G31" i="3"/>
  <c r="G30" i="3"/>
  <c r="G29" i="3"/>
  <c r="G28" i="3"/>
  <c r="G27" i="3"/>
  <c r="G26" i="3"/>
  <c r="G25" i="3"/>
  <c r="G24" i="3"/>
  <c r="G23" i="3"/>
  <c r="G19" i="3"/>
  <c r="G18" i="3"/>
  <c r="G17" i="3"/>
  <c r="G16" i="3"/>
  <c r="G15" i="3"/>
  <c r="G14" i="3"/>
  <c r="G13" i="3"/>
  <c r="G12" i="3"/>
  <c r="G9" i="3"/>
  <c r="G8" i="3"/>
  <c r="D22" i="6"/>
  <c r="D23" i="6"/>
  <c r="D24" i="6"/>
  <c r="D25" i="6"/>
  <c r="D26" i="6"/>
  <c r="D27" i="6"/>
  <c r="D28" i="6"/>
  <c r="D29" i="6"/>
  <c r="D30" i="6"/>
  <c r="D21" i="6"/>
  <c r="C36" i="6"/>
  <c r="D12" i="3" l="1"/>
  <c r="B20" i="3" l="1"/>
  <c r="D17" i="3"/>
  <c r="D20" i="3" s="1"/>
  <c r="B14" i="3" l="1"/>
  <c r="D11" i="3"/>
  <c r="B26" i="3"/>
  <c r="D26" i="3"/>
  <c r="B34" i="3" l="1"/>
  <c r="B37" i="3" s="1"/>
  <c r="D14" i="3"/>
</calcChain>
</file>

<file path=xl/sharedStrings.xml><?xml version="1.0" encoding="utf-8"?>
<sst xmlns="http://schemas.openxmlformats.org/spreadsheetml/2006/main" count="184" uniqueCount="138">
  <si>
    <t>Sensitivity</t>
  </si>
  <si>
    <t>Risk weight</t>
  </si>
  <si>
    <t>SBM calculation</t>
  </si>
  <si>
    <t>Total SBM</t>
  </si>
  <si>
    <t>FRTB SA calculations</t>
  </si>
  <si>
    <t>FX</t>
  </si>
  <si>
    <t>EQ</t>
  </si>
  <si>
    <t>CR</t>
  </si>
  <si>
    <t>B. Vega</t>
  </si>
  <si>
    <t>A. Delta</t>
  </si>
  <si>
    <t>Total</t>
  </si>
  <si>
    <t>Weighted sensitivity</t>
  </si>
  <si>
    <t>Step 1 - Weighted sensitivites calculations</t>
  </si>
  <si>
    <t>Step 2 - Risk aggregation</t>
  </si>
  <si>
    <t>GIRR</t>
  </si>
  <si>
    <t>1Y</t>
  </si>
  <si>
    <t>0.5Y</t>
  </si>
  <si>
    <t>3Y</t>
  </si>
  <si>
    <t>5Y</t>
  </si>
  <si>
    <t>10Y</t>
  </si>
  <si>
    <t>0.25Y</t>
  </si>
  <si>
    <t>2Y</t>
  </si>
  <si>
    <t>15Y</t>
  </si>
  <si>
    <t>30Y</t>
  </si>
  <si>
    <t>20Y</t>
  </si>
  <si>
    <t>Correlation</t>
  </si>
  <si>
    <t>CSR</t>
  </si>
  <si>
    <t>Bucket number</t>
  </si>
  <si>
    <t>Credit quality</t>
  </si>
  <si>
    <t>Sector</t>
  </si>
  <si>
    <t>IG</t>
  </si>
  <si>
    <t>Sovereign exposures, MDBs, and
specified supranational entities</t>
  </si>
  <si>
    <t>PSEs, government-backed non-
financials, GSE debt, education, and
public administration</t>
  </si>
  <si>
    <t>Financials including government-backed
financials and real estate activities</t>
  </si>
  <si>
    <t>Basic materials, energy, industrials,
agriculture, manufacturing, and mining
and quarrying</t>
  </si>
  <si>
    <t>Consumer goods and services,
transportation and storage, and
administrative and support service
activities</t>
  </si>
  <si>
    <t>Technology and telecommunications</t>
  </si>
  <si>
    <t>Health care, utilities, and professional
and technical activities</t>
  </si>
  <si>
    <t xml:space="preserve">Covered bonds </t>
  </si>
  <si>
    <t>Tenor</t>
  </si>
  <si>
    <t>Market cap</t>
  </si>
  <si>
    <t>Economy</t>
  </si>
  <si>
    <t>Consumer goods and services,
transportation and storage,
administrative and support service activities, healthcare, and
utilities</t>
  </si>
  <si>
    <t>Risk weight for spot price</t>
  </si>
  <si>
    <t>Emerging
market
economy</t>
  </si>
  <si>
    <t>Large
market
cap</t>
  </si>
  <si>
    <t>Liquid
market
economy</t>
  </si>
  <si>
    <t xml:space="preserve">Telecommunications and
industrials </t>
  </si>
  <si>
    <t>Basic materials, energy,
agriculture, manufacturing, and
mining and quarrying</t>
  </si>
  <si>
    <t>Financials including government-
backed financials, real estate
activities, and technology</t>
  </si>
  <si>
    <t>All currency pairs</t>
  </si>
  <si>
    <t>except for any
currency pair formed by the following list of currencies, a [BANKING ORGANIZATION] may
divide the above risk weight by the √2: United States Dollar, Australian Dollar, Brazilian Real,
Canadian Dollar, Chinese Yuan, Euro, Hong Kong Dollar, Indian Rupee, Japanese Yen, Mexican
Peso, New Zealand Dollar, Norwegian Krone, Singapore Dollar, South African Rand, South
Korean Won, Swedish Krona, Swiss Franc, Turkish Lira, United Kingdom Pound, and any
additional currencies specified</t>
  </si>
  <si>
    <t>All currencies</t>
  </si>
  <si>
    <r>
      <t xml:space="preserve">For United States Dollar, Australian Dollar, Canadian Dollar, </t>
    </r>
    <r>
      <rPr>
        <b/>
        <sz val="12"/>
        <color theme="1"/>
        <rFont val="Aptos Narrow"/>
        <family val="2"/>
        <scheme val="minor"/>
      </rPr>
      <t>Euro</t>
    </r>
    <r>
      <rPr>
        <sz val="12"/>
        <color theme="1"/>
        <rFont val="Aptos Narrow"/>
        <family val="2"/>
        <scheme val="minor"/>
      </rPr>
      <t xml:space="preserve">, Japanese Yen,
Swedish Krona, and United Kingdom Pound, and any other currencies specified by the
[AGENCY], a [BANKING ORGANIZATION] </t>
    </r>
    <r>
      <rPr>
        <b/>
        <sz val="12"/>
        <color theme="1"/>
        <rFont val="Aptos Narrow"/>
        <family val="2"/>
        <scheme val="minor"/>
      </rPr>
      <t>may divide the risk weights in paragraphs
(b)(1)(ii) and (iii) of this section by √2.</t>
    </r>
  </si>
  <si>
    <t>USD Risk weight</t>
  </si>
  <si>
    <t>Interest Rate Risk Correlation Parameter (𝝆𝒌) within the Same bucket, with different tenors and the same IR curve
Bucket, with Different Tenors and the Same Interest Rate Curve</t>
  </si>
  <si>
    <t>Risk free rate</t>
  </si>
  <si>
    <t>You hold the following positions;</t>
  </si>
  <si>
    <t>1. €100mil cash. EUR/USD spot exchange rate is currently 1.18</t>
  </si>
  <si>
    <t>Number of share</t>
  </si>
  <si>
    <t>Current share price</t>
  </si>
  <si>
    <t>Implied vol</t>
  </si>
  <si>
    <t>Strike price (K)</t>
  </si>
  <si>
    <t>Expiry (T)</t>
  </si>
  <si>
    <t>I</t>
  </si>
  <si>
    <t>Delta parameters</t>
  </si>
  <si>
    <t>Vega parameters</t>
  </si>
  <si>
    <t>Risk Class</t>
  </si>
  <si>
    <t>Risk weights</t>
  </si>
  <si>
    <t>Interest Rate Risk</t>
  </si>
  <si>
    <t>Credit Spread Risk for non securitization</t>
  </si>
  <si>
    <t>Credit Spread Risk for securitization non-CTP</t>
  </si>
  <si>
    <t>Credit Spread Risk for Correlation Trading Positions</t>
  </si>
  <si>
    <t>Equity Risk (large market cap and indices)</t>
  </si>
  <si>
    <t>Equity Risk (small market cap and other sector)</t>
  </si>
  <si>
    <t>Commodity Risk</t>
  </si>
  <si>
    <t>Foreign exchange risk</t>
  </si>
  <si>
    <t>Upward shock scenario</t>
  </si>
  <si>
    <t>2. Long shares of American tech company B</t>
  </si>
  <si>
    <t>Number of contracts</t>
  </si>
  <si>
    <t>3. Long call options on American tech company C</t>
  </si>
  <si>
    <t>Please use a Black-Sholes model to value the option position</t>
  </si>
  <si>
    <t>Step 1 - Calculate the FRTB sensitivities for this set of positions</t>
  </si>
  <si>
    <t>Step 2 - Calculate the FRTB charge for each of the relevant SBM component</t>
  </si>
  <si>
    <t>Step 3 - Calculate the total FRTB SBM charge</t>
  </si>
  <si>
    <t>C. Curvature</t>
  </si>
  <si>
    <t>Downward shock scenario</t>
  </si>
  <si>
    <t>Total FX charge</t>
  </si>
  <si>
    <t>Total EQ charge</t>
  </si>
  <si>
    <t>Today</t>
  </si>
  <si>
    <t>Spot (S)</t>
  </si>
  <si>
    <t>Strike (K)</t>
  </si>
  <si>
    <t>Expiry</t>
  </si>
  <si>
    <t>Time to expiry T (yrs)</t>
  </si>
  <si>
    <t>Implied vol (sigma)</t>
  </si>
  <si>
    <t>Risk free rate (r)</t>
  </si>
  <si>
    <t># contracts</t>
  </si>
  <si>
    <t>Shares per contract</t>
  </si>
  <si>
    <t>EUR cash notional</t>
  </si>
  <si>
    <t>EUR/USD spot</t>
  </si>
  <si>
    <t>d1</t>
  </si>
  <si>
    <t>d2</t>
  </si>
  <si>
    <t>N(d1)</t>
  </si>
  <si>
    <t>N(d2)</t>
  </si>
  <si>
    <t>Call price (per share)</t>
  </si>
  <si>
    <t>BS Delta (per share)</t>
  </si>
  <si>
    <t>BS Vega (per share, per 1.00 sigma)</t>
  </si>
  <si>
    <t>Total option shares</t>
  </si>
  <si>
    <t>Option MV (USD)</t>
  </si>
  <si>
    <t>EQ vega RW (large cap &amp; indices)</t>
  </si>
  <si>
    <t>EQ curvature RW</t>
  </si>
  <si>
    <t>FX delta RW (EUR/USD specified pair)</t>
  </si>
  <si>
    <t>S up (S*(1+RW))</t>
  </si>
  <si>
    <t>S down (S*(1-RW))</t>
  </si>
  <si>
    <t>Call price at S up (per share)</t>
  </si>
  <si>
    <t>Call price at S down (per share)</t>
  </si>
  <si>
    <t>Calculation method</t>
  </si>
  <si>
    <t>EQ delta = #shares * BS delta + #contracts * shares/contract * vega_per_share * spot (delta + vega cross term on the option position).</t>
  </si>
  <si>
    <t>FX delta on EUR cash notional converted to USD (EUR notional * EUR/USD spot).</t>
  </si>
  <si>
    <t>Sum of CR, EQ, FX, GIRR delta sensitivities.</t>
  </si>
  <si>
    <t>EQ vega = BS vega per share * implied vol * total option shares.</t>
  </si>
  <si>
    <t>Sum of EQ, FX, CR vega sensitivities.</t>
  </si>
  <si>
    <t>EQ curvature up = -[ V(S_up) - V(S) - RW * delta ], where V(S) is option MV + underlying equity exposure.</t>
  </si>
  <si>
    <t>Sum of EQ, FX, CR upward curvature shocks.</t>
  </si>
  <si>
    <t>FX total = |weighted FX delta| + |weighted FX vega| + max(FX curvature up, down, 0).</t>
  </si>
  <si>
    <t>EQ total = |weighted EQ delta| + |weighted EQ vega| + max(EQ curvature up, down, 0).</t>
  </si>
  <si>
    <t>Total SBM = sum of asset-class charges.</t>
  </si>
  <si>
    <t>Weights</t>
  </si>
  <si>
    <t>Inputs</t>
  </si>
  <si>
    <t>1. FX Position - EUR Cash</t>
  </si>
  <si>
    <t>2. Equity Shares - Company B</t>
  </si>
  <si>
    <t>Share price (S)</t>
  </si>
  <si>
    <t># shares</t>
  </si>
  <si>
    <t>Risk Weights (from Parameters)</t>
  </si>
  <si>
    <t>EQ delta RW (bucket 8, large cap, liquid, tech)</t>
  </si>
  <si>
    <t>EQ Curvature Revaluation</t>
  </si>
  <si>
    <t>3. Equity Options - Company B</t>
  </si>
  <si>
    <t>Black-Scholes (Company B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</si>
</sst>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quot;$&quot;#,##0.00_);[Red]\(&quot;$&quot;#,##0.00\)"/>
    <numFmt numFmtId="166" formatCode="0.000000000000000%"/>
    <numFmt numFmtId="167" formatCode="d/mmm/yy"/>
    <numFmt numFmtId="168" formatCode="0.0000"/>
    <numFmt numFmtId="169" formatCode="&quot;₹&quot;#,##0"/>
    <numFmt numFmtId="170" formatCode="&quot;₹&quot;#,##0;\(&quot;₹&quot;#,##0\);\-"/>
    <numFmt numFmtId="171" formatCode="&quot;₹&quot;#,##0.00;\(&quot;₹&quot;#,##0.00\);\-"/>
    <numFmt numFmtId="172" formatCode="&quot;₹&quot;#,##0.0000;\(&quot;₹&quot;#,##0.0000\);\-"/>
  </numFmts>
  <fonts count="12" x14ac:knownFonts="1">
    <font>
      <sz val="12"/>
      <color theme="1"/>
      <name val="Aptos Narrow"/>
      <family val="2"/>
      <scheme val="minor"/>
    </font>
    <font>
      <sz val="12"/>
      <color theme="1"/>
      <name val="Aptos Narrow"/>
      <family val="2"/>
      <scheme val="minor"/>
    </font>
    <font>
      <b/>
      <sz val="12"/>
      <color theme="1"/>
      <name val="Aptos Narrow"/>
      <family val="2"/>
      <scheme val="minor"/>
    </font>
    <font>
      <sz val="12"/>
      <color theme="0"/>
      <name val="Aptos Narrow"/>
      <family val="2"/>
      <scheme val="minor"/>
    </font>
    <font>
      <b/>
      <sz val="14"/>
      <color theme="1"/>
      <name val="Aptos Narrow"/>
      <family val="2"/>
      <scheme val="minor"/>
    </font>
    <font>
      <sz val="12"/>
      <color rgb="FF000000"/>
      <name val="Aptos Narrow"/>
      <family val="2"/>
      <scheme val="minor"/>
    </font>
    <font>
      <sz val="12"/>
      <color theme="2" tint="-0.499984740745262"/>
      <name val="Aptos Narrow"/>
      <family val="2"/>
      <scheme val="minor"/>
    </font>
    <font>
      <sz val="12"/>
      <color rgb="FF000000"/>
      <name val="Times New Roman"/>
      <family val="1"/>
    </font>
    <font>
      <sz val="14"/>
      <color theme="2" tint="-0.499984740745262"/>
      <name val="Courier New"/>
      <family val="1"/>
    </font>
    <font>
      <b/>
      <sz val="13"/>
      <color rgb="FFFFFFFF"/>
      <name val="Aptos Narrow"/>
      <family val="2"/>
      <scheme val="minor"/>
    </font>
    <font>
      <b/>
      <sz val="13"/>
      <color theme="1"/>
      <name val="Aptos Narrow"/>
      <family val="2"/>
      <scheme val="minor"/>
    </font>
    <font>
      <b/>
      <sz val="12"/>
      <color rgb="FFFFFFFF"/>
      <name val="Aptos Narrow"/>
      <family val="2"/>
      <scheme val="minor"/>
    </font>
  </fonts>
  <fills count="10">
    <fill>
      <patternFill patternType="none"/>
    </fill>
    <fill>
      <patternFill patternType="gray125"/>
    </fill>
    <fill>
      <patternFill patternType="solid">
        <fgColor theme="4"/>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rgb="FFC0E6F5"/>
        <bgColor indexed="64"/>
      </patternFill>
    </fill>
    <fill>
      <patternFill patternType="solid">
        <fgColor rgb="FF156082"/>
        <bgColor indexed="64"/>
      </patternFill>
    </fill>
    <fill>
      <patternFill patternType="solid">
        <fgColor rgb="FF1F7A8C"/>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156082"/>
      </left>
      <right/>
      <top/>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89">
    <xf numFmtId="0" fontId="0" fillId="0" borderId="0" xfId="0"/>
    <xf numFmtId="9" fontId="0" fillId="0" borderId="0" xfId="0" applyNumberFormat="1"/>
    <xf numFmtId="10" fontId="0" fillId="0" borderId="0" xfId="0" applyNumberFormat="1"/>
    <xf numFmtId="0" fontId="0" fillId="0" borderId="1" xfId="0" applyBorder="1"/>
    <xf numFmtId="0" fontId="0" fillId="0" borderId="1" xfId="0" applyBorder="1" applyAlignment="1">
      <alignment wrapText="1"/>
    </xf>
    <xf numFmtId="0" fontId="2" fillId="0" borderId="0" xfId="0" applyFont="1"/>
    <xf numFmtId="0" fontId="5" fillId="0" borderId="1" xfId="0" applyFont="1" applyBorder="1" applyAlignment="1">
      <alignment horizontal="right"/>
    </xf>
    <xf numFmtId="0" fontId="5" fillId="0" borderId="2" xfId="0" applyFont="1" applyBorder="1" applyAlignment="1">
      <alignment horizontal="right"/>
    </xf>
    <xf numFmtId="9" fontId="5" fillId="0" borderId="0" xfId="0" applyNumberFormat="1" applyFont="1"/>
    <xf numFmtId="0" fontId="6" fillId="5" borderId="0" xfId="0" applyFont="1" applyFill="1"/>
    <xf numFmtId="0" fontId="0" fillId="5" borderId="0" xfId="0" applyFill="1"/>
    <xf numFmtId="0" fontId="0" fillId="0" borderId="0" xfId="0" applyAlignment="1">
      <alignment horizontal="right"/>
    </xf>
    <xf numFmtId="0" fontId="0" fillId="0" borderId="0" xfId="0" applyAlignment="1">
      <alignment wrapText="1"/>
    </xf>
    <xf numFmtId="0" fontId="0" fillId="0" borderId="0" xfId="0" applyAlignment="1">
      <alignment horizontal="center" vertical="center"/>
    </xf>
    <xf numFmtId="0" fontId="7" fillId="0" borderId="1" xfId="0" applyFont="1" applyBorder="1" applyAlignment="1">
      <alignment horizontal="center" vertical="center"/>
    </xf>
    <xf numFmtId="0" fontId="0" fillId="0" borderId="1" xfId="0" applyBorder="1" applyAlignment="1">
      <alignment horizontal="center" vertical="center"/>
    </xf>
    <xf numFmtId="0" fontId="2" fillId="0" borderId="0" xfId="0" applyFont="1" applyAlignment="1">
      <alignment horizontal="right"/>
    </xf>
    <xf numFmtId="0" fontId="0" fillId="0" borderId="1" xfId="0" applyBorder="1" applyAlignment="1">
      <alignment vertical="center" wrapText="1"/>
    </xf>
    <xf numFmtId="0" fontId="0" fillId="0" borderId="2" xfId="0" applyBorder="1" applyAlignment="1">
      <alignment horizontal="center" vertical="center"/>
    </xf>
    <xf numFmtId="0" fontId="0" fillId="0" borderId="1" xfId="0" applyBorder="1" applyAlignment="1">
      <alignment vertical="center"/>
    </xf>
    <xf numFmtId="9" fontId="0" fillId="0" borderId="0" xfId="0" applyNumberFormat="1" applyAlignment="1">
      <alignment horizontal="center" vertical="center"/>
    </xf>
    <xf numFmtId="0" fontId="7" fillId="6" borderId="1" xfId="0" applyFont="1" applyFill="1" applyBorder="1" applyAlignment="1">
      <alignment vertical="center"/>
    </xf>
    <xf numFmtId="0" fontId="0" fillId="6" borderId="1" xfId="0" applyFill="1" applyBorder="1" applyAlignment="1">
      <alignment vertical="center"/>
    </xf>
    <xf numFmtId="0" fontId="2" fillId="6" borderId="1" xfId="0" applyFont="1" applyFill="1" applyBorder="1" applyAlignment="1">
      <alignment vertical="center"/>
    </xf>
    <xf numFmtId="0" fontId="2" fillId="6" borderId="1" xfId="0" applyFont="1" applyFill="1" applyBorder="1" applyAlignment="1">
      <alignment wrapText="1"/>
    </xf>
    <xf numFmtId="10" fontId="7" fillId="0" borderId="1" xfId="0" applyNumberFormat="1" applyFont="1" applyBorder="1" applyAlignment="1">
      <alignment horizontal="center" vertical="center"/>
    </xf>
    <xf numFmtId="0" fontId="0" fillId="0" borderId="1" xfId="0" applyBorder="1" applyAlignment="1">
      <alignment horizontal="center" vertical="center" wrapText="1"/>
    </xf>
    <xf numFmtId="9" fontId="0" fillId="0" borderId="1" xfId="0" applyNumberFormat="1" applyBorder="1" applyAlignment="1">
      <alignment horizontal="center" vertical="center"/>
    </xf>
    <xf numFmtId="0" fontId="0" fillId="0" borderId="0" xfId="0" applyAlignment="1">
      <alignment horizontal="left" vertical="center" wrapText="1"/>
    </xf>
    <xf numFmtId="10" fontId="0" fillId="0" borderId="1" xfId="0" applyNumberFormat="1" applyBorder="1" applyAlignment="1">
      <alignment vertical="center"/>
    </xf>
    <xf numFmtId="10" fontId="0" fillId="0" borderId="1" xfId="1" applyNumberFormat="1" applyFont="1" applyBorder="1" applyAlignment="1">
      <alignment vertical="center"/>
    </xf>
    <xf numFmtId="0" fontId="5" fillId="0" borderId="0" xfId="0" applyFont="1" applyAlignment="1">
      <alignment horizontal="right"/>
    </xf>
    <xf numFmtId="0" fontId="6" fillId="0" borderId="0" xfId="0" applyFont="1"/>
    <xf numFmtId="164" fontId="0" fillId="0" borderId="0" xfId="0" applyNumberFormat="1"/>
    <xf numFmtId="165" fontId="0" fillId="0" borderId="0" xfId="0" applyNumberFormat="1"/>
    <xf numFmtId="3" fontId="0" fillId="0" borderId="0" xfId="0" applyNumberFormat="1"/>
    <xf numFmtId="15" fontId="0" fillId="0" borderId="0" xfId="0" applyNumberFormat="1"/>
    <xf numFmtId="10" fontId="0" fillId="0" borderId="0" xfId="1" applyNumberFormat="1" applyFont="1" applyAlignment="1">
      <alignment horizontal="center" vertical="center"/>
    </xf>
    <xf numFmtId="0" fontId="8" fillId="0" borderId="0" xfId="0" applyFont="1"/>
    <xf numFmtId="9" fontId="0" fillId="0" borderId="1" xfId="0" applyNumberFormat="1" applyBorder="1" applyAlignment="1">
      <alignment vertical="center"/>
    </xf>
    <xf numFmtId="166" fontId="0" fillId="0" borderId="0" xfId="0" applyNumberFormat="1"/>
    <xf numFmtId="169" fontId="0" fillId="0" borderId="1" xfId="0" applyNumberFormat="1" applyBorder="1"/>
    <xf numFmtId="169" fontId="2" fillId="0" borderId="1" xfId="0" applyNumberFormat="1" applyFont="1" applyBorder="1"/>
    <xf numFmtId="170" fontId="0" fillId="0" borderId="1" xfId="0" applyNumberFormat="1" applyBorder="1"/>
    <xf numFmtId="170" fontId="2" fillId="0" borderId="1" xfId="0" applyNumberFormat="1" applyFont="1" applyBorder="1"/>
    <xf numFmtId="0" fontId="2" fillId="7" borderId="0" xfId="0" applyFont="1" applyFill="1"/>
    <xf numFmtId="170" fontId="2" fillId="7" borderId="0" xfId="0" applyNumberFormat="1" applyFont="1" applyFill="1"/>
    <xf numFmtId="169" fontId="2" fillId="7" borderId="0" xfId="0" applyNumberFormat="1" applyFont="1" applyFill="1"/>
    <xf numFmtId="0" fontId="9" fillId="8" borderId="0" xfId="0" applyFont="1" applyFill="1"/>
    <xf numFmtId="170" fontId="9" fillId="8" borderId="0" xfId="0" applyNumberFormat="1" applyFont="1" applyFill="1"/>
    <xf numFmtId="169" fontId="9" fillId="8" borderId="0" xfId="0" applyNumberFormat="1" applyFont="1" applyFill="1"/>
    <xf numFmtId="0" fontId="0" fillId="0" borderId="0" xfId="0" applyAlignment="1">
      <alignment horizontal="left" vertical="top" wrapText="1"/>
    </xf>
    <xf numFmtId="0" fontId="2" fillId="0" borderId="0" xfId="0" applyFont="1" applyAlignment="1">
      <alignment horizontal="left" vertical="top" wrapText="1"/>
    </xf>
    <xf numFmtId="169" fontId="0" fillId="0" borderId="0" xfId="0" applyNumberFormat="1" applyAlignment="1">
      <alignment horizontal="left" vertical="top" wrapText="1"/>
    </xf>
    <xf numFmtId="169" fontId="2" fillId="0" borderId="0" xfId="0" applyNumberFormat="1" applyFont="1" applyAlignment="1">
      <alignment horizontal="left" vertical="top" wrapText="1"/>
    </xf>
    <xf numFmtId="0" fontId="2" fillId="7" borderId="0" xfId="0" applyFont="1" applyFill="1" applyAlignment="1">
      <alignment horizontal="left" vertical="top" wrapText="1"/>
    </xf>
    <xf numFmtId="0" fontId="9" fillId="8" borderId="0" xfId="0" applyFont="1" applyFill="1" applyAlignment="1">
      <alignment horizontal="left" vertical="top" wrapText="1"/>
    </xf>
    <xf numFmtId="0" fontId="0" fillId="0" borderId="5" xfId="0" applyBorder="1" applyAlignment="1">
      <alignment vertical="center"/>
    </xf>
    <xf numFmtId="0" fontId="0" fillId="0" borderId="0" xfId="0" applyAlignment="1">
      <alignment horizontal="right" vertical="center"/>
    </xf>
    <xf numFmtId="0" fontId="0" fillId="0" borderId="0" xfId="0" applyAlignment="1">
      <alignment vertical="center"/>
    </xf>
    <xf numFmtId="0" fontId="4" fillId="0" borderId="0" xfId="0" applyFont="1" applyAlignment="1">
      <alignment vertical="center"/>
    </xf>
    <xf numFmtId="0" fontId="3" fillId="2" borderId="0" xfId="0" applyFont="1" applyFill="1" applyAlignment="1">
      <alignment vertical="center"/>
    </xf>
    <xf numFmtId="0" fontId="0" fillId="3" borderId="0" xfId="0" applyFill="1" applyAlignment="1">
      <alignment vertical="center"/>
    </xf>
    <xf numFmtId="0" fontId="0" fillId="4" borderId="1" xfId="0" applyFill="1" applyBorder="1" applyAlignment="1">
      <alignment vertical="center"/>
    </xf>
    <xf numFmtId="0" fontId="2" fillId="0" borderId="1" xfId="0" applyFont="1" applyBorder="1" applyAlignment="1">
      <alignment vertical="center"/>
    </xf>
    <xf numFmtId="0" fontId="2" fillId="0" borderId="0" xfId="0" applyFont="1" applyAlignment="1">
      <alignment vertical="center"/>
    </xf>
    <xf numFmtId="0" fontId="2" fillId="7" borderId="0" xfId="0" applyFont="1" applyFill="1" applyAlignment="1">
      <alignment vertical="center"/>
    </xf>
    <xf numFmtId="0" fontId="9" fillId="8" borderId="0" xfId="0" applyFont="1" applyFill="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10" fillId="8" borderId="0" xfId="0" applyFont="1" applyFill="1"/>
    <xf numFmtId="0" fontId="11" fillId="9" borderId="0" xfId="0" applyFont="1" applyFill="1"/>
    <xf numFmtId="0" fontId="0" fillId="9" borderId="0" xfId="0" applyFill="1"/>
    <xf numFmtId="0" fontId="0" fillId="0" borderId="0" xfId="0" applyFont="1"/>
    <xf numFmtId="3" fontId="0" fillId="0" borderId="0" xfId="0" applyNumberFormat="1" applyFont="1" applyAlignment="1">
      <alignment horizontal="right"/>
    </xf>
    <xf numFmtId="168" fontId="0" fillId="0" borderId="0" xfId="0" applyNumberFormat="1" applyFont="1" applyAlignment="1">
      <alignment horizontal="right"/>
    </xf>
    <xf numFmtId="171" fontId="0" fillId="0" borderId="0" xfId="0" applyNumberFormat="1" applyFont="1" applyAlignment="1">
      <alignment horizontal="right"/>
    </xf>
    <xf numFmtId="0" fontId="0" fillId="0" borderId="6" xfId="0" applyFont="1" applyFill="1" applyBorder="1"/>
    <xf numFmtId="167" fontId="0" fillId="0" borderId="0" xfId="0" applyNumberFormat="1" applyFont="1" applyAlignment="1">
      <alignment horizontal="right"/>
    </xf>
    <xf numFmtId="0" fontId="0" fillId="0" borderId="0" xfId="0" applyFont="1" applyFill="1" applyBorder="1"/>
    <xf numFmtId="10" fontId="0" fillId="0" borderId="0" xfId="0" applyNumberFormat="1" applyFont="1" applyAlignment="1">
      <alignment horizontal="right"/>
    </xf>
    <xf numFmtId="0" fontId="11" fillId="9" borderId="6" xfId="0" applyFont="1" applyFill="1" applyBorder="1"/>
    <xf numFmtId="172" fontId="0" fillId="0" borderId="0" xfId="0" applyNumberFormat="1" applyFont="1" applyAlignment="1">
      <alignment horizontal="right"/>
    </xf>
    <xf numFmtId="170" fontId="0" fillId="0" borderId="0" xfId="0" applyNumberFormat="1" applyFont="1" applyAlignment="1">
      <alignment horizontal="right"/>
    </xf>
    <xf numFmtId="9" fontId="0" fillId="0" borderId="0" xfId="0" applyNumberFormat="1" applyFont="1" applyAlignment="1">
      <alignment horizontal="right"/>
    </xf>
    <xf numFmtId="170" fontId="0" fillId="0" borderId="1" xfId="0" applyNumberFormat="1"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7A41AA9-6371-44D9-8EE3-1B065499E1D0}">
  <we:reference id="wa200009404" version="1.0.0.8" store="en-US" storeType="OMEX"/>
  <we:alternateReferences>
    <we:reference id="WA200009404" version="1.0.0.8" store="" storeType="OMEX"/>
  </we:alternateReferences>
  <we:properties>
    <we:property name="claude.fileId" value="&quot;7d8ad09b-068f-4753-a0f2-a30759b0de0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5DD94-17CA-A94E-9809-098F4FDE425A}">
  <dimension ref="A3:I28"/>
  <sheetViews>
    <sheetView workbookViewId="0">
      <selection activeCell="B9" sqref="B9"/>
    </sheetView>
  </sheetViews>
  <sheetFormatPr defaultColWidth="10.6640625" defaultRowHeight="16" x14ac:dyDescent="0.4"/>
  <cols>
    <col min="1" max="1" width="52" bestFit="1" customWidth="1"/>
    <col min="2" max="2" width="14" bestFit="1" customWidth="1"/>
    <col min="5" max="5" width="20.33203125" bestFit="1" customWidth="1"/>
    <col min="6" max="6" width="14.33203125" bestFit="1" customWidth="1"/>
    <col min="7" max="7" width="15.33203125" bestFit="1" customWidth="1"/>
  </cols>
  <sheetData>
    <row r="3" spans="1:9" x14ac:dyDescent="0.4">
      <c r="A3" t="s">
        <v>57</v>
      </c>
    </row>
    <row r="5" spans="1:9" x14ac:dyDescent="0.4">
      <c r="A5" t="s">
        <v>58</v>
      </c>
    </row>
    <row r="7" spans="1:9" ht="18.5" x14ac:dyDescent="0.45">
      <c r="A7" t="s">
        <v>78</v>
      </c>
      <c r="F7" s="38"/>
    </row>
    <row r="8" spans="1:9" x14ac:dyDescent="0.4">
      <c r="A8" t="s">
        <v>60</v>
      </c>
      <c r="B8" s="33">
        <v>422</v>
      </c>
      <c r="E8" s="33"/>
    </row>
    <row r="9" spans="1:9" ht="18.5" x14ac:dyDescent="0.45">
      <c r="A9" t="s">
        <v>59</v>
      </c>
      <c r="B9" s="35">
        <v>750000</v>
      </c>
      <c r="D9" s="34"/>
      <c r="E9" s="38"/>
    </row>
    <row r="11" spans="1:9" x14ac:dyDescent="0.4">
      <c r="A11" t="s">
        <v>80</v>
      </c>
      <c r="E11" s="34"/>
    </row>
    <row r="12" spans="1:9" x14ac:dyDescent="0.4">
      <c r="A12" t="s">
        <v>79</v>
      </c>
      <c r="B12" s="35">
        <v>2500</v>
      </c>
      <c r="E12" s="34"/>
    </row>
    <row r="13" spans="1:9" x14ac:dyDescent="0.4">
      <c r="A13" t="s">
        <v>62</v>
      </c>
      <c r="B13" s="33">
        <v>390</v>
      </c>
      <c r="C13" s="33"/>
      <c r="I13" s="34"/>
    </row>
    <row r="14" spans="1:9" x14ac:dyDescent="0.4">
      <c r="A14" t="s">
        <v>63</v>
      </c>
      <c r="B14" s="36">
        <v>46311</v>
      </c>
      <c r="E14" s="40"/>
    </row>
    <row r="15" spans="1:9" x14ac:dyDescent="0.4">
      <c r="A15" t="s">
        <v>61</v>
      </c>
      <c r="B15" s="2">
        <v>0.32919999999999999</v>
      </c>
    </row>
    <row r="16" spans="1:9" x14ac:dyDescent="0.4">
      <c r="A16" t="s">
        <v>56</v>
      </c>
      <c r="B16" s="2">
        <v>3.7100000000000001E-2</v>
      </c>
      <c r="G16" s="34"/>
    </row>
    <row r="17" spans="1:7" x14ac:dyDescent="0.4">
      <c r="G17" s="34"/>
    </row>
    <row r="20" spans="1:7" x14ac:dyDescent="0.4">
      <c r="A20" t="s">
        <v>82</v>
      </c>
    </row>
    <row r="22" spans="1:7" x14ac:dyDescent="0.4">
      <c r="A22" t="s">
        <v>83</v>
      </c>
    </row>
    <row r="24" spans="1:7" x14ac:dyDescent="0.4">
      <c r="A24" t="s">
        <v>84</v>
      </c>
    </row>
    <row r="28" spans="1:7" x14ac:dyDescent="0.4">
      <c r="A28" s="5" t="s">
        <v>81</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1192-25F6-FD46-8B35-FAC5E8E40114}">
  <dimension ref="A1:G43"/>
  <sheetViews>
    <sheetView tabSelected="1" workbookViewId="0">
      <pane ySplit="1" topLeftCell="A2" activePane="bottomLeft" state="frozen"/>
      <selection pane="bottomLeft" activeCell="B31" sqref="B31:B34"/>
    </sheetView>
  </sheetViews>
  <sheetFormatPr defaultColWidth="10.6640625" defaultRowHeight="16" x14ac:dyDescent="0.4"/>
  <cols>
    <col min="1" max="1" width="35.6640625" bestFit="1" customWidth="1"/>
    <col min="2" max="3" width="21.33203125" customWidth="1"/>
    <col min="4" max="4" width="22.5" customWidth="1"/>
    <col min="5" max="5" width="42" customWidth="1"/>
    <col min="6" max="6" width="36.25" customWidth="1"/>
    <col min="7" max="7" width="11.25" bestFit="1" customWidth="1"/>
  </cols>
  <sheetData>
    <row r="1" spans="1:7" x14ac:dyDescent="0.4">
      <c r="A1" s="59"/>
      <c r="E1" s="51"/>
      <c r="F1" s="57"/>
      <c r="G1" s="58"/>
    </row>
    <row r="2" spans="1:7" ht="18.5" x14ac:dyDescent="0.4">
      <c r="A2" s="60" t="s">
        <v>4</v>
      </c>
      <c r="E2" s="51"/>
      <c r="F2" s="48" t="s">
        <v>128</v>
      </c>
      <c r="G2" s="73"/>
    </row>
    <row r="3" spans="1:7" x14ac:dyDescent="0.4">
      <c r="A3" s="59"/>
      <c r="E3" s="51"/>
      <c r="F3" s="74" t="s">
        <v>129</v>
      </c>
      <c r="G3" s="75"/>
    </row>
    <row r="4" spans="1:7" x14ac:dyDescent="0.4">
      <c r="A4" s="59"/>
      <c r="E4" s="51"/>
      <c r="F4" s="76" t="s">
        <v>98</v>
      </c>
      <c r="G4" s="77">
        <v>100000000</v>
      </c>
    </row>
    <row r="5" spans="1:7" x14ac:dyDescent="0.4">
      <c r="A5" s="61" t="s">
        <v>2</v>
      </c>
      <c r="E5" s="51"/>
      <c r="F5" s="76" t="s">
        <v>99</v>
      </c>
      <c r="G5" s="78">
        <v>1.18</v>
      </c>
    </row>
    <row r="6" spans="1:7" x14ac:dyDescent="0.4">
      <c r="A6" s="59"/>
      <c r="E6" s="51"/>
    </row>
    <row r="7" spans="1:7" x14ac:dyDescent="0.4">
      <c r="A7" s="62" t="s">
        <v>12</v>
      </c>
      <c r="E7" s="51"/>
      <c r="F7" s="74" t="s">
        <v>130</v>
      </c>
      <c r="G7" s="75"/>
    </row>
    <row r="8" spans="1:7" x14ac:dyDescent="0.4">
      <c r="A8" s="59"/>
      <c r="E8" s="51"/>
      <c r="F8" s="76" t="s">
        <v>131</v>
      </c>
      <c r="G8" s="79">
        <f>Instructions!B8</f>
        <v>422</v>
      </c>
    </row>
    <row r="9" spans="1:7" x14ac:dyDescent="0.4">
      <c r="A9" s="63" t="s">
        <v>9</v>
      </c>
      <c r="B9" s="3" t="s">
        <v>0</v>
      </c>
      <c r="C9" s="3" t="s">
        <v>127</v>
      </c>
      <c r="D9" s="3" t="s">
        <v>11</v>
      </c>
      <c r="E9" s="52" t="s">
        <v>116</v>
      </c>
      <c r="F9" s="80" t="s">
        <v>132</v>
      </c>
      <c r="G9" s="77">
        <f>Instructions!B9</f>
        <v>750000</v>
      </c>
    </row>
    <row r="10" spans="1:7" x14ac:dyDescent="0.4">
      <c r="A10" s="19" t="s">
        <v>7</v>
      </c>
      <c r="B10" s="43">
        <v>0</v>
      </c>
      <c r="C10" s="41"/>
      <c r="D10" s="43">
        <v>0</v>
      </c>
      <c r="E10" s="53"/>
    </row>
    <row r="11" spans="1:7" ht="48" x14ac:dyDescent="0.4">
      <c r="A11" s="19" t="s">
        <v>6</v>
      </c>
      <c r="B11" s="88">
        <f>G9*G8+G19*G20*G28*G13</f>
        <v>390845609.29804671</v>
      </c>
      <c r="C11" s="83">
        <f>G34</f>
        <v>0.5</v>
      </c>
      <c r="D11" s="43">
        <f>B11*C11</f>
        <v>195422804.64902335</v>
      </c>
      <c r="E11" s="53" t="s">
        <v>117</v>
      </c>
      <c r="F11" s="74" t="s">
        <v>136</v>
      </c>
      <c r="G11" s="75"/>
    </row>
    <row r="12" spans="1:7" ht="32" x14ac:dyDescent="0.4">
      <c r="A12" s="19" t="s">
        <v>5</v>
      </c>
      <c r="B12" s="88">
        <f>G4*G5</f>
        <v>118000000</v>
      </c>
      <c r="C12" s="83">
        <f>G37</f>
        <v>0.10606601717798211</v>
      </c>
      <c r="D12" s="43">
        <f>B12*C12</f>
        <v>12515790.027001889</v>
      </c>
      <c r="E12" s="53" t="s">
        <v>118</v>
      </c>
      <c r="F12" s="76" t="s">
        <v>89</v>
      </c>
      <c r="G12" s="81">
        <f>DATE(2026,4,24)</f>
        <v>46136</v>
      </c>
    </row>
    <row r="13" spans="1:7" x14ac:dyDescent="0.4">
      <c r="A13" s="19" t="s">
        <v>14</v>
      </c>
      <c r="B13" s="43">
        <v>0</v>
      </c>
      <c r="C13" s="41"/>
      <c r="D13" s="43">
        <v>0</v>
      </c>
      <c r="E13" s="53"/>
      <c r="F13" s="82" t="s">
        <v>90</v>
      </c>
      <c r="G13" s="79">
        <f>Instructions!B8</f>
        <v>422</v>
      </c>
    </row>
    <row r="14" spans="1:7" x14ac:dyDescent="0.4">
      <c r="A14" s="64" t="s">
        <v>10</v>
      </c>
      <c r="B14" s="44">
        <f>SUM(B10:B13)</f>
        <v>508845609.29804671</v>
      </c>
      <c r="C14" s="42"/>
      <c r="D14" s="44">
        <f>SUM(D10:D13)</f>
        <v>207938594.67602524</v>
      </c>
      <c r="E14" s="54" t="s">
        <v>119</v>
      </c>
      <c r="F14" s="82" t="s">
        <v>91</v>
      </c>
      <c r="G14" s="79">
        <f>Instructions!B13</f>
        <v>390</v>
      </c>
    </row>
    <row r="15" spans="1:7" x14ac:dyDescent="0.4">
      <c r="A15" s="59"/>
      <c r="E15" s="51"/>
      <c r="F15" s="82" t="s">
        <v>92</v>
      </c>
      <c r="G15" s="81">
        <f>Instructions!B14</f>
        <v>46311</v>
      </c>
    </row>
    <row r="16" spans="1:7" x14ac:dyDescent="0.4">
      <c r="A16" s="63" t="s">
        <v>8</v>
      </c>
      <c r="B16" s="3" t="s">
        <v>0</v>
      </c>
      <c r="C16" s="3"/>
      <c r="D16" s="3" t="s">
        <v>11</v>
      </c>
      <c r="E16" s="54" t="s">
        <v>116</v>
      </c>
      <c r="F16" s="80" t="s">
        <v>93</v>
      </c>
      <c r="G16" s="78">
        <f>(G15-G12)/365</f>
        <v>0.47945205479452052</v>
      </c>
    </row>
    <row r="17" spans="1:7" ht="32" x14ac:dyDescent="0.4">
      <c r="A17" s="19" t="s">
        <v>6</v>
      </c>
      <c r="B17" s="88">
        <f>G29*G17*G30</f>
        <v>8301418.1378816878</v>
      </c>
      <c r="C17" s="83">
        <f>G35</f>
        <v>0.77780000000000005</v>
      </c>
      <c r="D17" s="43">
        <f>B17*C17</f>
        <v>6456843.0276443772</v>
      </c>
      <c r="E17" s="53" t="s">
        <v>120</v>
      </c>
      <c r="F17" s="82" t="s">
        <v>94</v>
      </c>
      <c r="G17" s="83">
        <f>Instructions!B15</f>
        <v>0.32919999999999999</v>
      </c>
    </row>
    <row r="18" spans="1:7" x14ac:dyDescent="0.4">
      <c r="A18" s="19" t="s">
        <v>5</v>
      </c>
      <c r="B18" s="43">
        <v>0</v>
      </c>
      <c r="C18" s="41"/>
      <c r="D18" s="43">
        <v>0</v>
      </c>
      <c r="E18" s="53"/>
      <c r="F18" s="82" t="s">
        <v>95</v>
      </c>
      <c r="G18" s="83">
        <f>Instructions!B16</f>
        <v>3.7100000000000001E-2</v>
      </c>
    </row>
    <row r="19" spans="1:7" x14ac:dyDescent="0.4">
      <c r="A19" s="19" t="s">
        <v>7</v>
      </c>
      <c r="B19" s="43">
        <v>0</v>
      </c>
      <c r="C19" s="41"/>
      <c r="D19" s="43">
        <v>0</v>
      </c>
      <c r="E19" s="53"/>
      <c r="F19" s="82" t="s">
        <v>96</v>
      </c>
      <c r="G19" s="77">
        <f>Instructions!B12</f>
        <v>2500</v>
      </c>
    </row>
    <row r="20" spans="1:7" x14ac:dyDescent="0.4">
      <c r="A20" s="64" t="s">
        <v>10</v>
      </c>
      <c r="B20" s="44">
        <f>SUM(B17:B19)</f>
        <v>8301418.1378816878</v>
      </c>
      <c r="C20" s="42"/>
      <c r="D20" s="44">
        <f>SUM(D17:D19)</f>
        <v>6456843.0276443772</v>
      </c>
      <c r="E20" s="54" t="s">
        <v>121</v>
      </c>
      <c r="F20" s="82" t="s">
        <v>97</v>
      </c>
      <c r="G20" s="77">
        <v>100</v>
      </c>
    </row>
    <row r="21" spans="1:7" x14ac:dyDescent="0.4">
      <c r="A21" s="59"/>
      <c r="E21" s="51"/>
    </row>
    <row r="22" spans="1:7" x14ac:dyDescent="0.4">
      <c r="A22" s="63" t="s">
        <v>85</v>
      </c>
      <c r="B22" s="3" t="s">
        <v>77</v>
      </c>
      <c r="C22" s="3"/>
      <c r="D22" s="3" t="s">
        <v>86</v>
      </c>
      <c r="E22" s="52" t="s">
        <v>116</v>
      </c>
      <c r="F22" s="84" t="s">
        <v>137</v>
      </c>
      <c r="G22" s="75"/>
    </row>
    <row r="23" spans="1:7" ht="48" x14ac:dyDescent="0.4">
      <c r="A23" s="19" t="s">
        <v>6</v>
      </c>
      <c r="B23" s="88">
        <f>-((G9*G40+G19*G20*G42)-(G9*G13+G19*G20*G27)-C23*B11)</f>
        <v>-10635359.186062455</v>
      </c>
      <c r="C23" s="83">
        <f>G36</f>
        <v>0.5</v>
      </c>
      <c r="D23" s="88">
        <f>-((G9*G41+G19*G20*G43)-(G9*G13+G19*G20*G27)+C23*B11)</f>
        <v>-22398996.16957745</v>
      </c>
      <c r="E23" s="53" t="s">
        <v>122</v>
      </c>
      <c r="F23" s="76" t="s">
        <v>100</v>
      </c>
      <c r="G23" s="78">
        <f>(LN(G13/G14)+(G18+G17^2/2)*G16)/(G17*SQRT(G16))</f>
        <v>0.53796014631075484</v>
      </c>
    </row>
    <row r="24" spans="1:7" x14ac:dyDescent="0.4">
      <c r="A24" s="19" t="s">
        <v>5</v>
      </c>
      <c r="B24" s="43">
        <v>0</v>
      </c>
      <c r="C24" s="41"/>
      <c r="D24" s="43">
        <v>0</v>
      </c>
      <c r="E24" s="53"/>
      <c r="F24" s="82" t="s">
        <v>101</v>
      </c>
      <c r="G24" s="78">
        <f>G23-G17*SQRT(G16)</f>
        <v>0.31001391376565035</v>
      </c>
    </row>
    <row r="25" spans="1:7" x14ac:dyDescent="0.4">
      <c r="A25" s="19" t="s">
        <v>7</v>
      </c>
      <c r="B25" s="43">
        <v>0</v>
      </c>
      <c r="C25" s="41"/>
      <c r="D25" s="43">
        <v>0</v>
      </c>
      <c r="E25" s="53"/>
      <c r="F25" s="82" t="s">
        <v>102</v>
      </c>
      <c r="G25" s="78">
        <f>_xlfn.NORM.S.DIST(G23,TRUE)</f>
        <v>0.70469771846489793</v>
      </c>
    </row>
    <row r="26" spans="1:7" x14ac:dyDescent="0.4">
      <c r="A26" s="64" t="s">
        <v>10</v>
      </c>
      <c r="B26" s="44">
        <f>SUM(B23:B25)</f>
        <v>-10635359.186062455</v>
      </c>
      <c r="C26" s="42"/>
      <c r="D26" s="44">
        <f>SUM(D23:D25)</f>
        <v>-22398996.16957745</v>
      </c>
      <c r="E26" s="54" t="s">
        <v>123</v>
      </c>
      <c r="F26" s="82" t="s">
        <v>103</v>
      </c>
      <c r="G26" s="78">
        <f>_xlfn.NORM.S.DIST(G24,TRUE)</f>
        <v>0.62172481219100384</v>
      </c>
    </row>
    <row r="27" spans="1:7" x14ac:dyDescent="0.4">
      <c r="A27" s="65"/>
      <c r="B27" s="5"/>
      <c r="C27" s="5"/>
      <c r="D27" s="5"/>
      <c r="E27" s="52"/>
      <c r="F27" s="82" t="s">
        <v>104</v>
      </c>
      <c r="G27" s="85">
        <f>G13*G25-G14*EXP(-G18*G16)*G26</f>
        <v>59.184651799226572</v>
      </c>
    </row>
    <row r="28" spans="1:7" x14ac:dyDescent="0.4">
      <c r="A28" s="59"/>
      <c r="E28" s="51"/>
      <c r="F28" s="82" t="s">
        <v>105</v>
      </c>
      <c r="G28" s="78">
        <f>G25</f>
        <v>0.70469771846489793</v>
      </c>
    </row>
    <row r="29" spans="1:7" x14ac:dyDescent="0.4">
      <c r="A29" s="62" t="s">
        <v>13</v>
      </c>
      <c r="E29" s="51"/>
      <c r="F29" s="82" t="s">
        <v>106</v>
      </c>
      <c r="G29" s="85">
        <f>G13*_xlfn.NORM.S.DIST(G23,FALSE)*SQRT(G16)</f>
        <v>100.86777810305819</v>
      </c>
    </row>
    <row r="30" spans="1:7" x14ac:dyDescent="0.4">
      <c r="A30" s="59"/>
      <c r="E30" s="51"/>
      <c r="F30" s="82" t="s">
        <v>107</v>
      </c>
      <c r="G30" s="77">
        <f>G19*G20</f>
        <v>250000</v>
      </c>
    </row>
    <row r="31" spans="1:7" ht="32" x14ac:dyDescent="0.4">
      <c r="A31" s="66" t="s">
        <v>87</v>
      </c>
      <c r="B31" s="46">
        <f>ABS(D12)+ABS(D18)+MAX(B24,D24,0)</f>
        <v>12515790.027001889</v>
      </c>
      <c r="C31" s="47"/>
      <c r="D31" s="45"/>
      <c r="E31" s="55" t="s">
        <v>124</v>
      </c>
      <c r="F31" s="82" t="s">
        <v>108</v>
      </c>
      <c r="G31" s="86">
        <f>G27*G30</f>
        <v>14796162.949806644</v>
      </c>
    </row>
    <row r="32" spans="1:7" x14ac:dyDescent="0.4">
      <c r="A32" s="59"/>
      <c r="E32" s="51"/>
    </row>
    <row r="33" spans="1:7" x14ac:dyDescent="0.4">
      <c r="A33" s="59"/>
      <c r="E33" s="51"/>
      <c r="F33" s="74" t="s">
        <v>133</v>
      </c>
      <c r="G33" s="75"/>
    </row>
    <row r="34" spans="1:7" ht="32" x14ac:dyDescent="0.4">
      <c r="A34" s="66" t="s">
        <v>88</v>
      </c>
      <c r="B34" s="46">
        <f>ABS(D11)+ABS(D17)+MAX(B23,D23,0)</f>
        <v>201879647.67666772</v>
      </c>
      <c r="C34" s="47"/>
      <c r="D34" s="45"/>
      <c r="E34" s="55" t="s">
        <v>125</v>
      </c>
      <c r="F34" s="76" t="s">
        <v>134</v>
      </c>
      <c r="G34" s="87">
        <f>Parameters!K14</f>
        <v>0.5</v>
      </c>
    </row>
    <row r="35" spans="1:7" x14ac:dyDescent="0.4">
      <c r="A35" s="59"/>
      <c r="E35" s="51"/>
      <c r="F35" s="76" t="s">
        <v>109</v>
      </c>
      <c r="G35" s="83">
        <f>Parameters!D45</f>
        <v>0.77780000000000005</v>
      </c>
    </row>
    <row r="36" spans="1:7" x14ac:dyDescent="0.4">
      <c r="A36" s="59"/>
      <c r="E36" s="51"/>
      <c r="F36" s="76" t="s">
        <v>110</v>
      </c>
      <c r="G36" s="87">
        <f>G34</f>
        <v>0.5</v>
      </c>
    </row>
    <row r="37" spans="1:7" ht="17" x14ac:dyDescent="0.4">
      <c r="A37" s="67" t="s">
        <v>3</v>
      </c>
      <c r="B37" s="49">
        <f>B31+B34</f>
        <v>214395437.70366961</v>
      </c>
      <c r="C37" s="50"/>
      <c r="D37" s="48"/>
      <c r="E37" s="56" t="s">
        <v>126</v>
      </c>
      <c r="F37" s="76" t="s">
        <v>111</v>
      </c>
      <c r="G37" s="83">
        <f>Parameters!C36</f>
        <v>0.10606601717798211</v>
      </c>
    </row>
    <row r="39" spans="1:7" x14ac:dyDescent="0.4">
      <c r="F39" s="74" t="s">
        <v>135</v>
      </c>
      <c r="G39" s="75"/>
    </row>
    <row r="40" spans="1:7" x14ac:dyDescent="0.4">
      <c r="F40" s="76" t="s">
        <v>112</v>
      </c>
      <c r="G40" s="79">
        <f>G13*(1+G34)</f>
        <v>633</v>
      </c>
    </row>
    <row r="41" spans="1:7" x14ac:dyDescent="0.4">
      <c r="F41" s="76" t="s">
        <v>113</v>
      </c>
      <c r="G41" s="79">
        <f>G13*(1-G34)</f>
        <v>211</v>
      </c>
    </row>
    <row r="42" spans="1:7" x14ac:dyDescent="0.4">
      <c r="F42" s="76" t="s">
        <v>114</v>
      </c>
      <c r="G42" s="85">
        <f>G40*_xlfn.NORM.S.DIST((LN(G40/G14)+(G18+G17^2/2)*G16)/(G17*SQRT(G16)),TRUE)-G14*EXP(-G18*G16)*_xlfn.NORM.S.DIST((LN(G40/G14)+(G18+G17^2/2)*G16)/(G17*SQRT(G16))-G17*SQRT(G16),TRUE)</f>
        <v>250.41730713956969</v>
      </c>
    </row>
    <row r="43" spans="1:7" x14ac:dyDescent="0.4">
      <c r="F43" s="76" t="s">
        <v>115</v>
      </c>
      <c r="G43" s="85">
        <f>G41*_xlfn.NORM.S.DIST((LN(G41/G14)+(G18+G17^2/2)*G16)/(G17*SQRT(G16)),TRUE)-G14*EXP(-G18*G16)*_xlfn.NORM.S.DIST((LN(G41/G14)+(G18+G17^2/2)*G16)/(G17*SQRT(G16))-G17*SQRT(G16),TRUE)</f>
        <v>8.9417881442905855E-2</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EF27-A03F-7D4B-9DE2-C579F7F52F82}">
  <dimension ref="A2:P48"/>
  <sheetViews>
    <sheetView topLeftCell="A36" zoomScale="85" zoomScaleNormal="85" workbookViewId="0">
      <selection activeCell="D45" sqref="D45"/>
    </sheetView>
  </sheetViews>
  <sheetFormatPr defaultColWidth="10.6640625" defaultRowHeight="16" x14ac:dyDescent="0.4"/>
  <cols>
    <col min="1" max="1" width="2.6640625" customWidth="1"/>
    <col min="2" max="2" width="13.1640625" bestFit="1" customWidth="1"/>
    <col min="3" max="3" width="16.83203125" customWidth="1"/>
    <col min="4" max="4" width="38.1640625" customWidth="1"/>
    <col min="7" max="7" width="13.1640625" bestFit="1" customWidth="1"/>
    <col min="10" max="10" width="38.5" customWidth="1"/>
    <col min="14" max="14" width="46.1640625" customWidth="1"/>
  </cols>
  <sheetData>
    <row r="2" spans="1:14" x14ac:dyDescent="0.4">
      <c r="A2" s="5" t="s">
        <v>64</v>
      </c>
      <c r="B2" s="5" t="s">
        <v>65</v>
      </c>
    </row>
    <row r="4" spans="1:14" x14ac:dyDescent="0.4">
      <c r="B4" s="5" t="s">
        <v>26</v>
      </c>
      <c r="G4" s="5" t="s">
        <v>6</v>
      </c>
    </row>
    <row r="5" spans="1:14" x14ac:dyDescent="0.4">
      <c r="B5" s="5"/>
      <c r="M5" s="5" t="s">
        <v>5</v>
      </c>
    </row>
    <row r="6" spans="1:14" ht="48" x14ac:dyDescent="0.4">
      <c r="B6" s="21" t="s">
        <v>27</v>
      </c>
      <c r="C6" s="22" t="s">
        <v>28</v>
      </c>
      <c r="D6" s="22" t="s">
        <v>29</v>
      </c>
      <c r="E6" s="23" t="s">
        <v>1</v>
      </c>
      <c r="G6" s="21" t="s">
        <v>27</v>
      </c>
      <c r="H6" s="22" t="s">
        <v>40</v>
      </c>
      <c r="I6" s="22" t="s">
        <v>41</v>
      </c>
      <c r="J6" s="22" t="s">
        <v>29</v>
      </c>
      <c r="K6" s="24" t="s">
        <v>43</v>
      </c>
    </row>
    <row r="7" spans="1:14" ht="80" customHeight="1" x14ac:dyDescent="0.4">
      <c r="B7" s="14">
        <v>1</v>
      </c>
      <c r="C7" s="68" t="s">
        <v>30</v>
      </c>
      <c r="D7" s="17" t="s">
        <v>31</v>
      </c>
      <c r="E7" s="25">
        <v>5.0000000000000001E-3</v>
      </c>
      <c r="G7" s="14">
        <v>1</v>
      </c>
      <c r="H7" s="71" t="s">
        <v>45</v>
      </c>
      <c r="I7" s="71" t="s">
        <v>44</v>
      </c>
      <c r="J7" s="17" t="s">
        <v>42</v>
      </c>
      <c r="K7" s="27">
        <v>0.55000000000000004</v>
      </c>
      <c r="N7" s="13" t="s">
        <v>50</v>
      </c>
    </row>
    <row r="8" spans="1:14" ht="192" x14ac:dyDescent="0.4">
      <c r="B8" s="15">
        <v>2</v>
      </c>
      <c r="C8" s="69"/>
      <c r="D8" s="17" t="s">
        <v>32</v>
      </c>
      <c r="E8" s="25">
        <v>0.01</v>
      </c>
      <c r="G8" s="15">
        <v>2</v>
      </c>
      <c r="H8" s="71"/>
      <c r="I8" s="71"/>
      <c r="J8" s="26" t="s">
        <v>47</v>
      </c>
      <c r="K8" s="27">
        <v>0.6</v>
      </c>
      <c r="N8" s="28" t="s">
        <v>51</v>
      </c>
    </row>
    <row r="9" spans="1:14" ht="48" x14ac:dyDescent="0.4">
      <c r="B9" s="15">
        <v>3</v>
      </c>
      <c r="C9" s="69"/>
      <c r="D9" s="17" t="s">
        <v>33</v>
      </c>
      <c r="E9" s="25">
        <v>0.05</v>
      </c>
      <c r="G9" s="15">
        <v>3</v>
      </c>
      <c r="H9" s="71"/>
      <c r="I9" s="71"/>
      <c r="J9" s="4" t="s">
        <v>48</v>
      </c>
      <c r="K9" s="27">
        <v>0.45</v>
      </c>
    </row>
    <row r="10" spans="1:14" ht="48" x14ac:dyDescent="0.4">
      <c r="B10" s="15">
        <v>4</v>
      </c>
      <c r="C10" s="69"/>
      <c r="D10" s="17" t="s">
        <v>34</v>
      </c>
      <c r="E10" s="25">
        <v>0.03</v>
      </c>
      <c r="G10" s="15">
        <v>4</v>
      </c>
      <c r="H10" s="71"/>
      <c r="I10" s="71"/>
      <c r="J10" s="4" t="s">
        <v>49</v>
      </c>
      <c r="K10" s="27">
        <v>0.55000000000000004</v>
      </c>
    </row>
    <row r="11" spans="1:14" ht="80" x14ac:dyDescent="0.4">
      <c r="B11" s="15">
        <v>5</v>
      </c>
      <c r="C11" s="69"/>
      <c r="D11" s="17" t="s">
        <v>35</v>
      </c>
      <c r="E11" s="25">
        <v>0.03</v>
      </c>
      <c r="G11" s="15">
        <v>5</v>
      </c>
      <c r="H11" s="71"/>
      <c r="I11" s="71" t="s">
        <v>46</v>
      </c>
      <c r="J11" s="17" t="s">
        <v>42</v>
      </c>
      <c r="K11" s="27">
        <v>0.3</v>
      </c>
    </row>
    <row r="12" spans="1:14" ht="32" x14ac:dyDescent="0.4">
      <c r="B12" s="15">
        <v>6</v>
      </c>
      <c r="C12" s="69"/>
      <c r="D12" s="17" t="s">
        <v>36</v>
      </c>
      <c r="E12" s="25">
        <v>0.02</v>
      </c>
      <c r="G12" s="15">
        <v>6</v>
      </c>
      <c r="H12" s="71"/>
      <c r="I12" s="71"/>
      <c r="J12" s="4" t="s">
        <v>47</v>
      </c>
      <c r="K12" s="27">
        <v>0.35</v>
      </c>
    </row>
    <row r="13" spans="1:14" ht="48" x14ac:dyDescent="0.4">
      <c r="B13" s="15">
        <v>7</v>
      </c>
      <c r="C13" s="69"/>
      <c r="D13" s="17" t="s">
        <v>37</v>
      </c>
      <c r="E13" s="25">
        <v>1.4999999999999999E-2</v>
      </c>
      <c r="G13" s="15">
        <v>7</v>
      </c>
      <c r="H13" s="71"/>
      <c r="I13" s="71"/>
      <c r="J13" s="4" t="s">
        <v>48</v>
      </c>
      <c r="K13" s="27">
        <v>0.4</v>
      </c>
    </row>
    <row r="14" spans="1:14" ht="48" x14ac:dyDescent="0.4">
      <c r="B14" s="15">
        <v>8</v>
      </c>
      <c r="C14" s="70"/>
      <c r="D14" s="17" t="s">
        <v>38</v>
      </c>
      <c r="E14" s="25">
        <v>1.4999999999999999E-2</v>
      </c>
      <c r="G14" s="15">
        <v>8</v>
      </c>
      <c r="H14" s="71"/>
      <c r="I14" s="71"/>
      <c r="J14" s="4" t="s">
        <v>49</v>
      </c>
      <c r="K14" s="27">
        <v>0.5</v>
      </c>
    </row>
    <row r="17" spans="2:16" x14ac:dyDescent="0.4">
      <c r="M17" s="11"/>
    </row>
    <row r="18" spans="2:16" x14ac:dyDescent="0.4">
      <c r="B18" s="5" t="s">
        <v>14</v>
      </c>
      <c r="M18" s="11"/>
    </row>
    <row r="19" spans="2:16" ht="16" customHeight="1" x14ac:dyDescent="0.4">
      <c r="B19" s="5"/>
      <c r="F19" s="16" t="s">
        <v>25</v>
      </c>
      <c r="H19" s="72" t="s">
        <v>55</v>
      </c>
      <c r="I19" s="72"/>
      <c r="J19" s="72"/>
      <c r="K19" s="72"/>
      <c r="L19" s="72"/>
      <c r="M19" s="72"/>
    </row>
    <row r="20" spans="2:16" x14ac:dyDescent="0.4">
      <c r="B20" s="23" t="s">
        <v>39</v>
      </c>
      <c r="C20" s="23" t="s">
        <v>1</v>
      </c>
      <c r="D20" s="23" t="s">
        <v>54</v>
      </c>
    </row>
    <row r="21" spans="2:16" x14ac:dyDescent="0.4">
      <c r="B21" s="18" t="s">
        <v>20</v>
      </c>
      <c r="C21" s="29">
        <v>1.7000000000000001E-2</v>
      </c>
      <c r="D21" s="30">
        <f>C21/SQRT(2)</f>
        <v>1.2020815280171309E-2</v>
      </c>
      <c r="G21" s="6" t="s">
        <v>20</v>
      </c>
      <c r="H21" s="6" t="s">
        <v>16</v>
      </c>
      <c r="I21" s="6" t="s">
        <v>15</v>
      </c>
      <c r="J21" s="6" t="s">
        <v>21</v>
      </c>
      <c r="K21" s="6" t="s">
        <v>17</v>
      </c>
      <c r="L21" s="6" t="s">
        <v>18</v>
      </c>
      <c r="M21" s="6" t="s">
        <v>19</v>
      </c>
      <c r="N21" s="6" t="s">
        <v>22</v>
      </c>
      <c r="O21" s="6" t="s">
        <v>24</v>
      </c>
      <c r="P21" s="6" t="s">
        <v>23</v>
      </c>
    </row>
    <row r="22" spans="2:16" x14ac:dyDescent="0.4">
      <c r="B22" s="15" t="s">
        <v>16</v>
      </c>
      <c r="C22" s="29">
        <v>1.7000000000000001E-2</v>
      </c>
      <c r="D22" s="30">
        <f t="shared" ref="D22:D30" si="0">C22/SQRT(2)</f>
        <v>1.2020815280171309E-2</v>
      </c>
      <c r="F22" s="6" t="s">
        <v>20</v>
      </c>
      <c r="G22" s="1">
        <v>1</v>
      </c>
      <c r="H22" s="1">
        <v>0.97</v>
      </c>
      <c r="I22" s="2">
        <v>0.91400000000000003</v>
      </c>
      <c r="J22" s="2">
        <v>0.81100000000000005</v>
      </c>
      <c r="K22" s="2">
        <v>0.71899999999999997</v>
      </c>
      <c r="L22" s="2">
        <v>0.56599999999999995</v>
      </c>
      <c r="M22" s="1">
        <v>0.4</v>
      </c>
      <c r="N22" s="1">
        <v>0.4</v>
      </c>
      <c r="O22" s="1">
        <v>0.4</v>
      </c>
      <c r="P22" s="1">
        <v>0.4</v>
      </c>
    </row>
    <row r="23" spans="2:16" x14ac:dyDescent="0.4">
      <c r="B23" s="15" t="s">
        <v>15</v>
      </c>
      <c r="C23" s="29">
        <v>1.6E-2</v>
      </c>
      <c r="D23" s="30">
        <f t="shared" si="0"/>
        <v>1.131370849898476E-2</v>
      </c>
      <c r="F23" s="7" t="s">
        <v>16</v>
      </c>
      <c r="G23" s="9"/>
      <c r="H23" s="1">
        <v>1</v>
      </c>
      <c r="I23" s="1">
        <v>0.97</v>
      </c>
      <c r="J23" s="2">
        <v>0.91400000000000003</v>
      </c>
      <c r="K23" s="2">
        <v>0.86099999999999999</v>
      </c>
      <c r="L23" s="2">
        <v>0.76300000000000001</v>
      </c>
      <c r="M23" s="2">
        <v>0.56599999999999995</v>
      </c>
      <c r="N23" s="2">
        <v>0.41899999999999998</v>
      </c>
      <c r="O23" s="1">
        <v>0.4</v>
      </c>
      <c r="P23" s="1">
        <v>0.4</v>
      </c>
    </row>
    <row r="24" spans="2:16" x14ac:dyDescent="0.4">
      <c r="B24" s="15" t="s">
        <v>21</v>
      </c>
      <c r="C24" s="29">
        <v>1.2999999999999999E-2</v>
      </c>
      <c r="D24" s="30">
        <f t="shared" si="0"/>
        <v>9.1923881554251165E-3</v>
      </c>
      <c r="F24" s="7" t="s">
        <v>15</v>
      </c>
      <c r="G24" s="9"/>
      <c r="H24" s="10"/>
      <c r="I24" s="1">
        <v>1</v>
      </c>
      <c r="J24" s="8">
        <v>0.97</v>
      </c>
      <c r="K24" s="2">
        <v>0.94199999999999995</v>
      </c>
      <c r="L24" s="2">
        <v>0.88700000000000001</v>
      </c>
      <c r="M24" s="2">
        <v>0.76300000000000001</v>
      </c>
      <c r="N24" s="2">
        <v>0.65700000000000003</v>
      </c>
      <c r="O24" s="2">
        <v>0.56599999999999995</v>
      </c>
      <c r="P24" s="2">
        <v>0.41899999999999998</v>
      </c>
    </row>
    <row r="25" spans="2:16" x14ac:dyDescent="0.4">
      <c r="B25" s="15" t="s">
        <v>17</v>
      </c>
      <c r="C25" s="29">
        <v>1.2E-2</v>
      </c>
      <c r="D25" s="30">
        <f t="shared" si="0"/>
        <v>8.4852813742385697E-3</v>
      </c>
      <c r="F25" s="7" t="s">
        <v>21</v>
      </c>
      <c r="G25" s="9"/>
      <c r="H25" s="10"/>
      <c r="I25" s="10"/>
      <c r="J25" s="1">
        <v>1</v>
      </c>
      <c r="K25" s="2">
        <v>0.98499999999999999</v>
      </c>
      <c r="L25" s="2">
        <v>0.95599999999999996</v>
      </c>
      <c r="M25" s="2">
        <v>0.88700000000000001</v>
      </c>
      <c r="N25" s="2">
        <v>0.82299999999999995</v>
      </c>
      <c r="O25" s="2">
        <v>0.76300000000000001</v>
      </c>
      <c r="P25" s="2">
        <v>0.65700000000000003</v>
      </c>
    </row>
    <row r="26" spans="2:16" x14ac:dyDescent="0.4">
      <c r="B26" s="15" t="s">
        <v>18</v>
      </c>
      <c r="C26" s="29">
        <v>1.0999999999999999E-2</v>
      </c>
      <c r="D26" s="30">
        <f t="shared" si="0"/>
        <v>7.7781745930520221E-3</v>
      </c>
      <c r="F26" s="7" t="s">
        <v>17</v>
      </c>
      <c r="G26" s="9"/>
      <c r="H26" s="10"/>
      <c r="I26" s="10"/>
      <c r="J26" s="10"/>
      <c r="K26" s="1">
        <v>1</v>
      </c>
      <c r="L26" s="2">
        <v>0.98</v>
      </c>
      <c r="M26" s="2">
        <v>0.93200000000000005</v>
      </c>
      <c r="N26" s="2">
        <v>0.88700000000000001</v>
      </c>
      <c r="O26" s="2">
        <v>0.84399999999999997</v>
      </c>
      <c r="P26" s="2">
        <v>0.76300000000000001</v>
      </c>
    </row>
    <row r="27" spans="2:16" x14ac:dyDescent="0.4">
      <c r="B27" s="15" t="s">
        <v>19</v>
      </c>
      <c r="C27" s="29">
        <v>1.0999999999999999E-2</v>
      </c>
      <c r="D27" s="30">
        <f t="shared" si="0"/>
        <v>7.7781745930520221E-3</v>
      </c>
      <c r="F27" s="7" t="s">
        <v>18</v>
      </c>
      <c r="G27" s="9"/>
      <c r="H27" s="10"/>
      <c r="I27" s="10"/>
      <c r="J27" s="10"/>
      <c r="K27" s="10"/>
      <c r="L27" s="1">
        <v>1</v>
      </c>
      <c r="M27" s="2">
        <v>0.97</v>
      </c>
      <c r="N27" s="2">
        <v>0.94199999999999995</v>
      </c>
      <c r="O27" s="2">
        <v>0.91400000000000003</v>
      </c>
      <c r="P27" s="2">
        <v>0.86099999999999999</v>
      </c>
    </row>
    <row r="28" spans="2:16" x14ac:dyDescent="0.4">
      <c r="B28" s="15" t="s">
        <v>22</v>
      </c>
      <c r="C28" s="29">
        <v>1.0999999999999999E-2</v>
      </c>
      <c r="D28" s="30">
        <f t="shared" si="0"/>
        <v>7.7781745930520221E-3</v>
      </c>
      <c r="F28" s="7" t="s">
        <v>19</v>
      </c>
      <c r="G28" s="9"/>
      <c r="H28" s="10"/>
      <c r="I28" s="10"/>
      <c r="J28" s="10"/>
      <c r="K28" s="10"/>
      <c r="L28" s="10"/>
      <c r="M28" s="1">
        <v>1</v>
      </c>
      <c r="N28" s="2">
        <v>0.98499999999999999</v>
      </c>
      <c r="O28" s="2">
        <v>0.97</v>
      </c>
      <c r="P28" s="2">
        <v>0.94199999999999995</v>
      </c>
    </row>
    <row r="29" spans="2:16" x14ac:dyDescent="0.4">
      <c r="B29" s="15" t="s">
        <v>24</v>
      </c>
      <c r="C29" s="29">
        <v>1.0999999999999999E-2</v>
      </c>
      <c r="D29" s="30">
        <f t="shared" si="0"/>
        <v>7.7781745930520221E-3</v>
      </c>
      <c r="F29" s="7" t="s">
        <v>22</v>
      </c>
      <c r="G29" s="9"/>
      <c r="H29" s="10"/>
      <c r="I29" s="10"/>
      <c r="J29" s="10"/>
      <c r="K29" s="10"/>
      <c r="L29" s="10"/>
      <c r="M29" s="10"/>
      <c r="N29" s="1">
        <v>1</v>
      </c>
      <c r="O29" s="2">
        <v>0.99</v>
      </c>
      <c r="P29" s="2">
        <v>0.97</v>
      </c>
    </row>
    <row r="30" spans="2:16" x14ac:dyDescent="0.4">
      <c r="B30" s="15" t="s">
        <v>23</v>
      </c>
      <c r="C30" s="29">
        <v>1.0999999999999999E-2</v>
      </c>
      <c r="D30" s="30">
        <f t="shared" si="0"/>
        <v>7.7781745930520221E-3</v>
      </c>
      <c r="F30" s="7" t="s">
        <v>24</v>
      </c>
      <c r="G30" s="9"/>
      <c r="H30" s="10"/>
      <c r="I30" s="10"/>
      <c r="J30" s="10"/>
      <c r="K30" s="10"/>
      <c r="L30" s="10"/>
      <c r="M30" s="10"/>
      <c r="N30" s="10"/>
      <c r="O30" s="1">
        <v>1</v>
      </c>
      <c r="P30" s="2">
        <v>0.98499999999999999</v>
      </c>
    </row>
    <row r="31" spans="2:16" ht="112" x14ac:dyDescent="0.4">
      <c r="D31" s="12" t="s">
        <v>53</v>
      </c>
      <c r="F31" s="7" t="s">
        <v>23</v>
      </c>
      <c r="G31" s="9"/>
      <c r="H31" s="10"/>
      <c r="I31" s="10"/>
      <c r="J31" s="10"/>
      <c r="K31" s="10"/>
      <c r="L31" s="10"/>
      <c r="M31" s="10"/>
      <c r="N31" s="10"/>
      <c r="O31" s="10"/>
      <c r="P31" s="1">
        <v>1</v>
      </c>
    </row>
    <row r="33" spans="1:16" x14ac:dyDescent="0.4">
      <c r="G33" s="32"/>
      <c r="P33" s="1"/>
    </row>
    <row r="34" spans="1:16" x14ac:dyDescent="0.4">
      <c r="B34" s="5" t="s">
        <v>5</v>
      </c>
      <c r="C34" s="5" t="s">
        <v>1</v>
      </c>
      <c r="F34" s="31"/>
      <c r="G34" s="32"/>
      <c r="P34" s="1"/>
    </row>
    <row r="35" spans="1:16" x14ac:dyDescent="0.4">
      <c r="C35" s="20">
        <v>0.15</v>
      </c>
      <c r="D35" t="s">
        <v>52</v>
      </c>
    </row>
    <row r="36" spans="1:16" ht="208" x14ac:dyDescent="0.4">
      <c r="C36" s="37">
        <f>C35/SQRT(2)</f>
        <v>0.10606601717798211</v>
      </c>
      <c r="D36" s="28" t="s">
        <v>51</v>
      </c>
    </row>
    <row r="38" spans="1:16" x14ac:dyDescent="0.4">
      <c r="A38" s="5" t="s">
        <v>64</v>
      </c>
      <c r="B38" s="5" t="s">
        <v>66</v>
      </c>
    </row>
    <row r="40" spans="1:16" x14ac:dyDescent="0.4">
      <c r="B40" s="3"/>
      <c r="C40" s="3" t="s">
        <v>67</v>
      </c>
      <c r="D40" s="3" t="s">
        <v>68</v>
      </c>
    </row>
    <row r="41" spans="1:16" x14ac:dyDescent="0.4">
      <c r="B41" s="15">
        <v>1</v>
      </c>
      <c r="C41" s="19" t="s">
        <v>69</v>
      </c>
      <c r="D41" s="39">
        <v>1</v>
      </c>
    </row>
    <row r="42" spans="1:16" ht="48" x14ac:dyDescent="0.4">
      <c r="B42" s="15">
        <v>2</v>
      </c>
      <c r="C42" s="17" t="s">
        <v>70</v>
      </c>
      <c r="D42" s="39">
        <v>1</v>
      </c>
    </row>
    <row r="43" spans="1:16" ht="48" x14ac:dyDescent="0.4">
      <c r="B43" s="15">
        <v>3</v>
      </c>
      <c r="C43" s="17" t="s">
        <v>72</v>
      </c>
      <c r="D43" s="39">
        <v>1</v>
      </c>
    </row>
    <row r="44" spans="1:16" ht="48" x14ac:dyDescent="0.4">
      <c r="B44" s="15">
        <v>4</v>
      </c>
      <c r="C44" s="17" t="s">
        <v>71</v>
      </c>
      <c r="D44" s="39">
        <v>1</v>
      </c>
    </row>
    <row r="45" spans="1:16" ht="48" x14ac:dyDescent="0.4">
      <c r="B45" s="15">
        <v>5</v>
      </c>
      <c r="C45" s="17" t="s">
        <v>73</v>
      </c>
      <c r="D45" s="29">
        <v>0.77780000000000005</v>
      </c>
    </row>
    <row r="46" spans="1:16" ht="48" x14ac:dyDescent="0.4">
      <c r="B46" s="15">
        <v>6</v>
      </c>
      <c r="C46" s="17" t="s">
        <v>74</v>
      </c>
      <c r="D46" s="39">
        <v>1</v>
      </c>
    </row>
    <row r="47" spans="1:16" x14ac:dyDescent="0.4">
      <c r="B47" s="15">
        <v>7</v>
      </c>
      <c r="C47" s="19" t="s">
        <v>75</v>
      </c>
      <c r="D47" s="39">
        <v>1</v>
      </c>
    </row>
    <row r="48" spans="1:16" ht="32" x14ac:dyDescent="0.4">
      <c r="B48" s="15">
        <v>8</v>
      </c>
      <c r="C48" s="17" t="s">
        <v>76</v>
      </c>
      <c r="D48" s="39">
        <v>1</v>
      </c>
    </row>
  </sheetData>
  <mergeCells count="5">
    <mergeCell ref="C7:C14"/>
    <mergeCell ref="H7:H14"/>
    <mergeCell ref="I7:I10"/>
    <mergeCell ref="I11:I14"/>
    <mergeCell ref="H19:M19"/>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Student's worksheet</vt: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Jiaojiao Li</dc:creator>
  <cp:lastModifiedBy>Yazad Madan</cp:lastModifiedBy>
  <dcterms:created xsi:type="dcterms:W3CDTF">2026-04-17T16:50:18Z</dcterms:created>
  <dcterms:modified xsi:type="dcterms:W3CDTF">2026-04-26T15:49:23Z</dcterms:modified>
</cp:coreProperties>
</file>