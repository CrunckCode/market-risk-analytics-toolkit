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_MQF\SEM2\Market Risk\PPT\Week7\"/>
    </mc:Choice>
  </mc:AlternateContent>
  <xr:revisionPtr revIDLastSave="0" documentId="8_{9052F6CF-4CAB-4B5D-B9B9-79CBD930E610}" xr6:coauthVersionLast="47" xr6:coauthVersionMax="47" xr10:uidLastSave="{00000000-0000-0000-0000-000000000000}"/>
  <bookViews>
    <workbookView xWindow="-96" yWindow="-96" windowWidth="23232" windowHeight="12432" tabRatio="500" activeTab="2" xr2:uid="{00000000-000D-0000-FFFF-FFFF00000000}"/>
  </bookViews>
  <sheets>
    <sheet name="Summary" sheetId="7" r:id="rId1"/>
    <sheet name="RF1 CreditSpread" sheetId="3" r:id="rId2"/>
    <sheet name="RF2 SP500" sheetId="4" r:id="rId3"/>
    <sheet name="RF3 EURUSD" sheetId="5"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0" i="7" l="1"/>
  <c r="D22" i="7"/>
  <c r="D21" i="7"/>
  <c r="D20" i="7"/>
  <c r="F19" i="7"/>
  <c r="D19" i="7"/>
  <c r="F18" i="7"/>
  <c r="D18" i="7"/>
  <c r="F17" i="7"/>
  <c r="D17" i="7"/>
  <c r="D16" i="7"/>
  <c r="D15" i="7"/>
  <c r="D14" i="7"/>
  <c r="M9" i="5"/>
  <c r="M262" i="5"/>
  <c r="M263" i="5"/>
  <c r="M264" i="5"/>
  <c r="M265" i="5"/>
  <c r="M268" i="5"/>
  <c r="M269" i="5"/>
  <c r="M270" i="5"/>
  <c r="M271" i="5"/>
  <c r="M272" i="5"/>
  <c r="M274" i="5"/>
  <c r="M282" i="5"/>
  <c r="M524" i="5"/>
  <c r="M527" i="5"/>
  <c r="M536" i="5"/>
  <c r="M537" i="5"/>
  <c r="M538" i="5"/>
  <c r="M539" i="5"/>
  <c r="M540" i="5"/>
  <c r="M541" i="5"/>
  <c r="M542" i="5"/>
  <c r="M543" i="5"/>
  <c r="M544" i="5"/>
  <c r="M545" i="5"/>
  <c r="M546" i="5"/>
  <c r="M548" i="5"/>
  <c r="M556" i="5"/>
  <c r="M605" i="5"/>
  <c r="M700" i="5"/>
  <c r="M9" i="4"/>
  <c r="M10" i="4"/>
  <c r="M22" i="4"/>
  <c r="M23" i="4"/>
  <c r="M183" i="4"/>
  <c r="M184" i="4"/>
  <c r="M262" i="4"/>
  <c r="M263" i="4"/>
  <c r="M264" i="4"/>
  <c r="M265" i="4"/>
  <c r="M266" i="4"/>
  <c r="M267" i="4"/>
  <c r="M270" i="4"/>
  <c r="M271" i="4"/>
  <c r="M272" i="4"/>
  <c r="M274" i="4"/>
  <c r="M282" i="4"/>
  <c r="M283" i="4"/>
  <c r="M301" i="4"/>
  <c r="M529" i="4"/>
  <c r="M535" i="4"/>
  <c r="M536" i="4"/>
  <c r="M537" i="4"/>
  <c r="M538" i="4"/>
  <c r="M539" i="4"/>
  <c r="M540" i="4"/>
  <c r="M541" i="4"/>
  <c r="M542" i="4"/>
  <c r="M543" i="4"/>
  <c r="M544" i="4"/>
  <c r="M545" i="4"/>
  <c r="M546" i="4"/>
  <c r="M548" i="4"/>
  <c r="M556" i="4"/>
  <c r="M562" i="4"/>
  <c r="M660" i="4"/>
  <c r="M9" i="3"/>
  <c r="M10" i="3"/>
  <c r="M228" i="3"/>
  <c r="M229" i="3"/>
  <c r="M239" i="3"/>
  <c r="M240" i="3"/>
  <c r="M258" i="3"/>
  <c r="M259" i="3"/>
  <c r="M262" i="3"/>
  <c r="M263" i="3"/>
  <c r="M266" i="3"/>
  <c r="M267" i="3"/>
  <c r="M268" i="3"/>
  <c r="M269" i="3"/>
  <c r="M270" i="3"/>
  <c r="M271" i="3"/>
  <c r="M272" i="3"/>
  <c r="M274" i="3"/>
  <c r="M277" i="3"/>
  <c r="M278" i="3"/>
  <c r="M282" i="3"/>
  <c r="M524" i="3"/>
  <c r="M536" i="3"/>
  <c r="M537" i="3"/>
  <c r="M538" i="3"/>
  <c r="M539" i="3"/>
  <c r="M540" i="3"/>
  <c r="M541" i="3"/>
  <c r="M542" i="3"/>
  <c r="M543" i="3"/>
  <c r="M544" i="3"/>
  <c r="M545" i="3"/>
  <c r="M546" i="3"/>
  <c r="M548" i="3"/>
  <c r="M556" i="3"/>
  <c r="L523" i="5"/>
  <c r="K523" i="5"/>
  <c r="D523" i="5"/>
  <c r="L528" i="5"/>
  <c r="F22" i="7" s="1"/>
  <c r="L529" i="5"/>
  <c r="L530" i="5"/>
  <c r="L531" i="5"/>
  <c r="L532" i="5"/>
  <c r="L533" i="5"/>
  <c r="L534" i="5"/>
  <c r="L535" i="5"/>
  <c r="L536" i="5"/>
  <c r="L547" i="5"/>
  <c r="L549" i="5"/>
  <c r="L550" i="5"/>
  <c r="L551" i="5"/>
  <c r="L552" i="5"/>
  <c r="L553" i="5"/>
  <c r="L554" i="5"/>
  <c r="L555"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K528" i="5"/>
  <c r="E22" i="7" s="1"/>
  <c r="K529" i="5"/>
  <c r="K530" i="5"/>
  <c r="K531" i="5"/>
  <c r="K532" i="5"/>
  <c r="K533" i="5"/>
  <c r="K534" i="5"/>
  <c r="K535" i="5"/>
  <c r="K536" i="5"/>
  <c r="K547" i="5"/>
  <c r="K549" i="5"/>
  <c r="K550" i="5"/>
  <c r="K551" i="5"/>
  <c r="K552" i="5"/>
  <c r="K553" i="5"/>
  <c r="K554" i="5"/>
  <c r="K555"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G536" i="5"/>
  <c r="J536" i="5" s="1"/>
  <c r="F536" i="5"/>
  <c r="I536" i="5" s="1"/>
  <c r="F537" i="5"/>
  <c r="F538" i="5"/>
  <c r="F539" i="5"/>
  <c r="F540" i="5"/>
  <c r="F541" i="5"/>
  <c r="F542" i="5"/>
  <c r="F543" i="5"/>
  <c r="F544" i="5"/>
  <c r="F545" i="5"/>
  <c r="F546" i="5"/>
  <c r="E528" i="5"/>
  <c r="E536" i="5"/>
  <c r="H536" i="5" s="1"/>
  <c r="D528" i="5"/>
  <c r="M528" i="5" s="1"/>
  <c r="D529" i="5"/>
  <c r="D530" i="5"/>
  <c r="D531" i="5"/>
  <c r="D532" i="5"/>
  <c r="D533" i="5"/>
  <c r="D534" i="5"/>
  <c r="D535" i="5"/>
  <c r="D547" i="5"/>
  <c r="D549" i="5"/>
  <c r="M549" i="5" s="1"/>
  <c r="D550" i="5"/>
  <c r="D551" i="5"/>
  <c r="D552" i="5"/>
  <c r="D553" i="5"/>
  <c r="D554" i="5"/>
  <c r="D555" i="5"/>
  <c r="D557" i="5"/>
  <c r="M557" i="5" s="1"/>
  <c r="D558" i="5"/>
  <c r="D559" i="5"/>
  <c r="D560" i="5"/>
  <c r="G560" i="5" s="1"/>
  <c r="J560" i="5" s="1"/>
  <c r="D561" i="5"/>
  <c r="G561" i="5" s="1"/>
  <c r="J561" i="5" s="1"/>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E604" i="5" s="1"/>
  <c r="H604" i="5" s="1"/>
  <c r="D605" i="5"/>
  <c r="G605" i="5" s="1"/>
  <c r="J605" i="5" s="1"/>
  <c r="D606" i="5"/>
  <c r="D607" i="5"/>
  <c r="D608" i="5"/>
  <c r="D609" i="5"/>
  <c r="D610" i="5"/>
  <c r="D611" i="5"/>
  <c r="D612" i="5"/>
  <c r="D613" i="5"/>
  <c r="D614" i="5"/>
  <c r="D615" i="5"/>
  <c r="D616" i="5"/>
  <c r="D617" i="5"/>
  <c r="D618" i="5"/>
  <c r="D619" i="5"/>
  <c r="D620" i="5"/>
  <c r="D621" i="5"/>
  <c r="D622" i="5"/>
  <c r="D623" i="5"/>
  <c r="D624" i="5"/>
  <c r="D625" i="5"/>
  <c r="D626" i="5"/>
  <c r="D627" i="5"/>
  <c r="D628" i="5"/>
  <c r="D629" i="5"/>
  <c r="D630" i="5"/>
  <c r="M630" i="5" s="1"/>
  <c r="D631" i="5"/>
  <c r="M631" i="5" s="1"/>
  <c r="D632" i="5"/>
  <c r="D633" i="5"/>
  <c r="D634" i="5"/>
  <c r="D635" i="5"/>
  <c r="D636" i="5"/>
  <c r="D637" i="5"/>
  <c r="D638" i="5"/>
  <c r="D639" i="5"/>
  <c r="D640" i="5"/>
  <c r="D641" i="5"/>
  <c r="D642" i="5"/>
  <c r="D643" i="5"/>
  <c r="D644" i="5"/>
  <c r="D645" i="5"/>
  <c r="D646" i="5"/>
  <c r="D647" i="5"/>
  <c r="D648" i="5"/>
  <c r="E648" i="5" s="1"/>
  <c r="H648" i="5" s="1"/>
  <c r="D649" i="5"/>
  <c r="G649" i="5" s="1"/>
  <c r="J649" i="5" s="1"/>
  <c r="D650" i="5"/>
  <c r="D651" i="5"/>
  <c r="D652" i="5"/>
  <c r="D653" i="5"/>
  <c r="D654" i="5"/>
  <c r="D655" i="5"/>
  <c r="D656" i="5"/>
  <c r="D657" i="5"/>
  <c r="D658" i="5"/>
  <c r="G658" i="5" s="1"/>
  <c r="J658" i="5" s="1"/>
  <c r="D659" i="5"/>
  <c r="M659" i="5" s="1"/>
  <c r="D660" i="5"/>
  <c r="M660" i="5" s="1"/>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E700" i="5" s="1"/>
  <c r="H700" i="5" s="1"/>
  <c r="D701" i="5"/>
  <c r="M701" i="5" s="1"/>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M751" i="5" s="1"/>
  <c r="D752" i="5"/>
  <c r="E752" i="5" s="1"/>
  <c r="H752" i="5" s="1"/>
  <c r="D753" i="5"/>
  <c r="D754" i="5"/>
  <c r="D755" i="5"/>
  <c r="D756" i="5"/>
  <c r="D757" i="5"/>
  <c r="D758" i="5"/>
  <c r="D759" i="5"/>
  <c r="D760" i="5"/>
  <c r="D761" i="5"/>
  <c r="D762" i="5"/>
  <c r="D763" i="5"/>
  <c r="E763" i="5" s="1"/>
  <c r="H763" i="5" s="1"/>
  <c r="D764" i="5"/>
  <c r="M764" i="5" s="1"/>
  <c r="D765" i="5"/>
  <c r="D766" i="5"/>
  <c r="D767" i="5"/>
  <c r="D768" i="5"/>
  <c r="D769" i="5"/>
  <c r="D770" i="5"/>
  <c r="D771" i="5"/>
  <c r="D772" i="5"/>
  <c r="D773" i="5"/>
  <c r="D774" i="5"/>
  <c r="D775" i="5"/>
  <c r="D776" i="5"/>
  <c r="D777" i="5"/>
  <c r="D778" i="5"/>
  <c r="D779" i="5"/>
  <c r="D780" i="5"/>
  <c r="D781" i="5"/>
  <c r="M781" i="5" s="1"/>
  <c r="D782" i="5"/>
  <c r="G782" i="5" s="1"/>
  <c r="J782" i="5" s="1"/>
  <c r="D783" i="5"/>
  <c r="D784" i="5"/>
  <c r="D785" i="5"/>
  <c r="K527" i="5"/>
  <c r="L273" i="5"/>
  <c r="L275" i="5"/>
  <c r="L276" i="5"/>
  <c r="F21" i="7" s="1"/>
  <c r="L277" i="5"/>
  <c r="L278" i="5"/>
  <c r="L279" i="5"/>
  <c r="L280" i="5"/>
  <c r="L281"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K273" i="5"/>
  <c r="E21" i="7" s="1"/>
  <c r="K275" i="5"/>
  <c r="K276" i="5"/>
  <c r="K277" i="5"/>
  <c r="K278" i="5"/>
  <c r="K279" i="5"/>
  <c r="K280" i="5"/>
  <c r="K281"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F269" i="5"/>
  <c r="F270" i="5"/>
  <c r="F271" i="5"/>
  <c r="F272" i="5"/>
  <c r="F300" i="5"/>
  <c r="I300" i="5" s="1"/>
  <c r="E280" i="5"/>
  <c r="H280" i="5" s="1"/>
  <c r="D273" i="5"/>
  <c r="D275" i="5"/>
  <c r="E275" i="5" s="1"/>
  <c r="H275" i="5" s="1"/>
  <c r="D276" i="5"/>
  <c r="D277" i="5"/>
  <c r="D278" i="5"/>
  <c r="D279" i="5"/>
  <c r="G279" i="5" s="1"/>
  <c r="J279" i="5" s="1"/>
  <c r="D280" i="5"/>
  <c r="M280" i="5" s="1"/>
  <c r="D281" i="5"/>
  <c r="D283" i="5"/>
  <c r="G283" i="5" s="1"/>
  <c r="J283" i="5" s="1"/>
  <c r="D284" i="5"/>
  <c r="D285" i="5"/>
  <c r="D286" i="5"/>
  <c r="D287" i="5"/>
  <c r="D288" i="5"/>
  <c r="D289" i="5"/>
  <c r="D290" i="5"/>
  <c r="D291" i="5"/>
  <c r="D292" i="5"/>
  <c r="D293" i="5"/>
  <c r="D294" i="5"/>
  <c r="D295" i="5"/>
  <c r="D296" i="5"/>
  <c r="D297" i="5"/>
  <c r="D298" i="5"/>
  <c r="D299" i="5"/>
  <c r="G299" i="5" s="1"/>
  <c r="J299" i="5" s="1"/>
  <c r="D300" i="5"/>
  <c r="E300" i="5" s="1"/>
  <c r="H300" i="5" s="1"/>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M488" i="5" s="1"/>
  <c r="D489" i="5"/>
  <c r="G489" i="5" s="1"/>
  <c r="J489" i="5" s="1"/>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M518" i="5" s="1"/>
  <c r="D519" i="5"/>
  <c r="M519" i="5" s="1"/>
  <c r="D520" i="5"/>
  <c r="D521" i="5"/>
  <c r="D522"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G262" i="5"/>
  <c r="J262" i="5" s="1"/>
  <c r="F262" i="5"/>
  <c r="I262" i="5" s="1"/>
  <c r="F263" i="5"/>
  <c r="F264" i="5"/>
  <c r="E262" i="5"/>
  <c r="H262" i="5" s="1"/>
  <c r="D10" i="5"/>
  <c r="D11" i="5"/>
  <c r="D12" i="5"/>
  <c r="D13" i="5"/>
  <c r="D14" i="5"/>
  <c r="D15" i="5"/>
  <c r="D16" i="5"/>
  <c r="D17" i="5"/>
  <c r="D18" i="5"/>
  <c r="D19" i="5"/>
  <c r="D20" i="5"/>
  <c r="D21" i="5"/>
  <c r="D22" i="5"/>
  <c r="M22" i="5" s="1"/>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M128" i="5" s="1"/>
  <c r="D129" i="5"/>
  <c r="M129" i="5" s="1"/>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M183" i="5" s="1"/>
  <c r="D184" i="5"/>
  <c r="M184" i="5" s="1"/>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M230" i="5" s="1"/>
  <c r="D231" i="5"/>
  <c r="M231" i="5" s="1"/>
  <c r="D232" i="5"/>
  <c r="D233" i="5"/>
  <c r="D234" i="5"/>
  <c r="D235" i="5"/>
  <c r="D236" i="5"/>
  <c r="D237" i="5"/>
  <c r="D238" i="5"/>
  <c r="D239" i="5"/>
  <c r="D240" i="5"/>
  <c r="D241" i="5"/>
  <c r="M241" i="5" s="1"/>
  <c r="D242" i="5"/>
  <c r="M242" i="5" s="1"/>
  <c r="D243" i="5"/>
  <c r="D244" i="5"/>
  <c r="D245" i="5"/>
  <c r="D246" i="5"/>
  <c r="D247" i="5"/>
  <c r="D248" i="5"/>
  <c r="D249" i="5"/>
  <c r="D250" i="5"/>
  <c r="D251" i="5"/>
  <c r="D252" i="5"/>
  <c r="D253" i="5"/>
  <c r="D254" i="5"/>
  <c r="D255" i="5"/>
  <c r="D256" i="5"/>
  <c r="D257" i="5"/>
  <c r="D258" i="5"/>
  <c r="D259" i="5"/>
  <c r="D260" i="5"/>
  <c r="D261" i="5"/>
  <c r="M261" i="5" s="1"/>
  <c r="K9" i="5"/>
  <c r="K529" i="4"/>
  <c r="E19" i="7" s="1"/>
  <c r="K530" i="4"/>
  <c r="K531" i="4"/>
  <c r="K532" i="4"/>
  <c r="K533" i="4"/>
  <c r="K534" i="4"/>
  <c r="K535" i="4"/>
  <c r="K536" i="4"/>
  <c r="K547" i="4"/>
  <c r="K549" i="4"/>
  <c r="K550" i="4"/>
  <c r="K551" i="4"/>
  <c r="K552" i="4"/>
  <c r="K553" i="4"/>
  <c r="K554" i="4"/>
  <c r="K555"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G529" i="4"/>
  <c r="J529" i="4" s="1"/>
  <c r="G536" i="4"/>
  <c r="J536" i="4" s="1"/>
  <c r="G563" i="4"/>
  <c r="J563" i="4" s="1"/>
  <c r="F529" i="4"/>
  <c r="I529" i="4" s="1"/>
  <c r="F536" i="4"/>
  <c r="I536" i="4" s="1"/>
  <c r="F537" i="4"/>
  <c r="F538" i="4"/>
  <c r="F539" i="4"/>
  <c r="F540" i="4"/>
  <c r="F541" i="4"/>
  <c r="F542" i="4"/>
  <c r="F543" i="4"/>
  <c r="F544" i="4"/>
  <c r="F545" i="4"/>
  <c r="F546" i="4"/>
  <c r="F661" i="4"/>
  <c r="I661" i="4" s="1"/>
  <c r="E529" i="4"/>
  <c r="E530" i="4"/>
  <c r="H530" i="4" s="1"/>
  <c r="E536" i="4"/>
  <c r="H536" i="4" s="1"/>
  <c r="E783" i="4"/>
  <c r="H783" i="4" s="1"/>
  <c r="D530" i="4"/>
  <c r="G530" i="4" s="1"/>
  <c r="J530" i="4" s="1"/>
  <c r="D531" i="4"/>
  <c r="D532" i="4"/>
  <c r="D533" i="4"/>
  <c r="D534" i="4"/>
  <c r="D535" i="4"/>
  <c r="F535" i="4" s="1"/>
  <c r="I535" i="4" s="1"/>
  <c r="D547" i="4"/>
  <c r="D549" i="4"/>
  <c r="G549" i="4" s="1"/>
  <c r="J549" i="4" s="1"/>
  <c r="D550" i="4"/>
  <c r="D551" i="4"/>
  <c r="D552" i="4"/>
  <c r="D553" i="4"/>
  <c r="D554" i="4"/>
  <c r="D555" i="4"/>
  <c r="D557" i="4"/>
  <c r="F557" i="4" s="1"/>
  <c r="I557" i="4" s="1"/>
  <c r="D558" i="4"/>
  <c r="D559" i="4"/>
  <c r="D560" i="4"/>
  <c r="D561" i="4"/>
  <c r="D562" i="4"/>
  <c r="D563" i="4"/>
  <c r="E563" i="4" s="1"/>
  <c r="H563" i="4" s="1"/>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G606" i="4" s="1"/>
  <c r="J606" i="4" s="1"/>
  <c r="D607" i="4"/>
  <c r="F607" i="4" s="1"/>
  <c r="I607" i="4" s="1"/>
  <c r="D608" i="4"/>
  <c r="D609" i="4"/>
  <c r="D610" i="4"/>
  <c r="D611" i="4"/>
  <c r="D612" i="4"/>
  <c r="D613" i="4"/>
  <c r="D614" i="4"/>
  <c r="D615" i="4"/>
  <c r="D616" i="4"/>
  <c r="D617" i="4"/>
  <c r="D618" i="4"/>
  <c r="D619" i="4"/>
  <c r="D620" i="4"/>
  <c r="D621" i="4"/>
  <c r="D622" i="4"/>
  <c r="D623" i="4"/>
  <c r="D624" i="4"/>
  <c r="D625" i="4"/>
  <c r="D626" i="4"/>
  <c r="D627" i="4"/>
  <c r="D628" i="4"/>
  <c r="D629" i="4"/>
  <c r="D630" i="4"/>
  <c r="D631" i="4"/>
  <c r="D632" i="4"/>
  <c r="M632" i="4" s="1"/>
  <c r="D633" i="4"/>
  <c r="M633" i="4" s="1"/>
  <c r="D634" i="4"/>
  <c r="D635" i="4"/>
  <c r="D636" i="4"/>
  <c r="D637" i="4"/>
  <c r="D638" i="4"/>
  <c r="D639" i="4"/>
  <c r="D640" i="4"/>
  <c r="D641" i="4"/>
  <c r="D642" i="4"/>
  <c r="D643" i="4"/>
  <c r="D644" i="4"/>
  <c r="D645" i="4"/>
  <c r="D646" i="4"/>
  <c r="D647" i="4"/>
  <c r="D648" i="4"/>
  <c r="D649" i="4"/>
  <c r="D650" i="4"/>
  <c r="M650" i="4" s="1"/>
  <c r="D651" i="4"/>
  <c r="G651" i="4" s="1"/>
  <c r="J651" i="4" s="1"/>
  <c r="D652" i="4"/>
  <c r="D653" i="4"/>
  <c r="D654" i="4"/>
  <c r="D655" i="4"/>
  <c r="D656" i="4"/>
  <c r="D657" i="4"/>
  <c r="D658" i="4"/>
  <c r="D659" i="4"/>
  <c r="D660" i="4"/>
  <c r="G660" i="4" s="1"/>
  <c r="J660" i="4" s="1"/>
  <c r="D661" i="4"/>
  <c r="G661" i="4" s="1"/>
  <c r="J661" i="4" s="1"/>
  <c r="D662" i="4"/>
  <c r="F662" i="4" s="1"/>
  <c r="I662" i="4" s="1"/>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G702" i="4" s="1"/>
  <c r="J702" i="4" s="1"/>
  <c r="D703" i="4"/>
  <c r="G703" i="4" s="1"/>
  <c r="J703" i="4" s="1"/>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M753" i="4" s="1"/>
  <c r="D754" i="4"/>
  <c r="M754" i="4" s="1"/>
  <c r="D755" i="4"/>
  <c r="D756" i="4"/>
  <c r="D757" i="4"/>
  <c r="D758" i="4"/>
  <c r="D759" i="4"/>
  <c r="D760" i="4"/>
  <c r="D761" i="4"/>
  <c r="D762" i="4"/>
  <c r="D763" i="4"/>
  <c r="D764" i="4"/>
  <c r="D765" i="4"/>
  <c r="M765" i="4" s="1"/>
  <c r="D766" i="4"/>
  <c r="G766" i="4" s="1"/>
  <c r="J766" i="4" s="1"/>
  <c r="D767" i="4"/>
  <c r="D768" i="4"/>
  <c r="D769" i="4"/>
  <c r="D770" i="4"/>
  <c r="D771" i="4"/>
  <c r="D772" i="4"/>
  <c r="D773" i="4"/>
  <c r="D774" i="4"/>
  <c r="D775" i="4"/>
  <c r="D776" i="4"/>
  <c r="D777" i="4"/>
  <c r="D778" i="4"/>
  <c r="D779" i="4"/>
  <c r="D780" i="4"/>
  <c r="D781" i="4"/>
  <c r="D782" i="4"/>
  <c r="D783" i="4"/>
  <c r="F783" i="4" s="1"/>
  <c r="I783" i="4" s="1"/>
  <c r="D784" i="4"/>
  <c r="M784" i="4" s="1"/>
  <c r="D785" i="4"/>
  <c r="D786" i="4"/>
  <c r="D787" i="4"/>
  <c r="K273" i="4"/>
  <c r="K275" i="4"/>
  <c r="K276" i="4"/>
  <c r="K277" i="4"/>
  <c r="E18" i="7" s="1"/>
  <c r="K278" i="4"/>
  <c r="K279" i="4"/>
  <c r="K280" i="4"/>
  <c r="K281"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G301" i="4"/>
  <c r="J301" i="4" s="1"/>
  <c r="F270" i="4"/>
  <c r="F271" i="4"/>
  <c r="F272" i="4"/>
  <c r="D273" i="4"/>
  <c r="D275" i="4"/>
  <c r="M275" i="4" s="1"/>
  <c r="D276" i="4"/>
  <c r="D277" i="4"/>
  <c r="D278" i="4"/>
  <c r="D279" i="4"/>
  <c r="D280" i="4"/>
  <c r="D281" i="4"/>
  <c r="E281" i="4" s="1"/>
  <c r="H281" i="4" s="1"/>
  <c r="D283" i="4"/>
  <c r="D284" i="4"/>
  <c r="D285" i="4"/>
  <c r="D286" i="4"/>
  <c r="D287" i="4"/>
  <c r="D288" i="4"/>
  <c r="D289" i="4"/>
  <c r="D290" i="4"/>
  <c r="D291" i="4"/>
  <c r="D292" i="4"/>
  <c r="D293" i="4"/>
  <c r="D294" i="4"/>
  <c r="D295" i="4"/>
  <c r="D296" i="4"/>
  <c r="D297" i="4"/>
  <c r="D298" i="4"/>
  <c r="D299" i="4"/>
  <c r="D300" i="4"/>
  <c r="D301" i="4"/>
  <c r="E301" i="4" s="1"/>
  <c r="H301" i="4" s="1"/>
  <c r="D302" i="4"/>
  <c r="M302" i="4" s="1"/>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M526" i="4" s="1"/>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G9" i="4"/>
  <c r="G262" i="4"/>
  <c r="J262" i="4" s="1"/>
  <c r="F9" i="4"/>
  <c r="I9" i="4" s="1"/>
  <c r="F22" i="4"/>
  <c r="I22" i="4" s="1"/>
  <c r="F262" i="4"/>
  <c r="I262" i="4" s="1"/>
  <c r="F263" i="4"/>
  <c r="F264" i="4"/>
  <c r="F265" i="4"/>
  <c r="F266" i="4"/>
  <c r="F267" i="4"/>
  <c r="E9" i="4"/>
  <c r="H9" i="4" s="1"/>
  <c r="E23" i="4"/>
  <c r="H23" i="4" s="1"/>
  <c r="E183" i="4"/>
  <c r="H183" i="4" s="1"/>
  <c r="E262" i="4"/>
  <c r="H262" i="4" s="1"/>
  <c r="D10" i="4"/>
  <c r="D11" i="4"/>
  <c r="D12" i="4"/>
  <c r="D13" i="4"/>
  <c r="D14" i="4"/>
  <c r="D15" i="4"/>
  <c r="D16" i="4"/>
  <c r="D17" i="4"/>
  <c r="D18" i="4"/>
  <c r="D19" i="4"/>
  <c r="D20" i="4"/>
  <c r="D21" i="4"/>
  <c r="D22" i="4"/>
  <c r="G22" i="4" s="1"/>
  <c r="J22" i="4" s="1"/>
  <c r="D23" i="4"/>
  <c r="G23" i="4" s="1"/>
  <c r="J23" i="4" s="1"/>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G183" i="4" s="1"/>
  <c r="J183" i="4" s="1"/>
  <c r="D184" i="4"/>
  <c r="G184" i="4" s="1"/>
  <c r="J184" i="4" s="1"/>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L525" i="3"/>
  <c r="F16" i="7" s="1"/>
  <c r="L526" i="3"/>
  <c r="L527" i="3"/>
  <c r="L528" i="3"/>
  <c r="L529" i="3"/>
  <c r="L530" i="3"/>
  <c r="L531" i="3"/>
  <c r="L532" i="3"/>
  <c r="L533" i="3"/>
  <c r="L534" i="3"/>
  <c r="L535" i="3"/>
  <c r="L536" i="3"/>
  <c r="L547" i="3"/>
  <c r="L549" i="3"/>
  <c r="L550" i="3"/>
  <c r="L551" i="3"/>
  <c r="L552" i="3"/>
  <c r="L553" i="3"/>
  <c r="L554" i="3"/>
  <c r="L555"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K524" i="3"/>
  <c r="E16" i="7" s="1"/>
  <c r="K525" i="3"/>
  <c r="K526" i="3"/>
  <c r="K527" i="3"/>
  <c r="K528" i="3"/>
  <c r="K529" i="3"/>
  <c r="K530" i="3"/>
  <c r="K531" i="3"/>
  <c r="K532" i="3"/>
  <c r="K533" i="3"/>
  <c r="K534" i="3"/>
  <c r="K535" i="3"/>
  <c r="K536" i="3"/>
  <c r="K547" i="3"/>
  <c r="K549" i="3"/>
  <c r="K550" i="3"/>
  <c r="K551" i="3"/>
  <c r="K552" i="3"/>
  <c r="K553" i="3"/>
  <c r="K554" i="3"/>
  <c r="K555"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G524" i="3"/>
  <c r="G536" i="3"/>
  <c r="J536" i="3" s="1"/>
  <c r="F524" i="3"/>
  <c r="F536" i="3"/>
  <c r="I536" i="3" s="1"/>
  <c r="F537" i="3"/>
  <c r="F538" i="3"/>
  <c r="F539" i="3"/>
  <c r="F540" i="3"/>
  <c r="F541" i="3"/>
  <c r="F542" i="3"/>
  <c r="F543" i="3"/>
  <c r="F544" i="3"/>
  <c r="F545" i="3"/>
  <c r="F546" i="3"/>
  <c r="E524" i="3"/>
  <c r="E536" i="3"/>
  <c r="H536" i="3" s="1"/>
  <c r="L273" i="3"/>
  <c r="L275" i="3"/>
  <c r="L276" i="3"/>
  <c r="L277" i="3"/>
  <c r="L278" i="3"/>
  <c r="L279" i="3"/>
  <c r="L280" i="3"/>
  <c r="L281"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K273" i="3"/>
  <c r="K275" i="3"/>
  <c r="K276" i="3"/>
  <c r="K277" i="3"/>
  <c r="K278" i="3"/>
  <c r="K279" i="3"/>
  <c r="K280" i="3"/>
  <c r="K281"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F266" i="3"/>
  <c r="F267" i="3"/>
  <c r="F268" i="3"/>
  <c r="F269" i="3"/>
  <c r="F270" i="3"/>
  <c r="F271" i="3"/>
  <c r="F272"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F14" i="7" s="1"/>
  <c r="L262"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E14" i="7" s="1"/>
  <c r="K262" i="3"/>
  <c r="G9" i="3"/>
  <c r="G239" i="3"/>
  <c r="J239" i="3" s="1"/>
  <c r="G258" i="3"/>
  <c r="J258" i="3" s="1"/>
  <c r="G262" i="3"/>
  <c r="J262" i="3" s="1"/>
  <c r="F9" i="3"/>
  <c r="F262" i="3"/>
  <c r="I262" i="3" s="1"/>
  <c r="F263" i="3"/>
  <c r="E9" i="3"/>
  <c r="E262" i="3"/>
  <c r="H262" i="3" s="1"/>
  <c r="D525" i="3"/>
  <c r="M525" i="3" s="1"/>
  <c r="D526" i="3"/>
  <c r="D527" i="3"/>
  <c r="D528" i="3"/>
  <c r="D529" i="3"/>
  <c r="D530" i="3"/>
  <c r="D531" i="3"/>
  <c r="D532" i="3"/>
  <c r="D533" i="3"/>
  <c r="D534" i="3"/>
  <c r="D535" i="3"/>
  <c r="D547" i="3"/>
  <c r="D549" i="3"/>
  <c r="M549" i="3" s="1"/>
  <c r="D550" i="3"/>
  <c r="D551" i="3"/>
  <c r="D552" i="3"/>
  <c r="D553" i="3"/>
  <c r="D554" i="3"/>
  <c r="D555" i="3"/>
  <c r="D557" i="3"/>
  <c r="M557" i="3" s="1"/>
  <c r="D558" i="3"/>
  <c r="M558" i="3" s="1"/>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M625" i="3" s="1"/>
  <c r="D626" i="3"/>
  <c r="M626" i="3" s="1"/>
  <c r="D627" i="3"/>
  <c r="D628" i="3"/>
  <c r="D629" i="3"/>
  <c r="D630" i="3"/>
  <c r="D631" i="3"/>
  <c r="D632" i="3"/>
  <c r="D633" i="3"/>
  <c r="D634" i="3"/>
  <c r="D635" i="3"/>
  <c r="D636" i="3"/>
  <c r="D637" i="3"/>
  <c r="D638" i="3"/>
  <c r="D639" i="3"/>
  <c r="D640" i="3"/>
  <c r="D641" i="3"/>
  <c r="D642" i="3"/>
  <c r="D643" i="3"/>
  <c r="M643" i="3" s="1"/>
  <c r="D644" i="3"/>
  <c r="M644" i="3" s="1"/>
  <c r="D645" i="3"/>
  <c r="D646" i="3"/>
  <c r="D647" i="3"/>
  <c r="D648" i="3"/>
  <c r="D649" i="3"/>
  <c r="D650" i="3"/>
  <c r="D651" i="3"/>
  <c r="D652" i="3"/>
  <c r="D653" i="3"/>
  <c r="M653" i="3" s="1"/>
  <c r="D654" i="3"/>
  <c r="M654" i="3" s="1"/>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M694" i="3" s="1"/>
  <c r="D695" i="3"/>
  <c r="M695" i="3" s="1"/>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M745" i="3" s="1"/>
  <c r="D746" i="3"/>
  <c r="M746" i="3" s="1"/>
  <c r="D747" i="3"/>
  <c r="D748" i="3"/>
  <c r="D749" i="3"/>
  <c r="D750" i="3"/>
  <c r="D751" i="3"/>
  <c r="D752" i="3"/>
  <c r="D753" i="3"/>
  <c r="D754" i="3"/>
  <c r="D755" i="3"/>
  <c r="D756" i="3"/>
  <c r="D757" i="3"/>
  <c r="M757" i="3" s="1"/>
  <c r="D758" i="3"/>
  <c r="M758" i="3" s="1"/>
  <c r="D759" i="3"/>
  <c r="D760" i="3"/>
  <c r="D761" i="3"/>
  <c r="D762" i="3"/>
  <c r="D763" i="3"/>
  <c r="D764" i="3"/>
  <c r="D765" i="3"/>
  <c r="D766" i="3"/>
  <c r="D767" i="3"/>
  <c r="D768" i="3"/>
  <c r="D769" i="3"/>
  <c r="D770" i="3"/>
  <c r="D771" i="3"/>
  <c r="D772" i="3"/>
  <c r="D773" i="3"/>
  <c r="D774" i="3"/>
  <c r="D775" i="3"/>
  <c r="M775" i="3" s="1"/>
  <c r="D776" i="3"/>
  <c r="M776" i="3" s="1"/>
  <c r="D777" i="3"/>
  <c r="D778" i="3"/>
  <c r="D779" i="3"/>
  <c r="D780" i="3"/>
  <c r="M780" i="3" s="1"/>
  <c r="D781" i="3"/>
  <c r="M781" i="3" s="1"/>
  <c r="D782" i="3"/>
  <c r="M782" i="3" s="1"/>
  <c r="D783" i="3"/>
  <c r="M783" i="3" s="1"/>
  <c r="D784" i="3"/>
  <c r="M784" i="3" s="1"/>
  <c r="D785" i="3"/>
  <c r="M785" i="3" s="1"/>
  <c r="D786" i="3"/>
  <c r="M786" i="3" s="1"/>
  <c r="D273" i="3"/>
  <c r="D275" i="3"/>
  <c r="M275" i="3" s="1"/>
  <c r="D276" i="3"/>
  <c r="D277" i="3"/>
  <c r="D278" i="3"/>
  <c r="D279" i="3"/>
  <c r="D280" i="3"/>
  <c r="D281" i="3"/>
  <c r="D283" i="3"/>
  <c r="M283" i="3" s="1"/>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M485" i="3" s="1"/>
  <c r="D486" i="3"/>
  <c r="M486" i="3" s="1"/>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M515" i="3" s="1"/>
  <c r="D516" i="3"/>
  <c r="M516" i="3" s="1"/>
  <c r="D517" i="3"/>
  <c r="D518" i="3"/>
  <c r="D519" i="3"/>
  <c r="D520" i="3"/>
  <c r="D521" i="3"/>
  <c r="M521" i="3" s="1"/>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F228" i="3" s="1"/>
  <c r="I228" i="3" s="1"/>
  <c r="D229" i="3"/>
  <c r="F229" i="3" s="1"/>
  <c r="I229" i="3" s="1"/>
  <c r="D230" i="3"/>
  <c r="D231" i="3"/>
  <c r="D232" i="3"/>
  <c r="D233" i="3"/>
  <c r="D234" i="3"/>
  <c r="D235" i="3"/>
  <c r="D236" i="3"/>
  <c r="D237" i="3"/>
  <c r="D238" i="3"/>
  <c r="D239" i="3"/>
  <c r="E239" i="3" s="1"/>
  <c r="H239" i="3" s="1"/>
  <c r="D240" i="3"/>
  <c r="G240" i="3" s="1"/>
  <c r="J240" i="3" s="1"/>
  <c r="D241" i="3"/>
  <c r="D242" i="3"/>
  <c r="D243" i="3"/>
  <c r="D244" i="3"/>
  <c r="D245" i="3"/>
  <c r="D246" i="3"/>
  <c r="D247" i="3"/>
  <c r="D248" i="3"/>
  <c r="D249" i="3"/>
  <c r="D250" i="3"/>
  <c r="D251" i="3"/>
  <c r="D252" i="3"/>
  <c r="D253" i="3"/>
  <c r="D254" i="3"/>
  <c r="D255" i="3"/>
  <c r="D256" i="3"/>
  <c r="D257" i="3"/>
  <c r="D258" i="3"/>
  <c r="F258" i="3" s="1"/>
  <c r="I258" i="3" s="1"/>
  <c r="D259" i="3"/>
  <c r="G259" i="3" s="1"/>
  <c r="J259" i="3" s="1"/>
  <c r="D260" i="3"/>
  <c r="D261" i="3"/>
  <c r="M782" i="5" l="1"/>
  <c r="M604" i="5"/>
  <c r="M561" i="5"/>
  <c r="E658" i="5"/>
  <c r="H658" i="5" s="1"/>
  <c r="M658" i="5"/>
  <c r="M560" i="5"/>
  <c r="M763" i="5"/>
  <c r="M649" i="5"/>
  <c r="M752" i="5"/>
  <c r="M648" i="5"/>
  <c r="G5" i="5"/>
  <c r="M343" i="5" s="1"/>
  <c r="M283" i="5"/>
  <c r="M279" i="5"/>
  <c r="M489" i="5"/>
  <c r="M275" i="5"/>
  <c r="M300" i="5"/>
  <c r="M299" i="5"/>
  <c r="M295" i="5"/>
  <c r="M319" i="5"/>
  <c r="M335" i="5"/>
  <c r="M359" i="5"/>
  <c r="M383" i="5"/>
  <c r="M399" i="5"/>
  <c r="M423" i="5"/>
  <c r="M447" i="5"/>
  <c r="M463" i="5"/>
  <c r="M487" i="5"/>
  <c r="M511" i="5"/>
  <c r="M288" i="5"/>
  <c r="M312" i="5"/>
  <c r="M336" i="5"/>
  <c r="M352" i="5"/>
  <c r="M376" i="5"/>
  <c r="M400" i="5"/>
  <c r="M416" i="5"/>
  <c r="M440" i="5"/>
  <c r="M464" i="5"/>
  <c r="M273" i="5"/>
  <c r="M297" i="5"/>
  <c r="M321" i="5"/>
  <c r="M337" i="5"/>
  <c r="M361" i="5"/>
  <c r="M385" i="5"/>
  <c r="M401" i="5"/>
  <c r="M425" i="5"/>
  <c r="M449" i="5"/>
  <c r="M465" i="5"/>
  <c r="M290" i="5"/>
  <c r="M314" i="5"/>
  <c r="M330" i="5"/>
  <c r="M354" i="5"/>
  <c r="M378" i="5"/>
  <c r="M394" i="5"/>
  <c r="M418" i="5"/>
  <c r="M442" i="5"/>
  <c r="M458" i="5"/>
  <c r="M482" i="5"/>
  <c r="M506" i="5"/>
  <c r="M522" i="5"/>
  <c r="M572" i="5"/>
  <c r="M596" i="5"/>
  <c r="M620" i="5"/>
  <c r="M644" i="5"/>
  <c r="M676" i="5"/>
  <c r="M692" i="5"/>
  <c r="M724" i="5"/>
  <c r="M748" i="5"/>
  <c r="M291" i="5"/>
  <c r="M323" i="5"/>
  <c r="M347" i="5"/>
  <c r="M363" i="5"/>
  <c r="M387" i="5"/>
  <c r="M411" i="5"/>
  <c r="M427" i="5"/>
  <c r="M451" i="5"/>
  <c r="M475" i="5"/>
  <c r="M491" i="5"/>
  <c r="M515" i="5"/>
  <c r="M565" i="5"/>
  <c r="M581" i="5"/>
  <c r="M284" i="5"/>
  <c r="M316" i="5"/>
  <c r="M332" i="5"/>
  <c r="M356" i="5"/>
  <c r="M380" i="5"/>
  <c r="M396" i="5"/>
  <c r="M420" i="5"/>
  <c r="M444" i="5"/>
  <c r="M460" i="5"/>
  <c r="M285" i="5"/>
  <c r="M309" i="5"/>
  <c r="M325" i="5"/>
  <c r="M349" i="5"/>
  <c r="M373" i="5"/>
  <c r="M389" i="5"/>
  <c r="M413" i="5"/>
  <c r="M437" i="5"/>
  <c r="M453" i="5"/>
  <c r="M477" i="5"/>
  <c r="M294" i="5"/>
  <c r="M310" i="5"/>
  <c r="M334" i="5"/>
  <c r="M358" i="5"/>
  <c r="M374" i="5"/>
  <c r="M398" i="5"/>
  <c r="M422" i="5"/>
  <c r="M438" i="5"/>
  <c r="M462" i="5"/>
  <c r="M486" i="5"/>
  <c r="M502" i="5"/>
  <c r="M568" i="5"/>
  <c r="M592" i="5"/>
  <c r="M608" i="5"/>
  <c r="M632" i="5"/>
  <c r="M664" i="5"/>
  <c r="M680" i="5"/>
  <c r="M704" i="5"/>
  <c r="M508" i="5"/>
  <c r="M535" i="5"/>
  <c r="M585" i="5"/>
  <c r="M617" i="5"/>
  <c r="M638" i="5"/>
  <c r="M689" i="5"/>
  <c r="M699" i="5"/>
  <c r="M719" i="5"/>
  <c r="M737" i="5"/>
  <c r="M772" i="5"/>
  <c r="M780" i="5"/>
  <c r="M509" i="5"/>
  <c r="M553" i="5"/>
  <c r="M598" i="5"/>
  <c r="M607" i="5"/>
  <c r="M629" i="5"/>
  <c r="M669" i="5"/>
  <c r="M710" i="5"/>
  <c r="M720" i="5"/>
  <c r="M738" i="5"/>
  <c r="M757" i="5"/>
  <c r="M476" i="5"/>
  <c r="M496" i="5"/>
  <c r="M554" i="5"/>
  <c r="M575" i="5"/>
  <c r="M609" i="5"/>
  <c r="M619" i="5"/>
  <c r="M650" i="5"/>
  <c r="M681" i="5"/>
  <c r="M721" i="5"/>
  <c r="M730" i="5"/>
  <c r="M749" i="5"/>
  <c r="M766" i="5"/>
  <c r="M497" i="5"/>
  <c r="M513" i="5"/>
  <c r="M563" i="5"/>
  <c r="M590" i="5"/>
  <c r="M621" i="5"/>
  <c r="M642" i="5"/>
  <c r="M661" i="5"/>
  <c r="M682" i="5"/>
  <c r="M713" i="5"/>
  <c r="M722" i="5"/>
  <c r="M741" i="5"/>
  <c r="M759" i="5"/>
  <c r="M783" i="5"/>
  <c r="M484" i="5"/>
  <c r="M516" i="5"/>
  <c r="M566" i="5"/>
  <c r="M602" i="5"/>
  <c r="M611" i="5"/>
  <c r="M633" i="5"/>
  <c r="M653" i="5"/>
  <c r="M683" i="5"/>
  <c r="M694" i="5"/>
  <c r="M714" i="5"/>
  <c r="M733" i="5"/>
  <c r="M768" i="5"/>
  <c r="M776" i="5"/>
  <c r="M485" i="5"/>
  <c r="M517" i="5"/>
  <c r="M579" i="5"/>
  <c r="M593" i="5"/>
  <c r="M613" i="5"/>
  <c r="M634" i="5"/>
  <c r="M663" i="5"/>
  <c r="M674" i="5"/>
  <c r="M695" i="5"/>
  <c r="M715" i="5"/>
  <c r="M743" i="5"/>
  <c r="M761" i="5"/>
  <c r="M777" i="5"/>
  <c r="M504" i="5"/>
  <c r="M569" i="5"/>
  <c r="M582" i="5"/>
  <c r="M594" i="5"/>
  <c r="M614" i="5"/>
  <c r="M635" i="5"/>
  <c r="M665" i="5"/>
  <c r="M675" i="5"/>
  <c r="M686" i="5"/>
  <c r="M697" i="5"/>
  <c r="M717" i="5"/>
  <c r="M744" i="5"/>
  <c r="M753" i="5"/>
  <c r="M762" i="5"/>
  <c r="M770" i="5"/>
  <c r="M505" i="5"/>
  <c r="M559" i="5"/>
  <c r="M570" i="5"/>
  <c r="M583" i="5"/>
  <c r="M595" i="5"/>
  <c r="M626" i="5"/>
  <c r="M657" i="5"/>
  <c r="M666" i="5"/>
  <c r="M677" i="5"/>
  <c r="M687" i="5"/>
  <c r="M707" i="5"/>
  <c r="M736" i="5"/>
  <c r="M745" i="5"/>
  <c r="M754" i="5"/>
  <c r="M771" i="5"/>
  <c r="M257" i="5"/>
  <c r="M225" i="5"/>
  <c r="M217" i="5"/>
  <c r="M209" i="5"/>
  <c r="M201" i="5"/>
  <c r="M185" i="5"/>
  <c r="M161" i="5"/>
  <c r="M153" i="5"/>
  <c r="M145" i="5"/>
  <c r="M137" i="5"/>
  <c r="M113" i="5"/>
  <c r="M89" i="5"/>
  <c r="M81" i="5"/>
  <c r="M73" i="5"/>
  <c r="M65" i="5"/>
  <c r="M49" i="5"/>
  <c r="M25" i="5"/>
  <c r="M17" i="5"/>
  <c r="H528" i="5"/>
  <c r="M256" i="5"/>
  <c r="M240" i="5"/>
  <c r="M216" i="5"/>
  <c r="M208" i="5"/>
  <c r="M200" i="5"/>
  <c r="M192" i="5"/>
  <c r="M168" i="5"/>
  <c r="M144" i="5"/>
  <c r="M136" i="5"/>
  <c r="M120" i="5"/>
  <c r="M112" i="5"/>
  <c r="M96" i="5"/>
  <c r="M72" i="5"/>
  <c r="M64" i="5"/>
  <c r="M56" i="5"/>
  <c r="M48" i="5"/>
  <c r="M32" i="5"/>
  <c r="E230" i="5"/>
  <c r="H230" i="5" s="1"/>
  <c r="E5" i="5"/>
  <c r="M255" i="5"/>
  <c r="M247" i="5"/>
  <c r="M223" i="5"/>
  <c r="M199" i="5"/>
  <c r="M191" i="5"/>
  <c r="M175" i="5"/>
  <c r="M167" i="5"/>
  <c r="M151" i="5"/>
  <c r="M127" i="5"/>
  <c r="M119" i="5"/>
  <c r="M111" i="5"/>
  <c r="M103" i="5"/>
  <c r="M87" i="5"/>
  <c r="M63" i="5"/>
  <c r="M55" i="5"/>
  <c r="M47" i="5"/>
  <c r="M39" i="5"/>
  <c r="G23" i="5"/>
  <c r="J23" i="5" s="1"/>
  <c r="M23" i="5"/>
  <c r="F5" i="5"/>
  <c r="M254" i="5"/>
  <c r="M246" i="5"/>
  <c r="M238" i="5"/>
  <c r="M214" i="5"/>
  <c r="M190" i="5"/>
  <c r="M182" i="5"/>
  <c r="M174" i="5"/>
  <c r="M166" i="5"/>
  <c r="M150" i="5"/>
  <c r="M126" i="5"/>
  <c r="M118" i="5"/>
  <c r="M110" i="5"/>
  <c r="M102" i="5"/>
  <c r="M94" i="5"/>
  <c r="M86" i="5"/>
  <c r="M70" i="5"/>
  <c r="M62" i="5"/>
  <c r="M54" i="5"/>
  <c r="M46" i="5"/>
  <c r="M38" i="5"/>
  <c r="M30" i="5"/>
  <c r="M14" i="5"/>
  <c r="M245" i="5"/>
  <c r="M237" i="5"/>
  <c r="M229" i="5"/>
  <c r="M221" i="5"/>
  <c r="M213" i="5"/>
  <c r="M205" i="5"/>
  <c r="M197" i="5"/>
  <c r="M181" i="5"/>
  <c r="M173" i="5"/>
  <c r="M165" i="5"/>
  <c r="M157" i="5"/>
  <c r="M149" i="5"/>
  <c r="M141" i="5"/>
  <c r="M133" i="5"/>
  <c r="M117" i="5"/>
  <c r="M109" i="5"/>
  <c r="M101" i="5"/>
  <c r="M93" i="5"/>
  <c r="M85" i="5"/>
  <c r="M77" i="5"/>
  <c r="M69" i="5"/>
  <c r="M53" i="5"/>
  <c r="M45" i="5"/>
  <c r="M37" i="5"/>
  <c r="M29" i="5"/>
  <c r="M21" i="5"/>
  <c r="M13" i="5"/>
  <c r="G260" i="5"/>
  <c r="J260" i="5" s="1"/>
  <c r="M260" i="5"/>
  <c r="M252" i="5"/>
  <c r="M244" i="5"/>
  <c r="M236" i="5"/>
  <c r="M228" i="5"/>
  <c r="M220" i="5"/>
  <c r="M212" i="5"/>
  <c r="M204" i="5"/>
  <c r="M188" i="5"/>
  <c r="M180" i="5"/>
  <c r="M172" i="5"/>
  <c r="M164" i="5"/>
  <c r="M156" i="5"/>
  <c r="M148" i="5"/>
  <c r="M140" i="5"/>
  <c r="M124" i="5"/>
  <c r="M116" i="5"/>
  <c r="M108" i="5"/>
  <c r="M100" i="5"/>
  <c r="M92" i="5"/>
  <c r="M84" i="5"/>
  <c r="M76" i="5"/>
  <c r="M60" i="5"/>
  <c r="M52" i="5"/>
  <c r="M44" i="5"/>
  <c r="M36" i="5"/>
  <c r="M28" i="5"/>
  <c r="M20" i="5"/>
  <c r="M12" i="5"/>
  <c r="M251" i="5"/>
  <c r="M243" i="5"/>
  <c r="M235" i="5"/>
  <c r="M227" i="5"/>
  <c r="M219" i="5"/>
  <c r="M211" i="5"/>
  <c r="M203" i="5"/>
  <c r="M187" i="5"/>
  <c r="M179" i="5"/>
  <c r="M171" i="5"/>
  <c r="M163" i="5"/>
  <c r="M155" i="5"/>
  <c r="M147" i="5"/>
  <c r="M139" i="5"/>
  <c r="M123" i="5"/>
  <c r="M115" i="5"/>
  <c r="M107" i="5"/>
  <c r="M99" i="5"/>
  <c r="M91" i="5"/>
  <c r="M83" i="5"/>
  <c r="M75" i="5"/>
  <c r="M59" i="5"/>
  <c r="M51" i="5"/>
  <c r="M43" i="5"/>
  <c r="M35" i="5"/>
  <c r="M27" i="5"/>
  <c r="M19" i="5"/>
  <c r="M11" i="5"/>
  <c r="M250" i="5"/>
  <c r="M234" i="5"/>
  <c r="M226" i="5"/>
  <c r="M218" i="5"/>
  <c r="M210" i="5"/>
  <c r="M202" i="5"/>
  <c r="M194" i="5"/>
  <c r="M178" i="5"/>
  <c r="M170" i="5"/>
  <c r="M162" i="5"/>
  <c r="M154" i="5"/>
  <c r="M146" i="5"/>
  <c r="M138" i="5"/>
  <c r="M130" i="5"/>
  <c r="M114" i="5"/>
  <c r="M106" i="5"/>
  <c r="M98" i="5"/>
  <c r="M90" i="5"/>
  <c r="M82" i="5"/>
  <c r="M74" i="5"/>
  <c r="M66" i="5"/>
  <c r="M58" i="5"/>
  <c r="M50" i="5"/>
  <c r="M42" i="5"/>
  <c r="M34" i="5"/>
  <c r="M26" i="5"/>
  <c r="M18" i="5"/>
  <c r="F10" i="5"/>
  <c r="I10" i="5" s="1"/>
  <c r="M10" i="5"/>
  <c r="F20" i="7"/>
  <c r="E703" i="4"/>
  <c r="H703" i="4" s="1"/>
  <c r="F606" i="4"/>
  <c r="I606" i="4" s="1"/>
  <c r="M651" i="4"/>
  <c r="M557" i="4"/>
  <c r="M530" i="4"/>
  <c r="M766" i="4"/>
  <c r="E661" i="4"/>
  <c r="H661" i="4" s="1"/>
  <c r="F563" i="4"/>
  <c r="I563" i="4" s="1"/>
  <c r="G535" i="4"/>
  <c r="J535" i="4" s="1"/>
  <c r="E633" i="4"/>
  <c r="H633" i="4" s="1"/>
  <c r="F549" i="4"/>
  <c r="I549" i="4" s="1"/>
  <c r="M549" i="4"/>
  <c r="E606" i="4"/>
  <c r="H606" i="4" s="1"/>
  <c r="M703" i="4"/>
  <c r="M702" i="4"/>
  <c r="M607" i="4"/>
  <c r="F5" i="4"/>
  <c r="M662" i="4"/>
  <c r="M606" i="4"/>
  <c r="M783" i="4"/>
  <c r="M661" i="4"/>
  <c r="M563" i="4"/>
  <c r="M281" i="4"/>
  <c r="E17" i="7"/>
  <c r="H529" i="4"/>
  <c r="J9" i="4"/>
  <c r="F15" i="7"/>
  <c r="E15" i="7"/>
  <c r="J524" i="3"/>
  <c r="J9" i="3"/>
  <c r="H9" i="3"/>
  <c r="H524" i="3"/>
  <c r="I9" i="3"/>
  <c r="I524" i="3"/>
  <c r="G751" i="5"/>
  <c r="J751" i="5" s="1"/>
  <c r="E751" i="5"/>
  <c r="H751" i="5" s="1"/>
  <c r="F751" i="5"/>
  <c r="I751" i="5" s="1"/>
  <c r="G631" i="5"/>
  <c r="J631" i="5" s="1"/>
  <c r="F631" i="5"/>
  <c r="I631" i="5" s="1"/>
  <c r="E631" i="5"/>
  <c r="H631" i="5" s="1"/>
  <c r="E561" i="5"/>
  <c r="H561" i="5" s="1"/>
  <c r="F782" i="5"/>
  <c r="I782" i="5" s="1"/>
  <c r="F658" i="5"/>
  <c r="I658" i="5" s="1"/>
  <c r="G630" i="5"/>
  <c r="J630" i="5" s="1"/>
  <c r="E630" i="5"/>
  <c r="H630" i="5" s="1"/>
  <c r="F630" i="5"/>
  <c r="I630" i="5" s="1"/>
  <c r="G549" i="5"/>
  <c r="J549" i="5" s="1"/>
  <c r="F549" i="5"/>
  <c r="I549" i="5" s="1"/>
  <c r="E549" i="5"/>
  <c r="H549" i="5" s="1"/>
  <c r="E560" i="5"/>
  <c r="H560" i="5" s="1"/>
  <c r="F763" i="5"/>
  <c r="I763" i="5" s="1"/>
  <c r="F561" i="5"/>
  <c r="I561" i="5" s="1"/>
  <c r="G648" i="5"/>
  <c r="J648" i="5" s="1"/>
  <c r="F648" i="5"/>
  <c r="I648" i="5" s="1"/>
  <c r="F781" i="5"/>
  <c r="I781" i="5" s="1"/>
  <c r="G781" i="5"/>
  <c r="J781" i="5" s="1"/>
  <c r="G701" i="5"/>
  <c r="J701" i="5" s="1"/>
  <c r="F701" i="5"/>
  <c r="I701" i="5" s="1"/>
  <c r="G557" i="5"/>
  <c r="J557" i="5" s="1"/>
  <c r="F557" i="5"/>
  <c r="I557" i="5" s="1"/>
  <c r="G528" i="5"/>
  <c r="F528" i="5"/>
  <c r="E557" i="5"/>
  <c r="H557" i="5" s="1"/>
  <c r="F560" i="5"/>
  <c r="I560" i="5" s="1"/>
  <c r="G764" i="5"/>
  <c r="J764" i="5" s="1"/>
  <c r="F764" i="5"/>
  <c r="I764" i="5" s="1"/>
  <c r="G700" i="5"/>
  <c r="J700" i="5" s="1"/>
  <c r="F700" i="5"/>
  <c r="I700" i="5" s="1"/>
  <c r="G660" i="5"/>
  <c r="J660" i="5" s="1"/>
  <c r="F660" i="5"/>
  <c r="I660" i="5" s="1"/>
  <c r="G604" i="5"/>
  <c r="J604" i="5" s="1"/>
  <c r="F604" i="5"/>
  <c r="I604" i="5" s="1"/>
  <c r="F605" i="5"/>
  <c r="I605" i="5" s="1"/>
  <c r="G659" i="5"/>
  <c r="J659" i="5" s="1"/>
  <c r="F659" i="5"/>
  <c r="I659" i="5" s="1"/>
  <c r="F649" i="5"/>
  <c r="I649" i="5" s="1"/>
  <c r="E782" i="5"/>
  <c r="H782" i="5" s="1"/>
  <c r="E764" i="5"/>
  <c r="H764" i="5" s="1"/>
  <c r="E660" i="5"/>
  <c r="H660" i="5" s="1"/>
  <c r="G763" i="5"/>
  <c r="J763" i="5" s="1"/>
  <c r="G752" i="5"/>
  <c r="J752" i="5" s="1"/>
  <c r="F752" i="5"/>
  <c r="I752" i="5" s="1"/>
  <c r="E781" i="5"/>
  <c r="H781" i="5" s="1"/>
  <c r="E701" i="5"/>
  <c r="H701" i="5" s="1"/>
  <c r="E659" i="5"/>
  <c r="H659" i="5" s="1"/>
  <c r="E649" i="5"/>
  <c r="H649" i="5" s="1"/>
  <c r="E605" i="5"/>
  <c r="H605" i="5" s="1"/>
  <c r="F280" i="5"/>
  <c r="I280" i="5" s="1"/>
  <c r="G280" i="5"/>
  <c r="J280" i="5" s="1"/>
  <c r="G488" i="5"/>
  <c r="J488" i="5" s="1"/>
  <c r="F488" i="5"/>
  <c r="I488" i="5" s="1"/>
  <c r="E488" i="5"/>
  <c r="H488" i="5" s="1"/>
  <c r="F519" i="5"/>
  <c r="I519" i="5" s="1"/>
  <c r="E519" i="5"/>
  <c r="H519" i="5" s="1"/>
  <c r="G519" i="5"/>
  <c r="J519" i="5" s="1"/>
  <c r="F489" i="5"/>
  <c r="I489" i="5" s="1"/>
  <c r="G518" i="5"/>
  <c r="J518" i="5" s="1"/>
  <c r="F518" i="5"/>
  <c r="I518" i="5" s="1"/>
  <c r="E518" i="5"/>
  <c r="H518" i="5" s="1"/>
  <c r="E489" i="5"/>
  <c r="H489" i="5" s="1"/>
  <c r="E279" i="5"/>
  <c r="H279" i="5" s="1"/>
  <c r="F299" i="5"/>
  <c r="I299" i="5" s="1"/>
  <c r="F275" i="5"/>
  <c r="I275" i="5" s="1"/>
  <c r="G300" i="5"/>
  <c r="J300" i="5" s="1"/>
  <c r="G275" i="5"/>
  <c r="J275" i="5" s="1"/>
  <c r="F283" i="5"/>
  <c r="I283" i="5" s="1"/>
  <c r="E299" i="5"/>
  <c r="H299" i="5" s="1"/>
  <c r="E283" i="5"/>
  <c r="H283" i="5" s="1"/>
  <c r="F279" i="5"/>
  <c r="I279" i="5" s="1"/>
  <c r="E241" i="5"/>
  <c r="H241" i="5" s="1"/>
  <c r="F241" i="5"/>
  <c r="I241" i="5" s="1"/>
  <c r="E129" i="5"/>
  <c r="H129" i="5" s="1"/>
  <c r="F129" i="5"/>
  <c r="I129" i="5" s="1"/>
  <c r="G231" i="5"/>
  <c r="J231" i="5" s="1"/>
  <c r="E231" i="5"/>
  <c r="H231" i="5" s="1"/>
  <c r="F231" i="5"/>
  <c r="I231" i="5" s="1"/>
  <c r="G183" i="5"/>
  <c r="J183" i="5" s="1"/>
  <c r="E183" i="5"/>
  <c r="H183" i="5" s="1"/>
  <c r="F183" i="5"/>
  <c r="I183" i="5" s="1"/>
  <c r="G230" i="5"/>
  <c r="J230" i="5" s="1"/>
  <c r="F230" i="5"/>
  <c r="I230" i="5" s="1"/>
  <c r="G261" i="5"/>
  <c r="J261" i="5" s="1"/>
  <c r="F261" i="5"/>
  <c r="I261" i="5" s="1"/>
  <c r="E261" i="5"/>
  <c r="H261" i="5" s="1"/>
  <c r="G129" i="5"/>
  <c r="J129" i="5" s="1"/>
  <c r="G241" i="5"/>
  <c r="J241" i="5" s="1"/>
  <c r="F242" i="5"/>
  <c r="I242" i="5" s="1"/>
  <c r="G242" i="5"/>
  <c r="J242" i="5" s="1"/>
  <c r="E242" i="5"/>
  <c r="H242" i="5" s="1"/>
  <c r="F184" i="5"/>
  <c r="I184" i="5" s="1"/>
  <c r="G184" i="5"/>
  <c r="J184" i="5" s="1"/>
  <c r="F128" i="5"/>
  <c r="I128" i="5" s="1"/>
  <c r="G128" i="5"/>
  <c r="J128" i="5" s="1"/>
  <c r="E260" i="5"/>
  <c r="H260" i="5" s="1"/>
  <c r="G22" i="5"/>
  <c r="J22" i="5" s="1"/>
  <c r="F22" i="5"/>
  <c r="I22" i="5" s="1"/>
  <c r="E23" i="5"/>
  <c r="H23" i="5" s="1"/>
  <c r="F260" i="5"/>
  <c r="I260" i="5" s="1"/>
  <c r="E22" i="5"/>
  <c r="H22" i="5" s="1"/>
  <c r="E184" i="5"/>
  <c r="H184" i="5" s="1"/>
  <c r="E128" i="5"/>
  <c r="H128" i="5" s="1"/>
  <c r="F23" i="5"/>
  <c r="I23" i="5" s="1"/>
  <c r="E10" i="5"/>
  <c r="G10" i="5"/>
  <c r="E698" i="5"/>
  <c r="H698" i="5" s="1"/>
  <c r="E22" i="4"/>
  <c r="H22" i="4" s="1"/>
  <c r="E10" i="4"/>
  <c r="H10" i="4" s="1"/>
  <c r="F10" i="4"/>
  <c r="G5" i="4"/>
  <c r="G10" i="4"/>
  <c r="J10" i="4" s="1"/>
  <c r="E5" i="4"/>
  <c r="F526" i="4"/>
  <c r="I526" i="4" s="1"/>
  <c r="G526" i="4"/>
  <c r="J526" i="4" s="1"/>
  <c r="E526" i="4"/>
  <c r="H526" i="4" s="1"/>
  <c r="G302" i="4"/>
  <c r="J302" i="4" s="1"/>
  <c r="F302" i="4"/>
  <c r="I302" i="4" s="1"/>
  <c r="E302" i="4"/>
  <c r="H302" i="4" s="1"/>
  <c r="E125" i="4"/>
  <c r="H125" i="4" s="1"/>
  <c r="E45" i="4"/>
  <c r="H45" i="4" s="1"/>
  <c r="E184" i="4"/>
  <c r="H184" i="4" s="1"/>
  <c r="F184" i="4"/>
  <c r="I184" i="4" s="1"/>
  <c r="F183" i="4"/>
  <c r="I183" i="4" s="1"/>
  <c r="F23" i="4"/>
  <c r="I23" i="4" s="1"/>
  <c r="E434" i="4"/>
  <c r="H434" i="4" s="1"/>
  <c r="E275" i="4"/>
  <c r="H275" i="4" s="1"/>
  <c r="F275" i="4"/>
  <c r="I275" i="4" s="1"/>
  <c r="G275" i="4"/>
  <c r="J275" i="4" s="1"/>
  <c r="E283" i="4"/>
  <c r="H283" i="4" s="1"/>
  <c r="G283" i="4"/>
  <c r="J283" i="4" s="1"/>
  <c r="F283" i="4"/>
  <c r="I283" i="4" s="1"/>
  <c r="E409" i="4"/>
  <c r="H409" i="4" s="1"/>
  <c r="F301" i="4"/>
  <c r="I301" i="4" s="1"/>
  <c r="E286" i="4"/>
  <c r="H286" i="4" s="1"/>
  <c r="F281" i="4"/>
  <c r="I281" i="4" s="1"/>
  <c r="G281" i="4"/>
  <c r="J281" i="4" s="1"/>
  <c r="G754" i="4"/>
  <c r="J754" i="4" s="1"/>
  <c r="F754" i="4"/>
  <c r="I754" i="4" s="1"/>
  <c r="E754" i="4"/>
  <c r="H754" i="4" s="1"/>
  <c r="G784" i="4"/>
  <c r="J784" i="4" s="1"/>
  <c r="E784" i="4"/>
  <c r="H784" i="4" s="1"/>
  <c r="F784" i="4"/>
  <c r="I784" i="4" s="1"/>
  <c r="G632" i="4"/>
  <c r="J632" i="4" s="1"/>
  <c r="F632" i="4"/>
  <c r="I632" i="4" s="1"/>
  <c r="E632" i="4"/>
  <c r="H632" i="4" s="1"/>
  <c r="E734" i="4"/>
  <c r="H734" i="4" s="1"/>
  <c r="G765" i="4"/>
  <c r="J765" i="4" s="1"/>
  <c r="F765" i="4"/>
  <c r="I765" i="4" s="1"/>
  <c r="E765" i="4"/>
  <c r="H765" i="4" s="1"/>
  <c r="G650" i="4"/>
  <c r="J650" i="4" s="1"/>
  <c r="E650" i="4"/>
  <c r="H650" i="4" s="1"/>
  <c r="F650" i="4"/>
  <c r="I650" i="4" s="1"/>
  <c r="E642" i="4"/>
  <c r="H642" i="4" s="1"/>
  <c r="G562" i="4"/>
  <c r="J562" i="4" s="1"/>
  <c r="E562" i="4"/>
  <c r="H562" i="4" s="1"/>
  <c r="F562" i="4"/>
  <c r="I562" i="4" s="1"/>
  <c r="G753" i="4"/>
  <c r="J753" i="4" s="1"/>
  <c r="F753" i="4"/>
  <c r="I753" i="4" s="1"/>
  <c r="G633" i="4"/>
  <c r="J633" i="4" s="1"/>
  <c r="F633" i="4"/>
  <c r="I633" i="4" s="1"/>
  <c r="E766" i="4"/>
  <c r="H766" i="4" s="1"/>
  <c r="E702" i="4"/>
  <c r="H702" i="4" s="1"/>
  <c r="E660" i="4"/>
  <c r="H660" i="4" s="1"/>
  <c r="E651" i="4"/>
  <c r="H651" i="4" s="1"/>
  <c r="E549" i="4"/>
  <c r="H549" i="4" s="1"/>
  <c r="F660" i="4"/>
  <c r="I660" i="4" s="1"/>
  <c r="F651" i="4"/>
  <c r="I651" i="4" s="1"/>
  <c r="G783" i="4"/>
  <c r="J783" i="4" s="1"/>
  <c r="G607" i="4"/>
  <c r="G557" i="4"/>
  <c r="J557" i="4" s="1"/>
  <c r="E557" i="4"/>
  <c r="H557" i="4" s="1"/>
  <c r="F703" i="4"/>
  <c r="I703" i="4" s="1"/>
  <c r="E739" i="4"/>
  <c r="H739" i="4" s="1"/>
  <c r="E699" i="4"/>
  <c r="H699" i="4" s="1"/>
  <c r="E675" i="4"/>
  <c r="H675" i="4" s="1"/>
  <c r="E535" i="4"/>
  <c r="H535" i="4" s="1"/>
  <c r="F766" i="4"/>
  <c r="I766" i="4" s="1"/>
  <c r="F702" i="4"/>
  <c r="I702" i="4" s="1"/>
  <c r="E637" i="4"/>
  <c r="H637" i="4" s="1"/>
  <c r="E564" i="4"/>
  <c r="H564" i="4" s="1"/>
  <c r="E554" i="4"/>
  <c r="H554" i="4" s="1"/>
  <c r="G662" i="4"/>
  <c r="J662" i="4" s="1"/>
  <c r="E753" i="4"/>
  <c r="H753" i="4" s="1"/>
  <c r="E721" i="4"/>
  <c r="H721" i="4" s="1"/>
  <c r="E713" i="4"/>
  <c r="H713" i="4" s="1"/>
  <c r="E689" i="4"/>
  <c r="H689" i="4" s="1"/>
  <c r="E681" i="4"/>
  <c r="H681" i="4" s="1"/>
  <c r="F530" i="4"/>
  <c r="E534" i="4"/>
  <c r="H534" i="4" s="1"/>
  <c r="E662" i="4"/>
  <c r="H662" i="4" s="1"/>
  <c r="E616" i="4"/>
  <c r="H616" i="4" s="1"/>
  <c r="E607" i="4"/>
  <c r="H607" i="4" s="1"/>
  <c r="F5" i="3"/>
  <c r="F521" i="3"/>
  <c r="I521" i="3" s="1"/>
  <c r="G521" i="3"/>
  <c r="J521" i="3" s="1"/>
  <c r="E521" i="3"/>
  <c r="H521" i="3" s="1"/>
  <c r="G785" i="3"/>
  <c r="J785" i="3" s="1"/>
  <c r="F785" i="3"/>
  <c r="I785" i="3" s="1"/>
  <c r="E785" i="3"/>
  <c r="H785" i="3" s="1"/>
  <c r="G745" i="3"/>
  <c r="J745" i="3" s="1"/>
  <c r="E745" i="3"/>
  <c r="H745" i="3" s="1"/>
  <c r="F745" i="3"/>
  <c r="I745" i="3" s="1"/>
  <c r="G625" i="3"/>
  <c r="J625" i="3" s="1"/>
  <c r="E625" i="3"/>
  <c r="H625" i="3" s="1"/>
  <c r="F625" i="3"/>
  <c r="I625" i="3" s="1"/>
  <c r="G5" i="3"/>
  <c r="G784" i="3"/>
  <c r="J784" i="3" s="1"/>
  <c r="E784" i="3"/>
  <c r="H784" i="3" s="1"/>
  <c r="F784" i="3"/>
  <c r="I784" i="3" s="1"/>
  <c r="F776" i="3"/>
  <c r="I776" i="3" s="1"/>
  <c r="G776" i="3"/>
  <c r="J776" i="3" s="1"/>
  <c r="E776" i="3"/>
  <c r="H776" i="3" s="1"/>
  <c r="E229" i="3"/>
  <c r="H229" i="3" s="1"/>
  <c r="F259" i="3"/>
  <c r="I259" i="3" s="1"/>
  <c r="F240" i="3"/>
  <c r="I240" i="3" s="1"/>
  <c r="G229" i="3"/>
  <c r="J229" i="3" s="1"/>
  <c r="F278" i="3"/>
  <c r="I278" i="3" s="1"/>
  <c r="G278" i="3"/>
  <c r="J278" i="3" s="1"/>
  <c r="E278" i="3"/>
  <c r="H278" i="3" s="1"/>
  <c r="G783" i="3"/>
  <c r="J783" i="3" s="1"/>
  <c r="E783" i="3"/>
  <c r="H783" i="3" s="1"/>
  <c r="F783" i="3"/>
  <c r="I783" i="3" s="1"/>
  <c r="G775" i="3"/>
  <c r="J775" i="3" s="1"/>
  <c r="E775" i="3"/>
  <c r="H775" i="3" s="1"/>
  <c r="F775" i="3"/>
  <c r="I775" i="3" s="1"/>
  <c r="G695" i="3"/>
  <c r="J695" i="3" s="1"/>
  <c r="F695" i="3"/>
  <c r="I695" i="3" s="1"/>
  <c r="E695" i="3"/>
  <c r="H695" i="3" s="1"/>
  <c r="E228" i="3"/>
  <c r="H228" i="3" s="1"/>
  <c r="F239" i="3"/>
  <c r="I239" i="3" s="1"/>
  <c r="G228" i="3"/>
  <c r="J228" i="3" s="1"/>
  <c r="G486" i="3"/>
  <c r="J486" i="3" s="1"/>
  <c r="F486" i="3"/>
  <c r="I486" i="3" s="1"/>
  <c r="E486" i="3"/>
  <c r="H486" i="3" s="1"/>
  <c r="G277" i="3"/>
  <c r="J277" i="3" s="1"/>
  <c r="E277" i="3"/>
  <c r="H277" i="3" s="1"/>
  <c r="F277" i="3"/>
  <c r="I277" i="3" s="1"/>
  <c r="G782" i="3"/>
  <c r="J782" i="3" s="1"/>
  <c r="E782" i="3"/>
  <c r="H782" i="3" s="1"/>
  <c r="F782" i="3"/>
  <c r="I782" i="3" s="1"/>
  <c r="F758" i="3"/>
  <c r="I758" i="3" s="1"/>
  <c r="G758" i="3"/>
  <c r="J758" i="3" s="1"/>
  <c r="E758" i="3"/>
  <c r="H758" i="3" s="1"/>
  <c r="F694" i="3"/>
  <c r="I694" i="3" s="1"/>
  <c r="G694" i="3"/>
  <c r="J694" i="3" s="1"/>
  <c r="E694" i="3"/>
  <c r="H694" i="3" s="1"/>
  <c r="G654" i="3"/>
  <c r="J654" i="3" s="1"/>
  <c r="E654" i="3"/>
  <c r="H654" i="3" s="1"/>
  <c r="F654" i="3"/>
  <c r="I654" i="3" s="1"/>
  <c r="G558" i="3"/>
  <c r="J558" i="3" s="1"/>
  <c r="F558" i="3"/>
  <c r="I558" i="3" s="1"/>
  <c r="E558" i="3"/>
  <c r="H558" i="3" s="1"/>
  <c r="G549" i="3"/>
  <c r="J549" i="3" s="1"/>
  <c r="F549" i="3"/>
  <c r="I549" i="3" s="1"/>
  <c r="E549" i="3"/>
  <c r="H549" i="3" s="1"/>
  <c r="E259" i="3"/>
  <c r="H259" i="3" s="1"/>
  <c r="E10" i="3"/>
  <c r="H10" i="3" s="1"/>
  <c r="E5" i="3"/>
  <c r="E247" i="3" s="1"/>
  <c r="H247" i="3" s="1"/>
  <c r="G485" i="3"/>
  <c r="J485" i="3" s="1"/>
  <c r="F485" i="3"/>
  <c r="I485" i="3" s="1"/>
  <c r="E485" i="3"/>
  <c r="H485" i="3" s="1"/>
  <c r="F781" i="3"/>
  <c r="I781" i="3" s="1"/>
  <c r="E781" i="3"/>
  <c r="H781" i="3" s="1"/>
  <c r="G781" i="3"/>
  <c r="J781" i="3" s="1"/>
  <c r="F757" i="3"/>
  <c r="I757" i="3" s="1"/>
  <c r="G757" i="3"/>
  <c r="J757" i="3" s="1"/>
  <c r="E757" i="3"/>
  <c r="H757" i="3" s="1"/>
  <c r="F653" i="3"/>
  <c r="I653" i="3" s="1"/>
  <c r="E653" i="3"/>
  <c r="H653" i="3" s="1"/>
  <c r="G653" i="3"/>
  <c r="J653" i="3" s="1"/>
  <c r="F557" i="3"/>
  <c r="I557" i="3" s="1"/>
  <c r="E557" i="3"/>
  <c r="H557" i="3" s="1"/>
  <c r="G557" i="3"/>
  <c r="J557" i="3" s="1"/>
  <c r="E258" i="3"/>
  <c r="H258" i="3" s="1"/>
  <c r="F516" i="3"/>
  <c r="I516" i="3" s="1"/>
  <c r="G516" i="3"/>
  <c r="J516" i="3" s="1"/>
  <c r="E516" i="3"/>
  <c r="H516" i="3" s="1"/>
  <c r="G275" i="3"/>
  <c r="J275" i="3" s="1"/>
  <c r="F275" i="3"/>
  <c r="I275" i="3" s="1"/>
  <c r="E275" i="3"/>
  <c r="H275" i="3" s="1"/>
  <c r="F780" i="3"/>
  <c r="I780" i="3" s="1"/>
  <c r="G780" i="3"/>
  <c r="J780" i="3" s="1"/>
  <c r="E780" i="3"/>
  <c r="H780" i="3" s="1"/>
  <c r="E644" i="3"/>
  <c r="H644" i="3" s="1"/>
  <c r="G644" i="3"/>
  <c r="J644" i="3" s="1"/>
  <c r="F644" i="3"/>
  <c r="I644" i="3" s="1"/>
  <c r="G515" i="3"/>
  <c r="J515" i="3" s="1"/>
  <c r="E515" i="3"/>
  <c r="H515" i="3" s="1"/>
  <c r="F515" i="3"/>
  <c r="I515" i="3" s="1"/>
  <c r="G283" i="3"/>
  <c r="J283" i="3" s="1"/>
  <c r="E283" i="3"/>
  <c r="H283" i="3" s="1"/>
  <c r="F283" i="3"/>
  <c r="I283" i="3" s="1"/>
  <c r="G643" i="3"/>
  <c r="J643" i="3" s="1"/>
  <c r="F643" i="3"/>
  <c r="I643" i="3" s="1"/>
  <c r="E643" i="3"/>
  <c r="H643" i="3" s="1"/>
  <c r="E240" i="3"/>
  <c r="H240" i="3" s="1"/>
  <c r="G10" i="3"/>
  <c r="J10" i="3" s="1"/>
  <c r="F10" i="3"/>
  <c r="G786" i="3"/>
  <c r="J786" i="3" s="1"/>
  <c r="E786" i="3"/>
  <c r="H786" i="3" s="1"/>
  <c r="F786" i="3"/>
  <c r="I786" i="3" s="1"/>
  <c r="G746" i="3"/>
  <c r="J746" i="3" s="1"/>
  <c r="E746" i="3"/>
  <c r="H746" i="3" s="1"/>
  <c r="F746" i="3"/>
  <c r="I746" i="3" s="1"/>
  <c r="G626" i="3"/>
  <c r="J626" i="3" s="1"/>
  <c r="E626" i="3"/>
  <c r="H626" i="3" s="1"/>
  <c r="F626" i="3"/>
  <c r="I626" i="3" s="1"/>
  <c r="G525" i="3"/>
  <c r="F525" i="3"/>
  <c r="E525" i="3"/>
  <c r="H525" i="3" s="1"/>
  <c r="M158" i="5" l="1"/>
  <c r="M222" i="5"/>
  <c r="M31" i="5"/>
  <c r="M95" i="5"/>
  <c r="M159" i="5"/>
  <c r="M239" i="5"/>
  <c r="M40" i="5"/>
  <c r="M104" i="5"/>
  <c r="M176" i="5"/>
  <c r="M248" i="5"/>
  <c r="M57" i="5"/>
  <c r="M121" i="5"/>
  <c r="M193" i="5"/>
  <c r="M779" i="5"/>
  <c r="M698" i="5"/>
  <c r="M615" i="5"/>
  <c r="M778" i="5"/>
  <c r="M706" i="5"/>
  <c r="M625" i="5"/>
  <c r="M785" i="5"/>
  <c r="M705" i="5"/>
  <c r="M623" i="5"/>
  <c r="M501" i="5"/>
  <c r="M723" i="5"/>
  <c r="M643" i="5"/>
  <c r="M547" i="5"/>
  <c r="M750" i="5"/>
  <c r="M671" i="5"/>
  <c r="M577" i="5"/>
  <c r="M758" i="5"/>
  <c r="M670" i="5"/>
  <c r="M562" i="5"/>
  <c r="M747" i="5"/>
  <c r="M639" i="5"/>
  <c r="M521" i="5"/>
  <c r="M728" i="5"/>
  <c r="M627" i="5"/>
  <c r="M520" i="5"/>
  <c r="M672" i="5"/>
  <c r="M600" i="5"/>
  <c r="M494" i="5"/>
  <c r="M430" i="5"/>
  <c r="M366" i="5"/>
  <c r="M302" i="5"/>
  <c r="M445" i="5"/>
  <c r="M381" i="5"/>
  <c r="M317" i="5"/>
  <c r="M452" i="5"/>
  <c r="M388" i="5"/>
  <c r="M324" i="5"/>
  <c r="M573" i="5"/>
  <c r="M483" i="5"/>
  <c r="M419" i="5"/>
  <c r="M355" i="5"/>
  <c r="M756" i="5"/>
  <c r="M684" i="5"/>
  <c r="M612" i="5"/>
  <c r="M514" i="5"/>
  <c r="M450" i="5"/>
  <c r="M386" i="5"/>
  <c r="M322" i="5"/>
  <c r="M457" i="5"/>
  <c r="M393" i="5"/>
  <c r="M329" i="5"/>
  <c r="M472" i="5"/>
  <c r="M408" i="5"/>
  <c r="M344" i="5"/>
  <c r="M529" i="5"/>
  <c r="M455" i="5"/>
  <c r="M391" i="5"/>
  <c r="M327" i="5"/>
  <c r="M769" i="5"/>
  <c r="M685" i="5"/>
  <c r="M603" i="5"/>
  <c r="M784" i="5"/>
  <c r="M703" i="5"/>
  <c r="M622" i="5"/>
  <c r="M500" i="5"/>
  <c r="M731" i="5"/>
  <c r="M651" i="5"/>
  <c r="M555" i="5"/>
  <c r="M739" i="5"/>
  <c r="M641" i="5"/>
  <c r="M512" i="5"/>
  <c r="M729" i="5"/>
  <c r="M618" i="5"/>
  <c r="M493" i="5"/>
  <c r="M709" i="5"/>
  <c r="M606" i="5"/>
  <c r="M492" i="5"/>
  <c r="M656" i="5"/>
  <c r="M584" i="5"/>
  <c r="M478" i="5"/>
  <c r="M414" i="5"/>
  <c r="M350" i="5"/>
  <c r="M286" i="5"/>
  <c r="M429" i="5"/>
  <c r="M365" i="5"/>
  <c r="M301" i="5"/>
  <c r="M436" i="5"/>
  <c r="M372" i="5"/>
  <c r="M308" i="5"/>
  <c r="M533" i="5"/>
  <c r="M467" i="5"/>
  <c r="M403" i="5"/>
  <c r="M339" i="5"/>
  <c r="M740" i="5"/>
  <c r="M668" i="5"/>
  <c r="M588" i="5"/>
  <c r="M498" i="5"/>
  <c r="M434" i="5"/>
  <c r="M370" i="5"/>
  <c r="M306" i="5"/>
  <c r="M441" i="5"/>
  <c r="M377" i="5"/>
  <c r="M313" i="5"/>
  <c r="M456" i="5"/>
  <c r="M392" i="5"/>
  <c r="M328" i="5"/>
  <c r="M503" i="5"/>
  <c r="M439" i="5"/>
  <c r="M375" i="5"/>
  <c r="M311" i="5"/>
  <c r="M597" i="5"/>
  <c r="M712" i="5"/>
  <c r="M640" i="5"/>
  <c r="M576" i="5"/>
  <c r="M470" i="5"/>
  <c r="M406" i="5"/>
  <c r="M342" i="5"/>
  <c r="M278" i="5"/>
  <c r="M421" i="5"/>
  <c r="M357" i="5"/>
  <c r="M293" i="5"/>
  <c r="M428" i="5"/>
  <c r="M364" i="5"/>
  <c r="M292" i="5"/>
  <c r="M523" i="5"/>
  <c r="M459" i="5"/>
  <c r="M395" i="5"/>
  <c r="M331" i="5"/>
  <c r="M732" i="5"/>
  <c r="M652" i="5"/>
  <c r="M580" i="5"/>
  <c r="M490" i="5"/>
  <c r="M426" i="5"/>
  <c r="M362" i="5"/>
  <c r="M298" i="5"/>
  <c r="M433" i="5"/>
  <c r="M369" i="5"/>
  <c r="M305" i="5"/>
  <c r="M448" i="5"/>
  <c r="M384" i="5"/>
  <c r="M320" i="5"/>
  <c r="M495" i="5"/>
  <c r="M431" i="5"/>
  <c r="M367" i="5"/>
  <c r="M303" i="5"/>
  <c r="M134" i="5"/>
  <c r="M198" i="5"/>
  <c r="M15" i="5"/>
  <c r="M71" i="5"/>
  <c r="M135" i="5"/>
  <c r="M207" i="5"/>
  <c r="M16" i="5"/>
  <c r="M80" i="5"/>
  <c r="M152" i="5"/>
  <c r="M224" i="5"/>
  <c r="M33" i="5"/>
  <c r="M97" i="5"/>
  <c r="M169" i="5"/>
  <c r="M233" i="5"/>
  <c r="M727" i="5"/>
  <c r="M647" i="5"/>
  <c r="M550" i="5"/>
  <c r="M735" i="5"/>
  <c r="M655" i="5"/>
  <c r="M558" i="5"/>
  <c r="M734" i="5"/>
  <c r="M654" i="5"/>
  <c r="M567" i="5"/>
  <c r="M760" i="5"/>
  <c r="M673" i="5"/>
  <c r="M591" i="5"/>
  <c r="M775" i="5"/>
  <c r="M702" i="5"/>
  <c r="M610" i="5"/>
  <c r="M480" i="5"/>
  <c r="M711" i="5"/>
  <c r="M599" i="5"/>
  <c r="M773" i="5"/>
  <c r="M690" i="5"/>
  <c r="M586" i="5"/>
  <c r="M755" i="5"/>
  <c r="M678" i="5"/>
  <c r="M571" i="5"/>
  <c r="M696" i="5"/>
  <c r="M624" i="5"/>
  <c r="M552" i="5"/>
  <c r="M454" i="5"/>
  <c r="M390" i="5"/>
  <c r="M326" i="5"/>
  <c r="M469" i="5"/>
  <c r="M405" i="5"/>
  <c r="M341" i="5"/>
  <c r="M277" i="5"/>
  <c r="M412" i="5"/>
  <c r="M348" i="5"/>
  <c r="M276" i="5"/>
  <c r="M507" i="5"/>
  <c r="M443" i="5"/>
  <c r="M379" i="5"/>
  <c r="M315" i="5"/>
  <c r="M716" i="5"/>
  <c r="M636" i="5"/>
  <c r="M564" i="5"/>
  <c r="M474" i="5"/>
  <c r="M410" i="5"/>
  <c r="M346" i="5"/>
  <c r="M481" i="5"/>
  <c r="M417" i="5"/>
  <c r="M353" i="5"/>
  <c r="M289" i="5"/>
  <c r="M432" i="5"/>
  <c r="M368" i="5"/>
  <c r="M304" i="5"/>
  <c r="M479" i="5"/>
  <c r="M415" i="5"/>
  <c r="M351" i="5"/>
  <c r="M287" i="5"/>
  <c r="M122" i="5"/>
  <c r="M186" i="5"/>
  <c r="M258" i="5"/>
  <c r="M67" i="5"/>
  <c r="M131" i="5"/>
  <c r="M195" i="5"/>
  <c r="M259" i="5"/>
  <c r="M68" i="5"/>
  <c r="M132" i="5"/>
  <c r="M196" i="5"/>
  <c r="M61" i="5"/>
  <c r="M125" i="5"/>
  <c r="M189" i="5"/>
  <c r="M253" i="5"/>
  <c r="M78" i="5"/>
  <c r="M142" i="5"/>
  <c r="M206" i="5"/>
  <c r="M79" i="5"/>
  <c r="H5" i="5" s="1"/>
  <c r="M143" i="5"/>
  <c r="M215" i="5"/>
  <c r="M24" i="5"/>
  <c r="M88" i="5"/>
  <c r="M160" i="5"/>
  <c r="M232" i="5"/>
  <c r="M41" i="5"/>
  <c r="M105" i="5"/>
  <c r="M177" i="5"/>
  <c r="M249" i="5"/>
  <c r="M718" i="5"/>
  <c r="M637" i="5"/>
  <c r="M534" i="5"/>
  <c r="M726" i="5"/>
  <c r="M646" i="5"/>
  <c r="M531" i="5"/>
  <c r="M725" i="5"/>
  <c r="M645" i="5"/>
  <c r="M530" i="5"/>
  <c r="M742" i="5"/>
  <c r="M662" i="5"/>
  <c r="M578" i="5"/>
  <c r="M767" i="5"/>
  <c r="M693" i="5"/>
  <c r="M601" i="5"/>
  <c r="M774" i="5"/>
  <c r="M691" i="5"/>
  <c r="M587" i="5"/>
  <c r="M765" i="5"/>
  <c r="M679" i="5"/>
  <c r="M574" i="5"/>
  <c r="M746" i="5"/>
  <c r="M667" i="5"/>
  <c r="M551" i="5"/>
  <c r="M688" i="5"/>
  <c r="M616" i="5"/>
  <c r="M510" i="5"/>
  <c r="M446" i="5"/>
  <c r="M382" i="5"/>
  <c r="M318" i="5"/>
  <c r="M461" i="5"/>
  <c r="M397" i="5"/>
  <c r="M333" i="5"/>
  <c r="M468" i="5"/>
  <c r="M404" i="5"/>
  <c r="M340" i="5"/>
  <c r="M589" i="5"/>
  <c r="M499" i="5"/>
  <c r="M435" i="5"/>
  <c r="M371" i="5"/>
  <c r="M307" i="5"/>
  <c r="M708" i="5"/>
  <c r="M628" i="5"/>
  <c r="M532" i="5"/>
  <c r="M466" i="5"/>
  <c r="M402" i="5"/>
  <c r="M338" i="5"/>
  <c r="M473" i="5"/>
  <c r="M409" i="5"/>
  <c r="M345" i="5"/>
  <c r="M281" i="5"/>
  <c r="M424" i="5"/>
  <c r="M360" i="5"/>
  <c r="M296" i="5"/>
  <c r="M471" i="5"/>
  <c r="M407" i="5"/>
  <c r="E523" i="5"/>
  <c r="H523" i="5" s="1"/>
  <c r="E106" i="4"/>
  <c r="H106" i="4" s="1"/>
  <c r="E473" i="4"/>
  <c r="H473" i="4" s="1"/>
  <c r="E581" i="4"/>
  <c r="H581" i="4" s="1"/>
  <c r="E533" i="4"/>
  <c r="H533" i="4" s="1"/>
  <c r="G652" i="4"/>
  <c r="J652" i="4" s="1"/>
  <c r="E309" i="4"/>
  <c r="H309" i="4" s="1"/>
  <c r="E627" i="4"/>
  <c r="H627" i="4" s="1"/>
  <c r="E777" i="4"/>
  <c r="H777" i="4" s="1"/>
  <c r="E565" i="4"/>
  <c r="H565" i="4" s="1"/>
  <c r="E630" i="4"/>
  <c r="H630" i="4" s="1"/>
  <c r="E748" i="4"/>
  <c r="H748" i="4" s="1"/>
  <c r="E696" i="4"/>
  <c r="H696" i="4" s="1"/>
  <c r="E276" i="4"/>
  <c r="H276" i="4" s="1"/>
  <c r="E520" i="4"/>
  <c r="H520" i="4" s="1"/>
  <c r="E152" i="4"/>
  <c r="H152" i="4" s="1"/>
  <c r="E406" i="4"/>
  <c r="H406" i="4" s="1"/>
  <c r="E324" i="4"/>
  <c r="H324" i="4" s="1"/>
  <c r="E348" i="4"/>
  <c r="H348" i="4" s="1"/>
  <c r="E769" i="4"/>
  <c r="H769" i="4" s="1"/>
  <c r="E575" i="4"/>
  <c r="H575" i="4" s="1"/>
  <c r="E580" i="4"/>
  <c r="H580" i="4" s="1"/>
  <c r="E636" i="4"/>
  <c r="H636" i="4" s="1"/>
  <c r="E638" i="4"/>
  <c r="H638" i="4" s="1"/>
  <c r="E752" i="4"/>
  <c r="H752" i="4" s="1"/>
  <c r="E336" i="4"/>
  <c r="H336" i="4" s="1"/>
  <c r="E383" i="4"/>
  <c r="H383" i="4" s="1"/>
  <c r="E362" i="4"/>
  <c r="H362" i="4" s="1"/>
  <c r="G11" i="4"/>
  <c r="J11" i="4" s="1"/>
  <c r="E758" i="4"/>
  <c r="H758" i="4" s="1"/>
  <c r="E764" i="4"/>
  <c r="H764" i="4" s="1"/>
  <c r="E591" i="4"/>
  <c r="H591" i="4" s="1"/>
  <c r="E768" i="4"/>
  <c r="H768" i="4" s="1"/>
  <c r="E341" i="4"/>
  <c r="H341" i="4" s="1"/>
  <c r="E521" i="4"/>
  <c r="H521" i="4" s="1"/>
  <c r="E447" i="4"/>
  <c r="H447" i="4" s="1"/>
  <c r="E333" i="4"/>
  <c r="H333" i="4" s="1"/>
  <c r="E352" i="4"/>
  <c r="H352" i="4" s="1"/>
  <c r="E458" i="4"/>
  <c r="H458" i="4" s="1"/>
  <c r="E412" i="4"/>
  <c r="H412" i="4" s="1"/>
  <c r="E20" i="4"/>
  <c r="H20" i="4" s="1"/>
  <c r="E157" i="4"/>
  <c r="H157" i="4" s="1"/>
  <c r="E486" i="4"/>
  <c r="H486" i="4" s="1"/>
  <c r="E421" i="4"/>
  <c r="H421" i="4" s="1"/>
  <c r="E455" i="4"/>
  <c r="H455" i="4" s="1"/>
  <c r="E506" i="4"/>
  <c r="H506" i="4" s="1"/>
  <c r="E76" i="4"/>
  <c r="H76" i="4" s="1"/>
  <c r="E221" i="4"/>
  <c r="H221" i="4" s="1"/>
  <c r="E592" i="4"/>
  <c r="H592" i="4" s="1"/>
  <c r="E547" i="4"/>
  <c r="H547" i="4" s="1"/>
  <c r="E690" i="4"/>
  <c r="H690" i="4" s="1"/>
  <c r="E589" i="4"/>
  <c r="H589" i="4" s="1"/>
  <c r="E359" i="4"/>
  <c r="H359" i="4" s="1"/>
  <c r="E745" i="4"/>
  <c r="H745" i="4" s="1"/>
  <c r="E779" i="4"/>
  <c r="H779" i="4" s="1"/>
  <c r="E605" i="4"/>
  <c r="H605" i="4" s="1"/>
  <c r="E774" i="4"/>
  <c r="H774" i="4" s="1"/>
  <c r="E706" i="4"/>
  <c r="H706" i="4" s="1"/>
  <c r="E701" i="4"/>
  <c r="H701" i="4" s="1"/>
  <c r="E437" i="4"/>
  <c r="H437" i="4" s="1"/>
  <c r="E329" i="4"/>
  <c r="H329" i="4" s="1"/>
  <c r="E479" i="4"/>
  <c r="H479" i="4" s="1"/>
  <c r="E487" i="4"/>
  <c r="H487" i="4" s="1"/>
  <c r="E416" i="4"/>
  <c r="H416" i="4" s="1"/>
  <c r="E291" i="4"/>
  <c r="H291" i="4" s="1"/>
  <c r="E56" i="4"/>
  <c r="H56" i="4" s="1"/>
  <c r="E100" i="4"/>
  <c r="H100" i="4" s="1"/>
  <c r="E237" i="4"/>
  <c r="H237" i="4" s="1"/>
  <c r="E737" i="4"/>
  <c r="H737" i="4" s="1"/>
  <c r="E763" i="4"/>
  <c r="H763" i="4" s="1"/>
  <c r="E280" i="4"/>
  <c r="H280" i="4" s="1"/>
  <c r="E400" i="4"/>
  <c r="H400" i="4" s="1"/>
  <c r="E644" i="4"/>
  <c r="H644" i="4" s="1"/>
  <c r="E645" i="4"/>
  <c r="H645" i="4" s="1"/>
  <c r="E619" i="4"/>
  <c r="H619" i="4" s="1"/>
  <c r="E601" i="4"/>
  <c r="H601" i="4" s="1"/>
  <c r="E604" i="4"/>
  <c r="H604" i="4" s="1"/>
  <c r="E653" i="4"/>
  <c r="H653" i="4" s="1"/>
  <c r="E663" i="4"/>
  <c r="H663" i="4" s="1"/>
  <c r="E628" i="4"/>
  <c r="H628" i="4" s="1"/>
  <c r="E620" i="4"/>
  <c r="H620" i="4" s="1"/>
  <c r="E649" i="4"/>
  <c r="H649" i="4" s="1"/>
  <c r="E623" i="4"/>
  <c r="H623" i="4" s="1"/>
  <c r="E578" i="4"/>
  <c r="H578" i="4" s="1"/>
  <c r="E571" i="4"/>
  <c r="H571" i="4" s="1"/>
  <c r="E749" i="4"/>
  <c r="H749" i="4" s="1"/>
  <c r="E485" i="4"/>
  <c r="H485" i="4" s="1"/>
  <c r="E345" i="4"/>
  <c r="H345" i="4" s="1"/>
  <c r="E511" i="4"/>
  <c r="H511" i="4" s="1"/>
  <c r="G303" i="4"/>
  <c r="E298" i="4"/>
  <c r="H298" i="4" s="1"/>
  <c r="E427" i="4"/>
  <c r="H427" i="4" s="1"/>
  <c r="E72" i="4"/>
  <c r="H72" i="4" s="1"/>
  <c r="E164" i="4"/>
  <c r="H164" i="4" s="1"/>
  <c r="E668" i="4"/>
  <c r="H668" i="4" s="1"/>
  <c r="E594" i="4"/>
  <c r="H594" i="4" s="1"/>
  <c r="E707" i="4"/>
  <c r="H707" i="4" s="1"/>
  <c r="E648" i="4"/>
  <c r="H648" i="4" s="1"/>
  <c r="E501" i="4"/>
  <c r="H501" i="4" s="1"/>
  <c r="E393" i="4"/>
  <c r="H393" i="4" s="1"/>
  <c r="G284" i="4"/>
  <c r="J284" i="4" s="1"/>
  <c r="E311" i="4"/>
  <c r="H311" i="4" s="1"/>
  <c r="E314" i="4"/>
  <c r="H314" i="4" s="1"/>
  <c r="E451" i="4"/>
  <c r="H451" i="4" s="1"/>
  <c r="E136" i="4"/>
  <c r="H136" i="4" s="1"/>
  <c r="E180" i="4"/>
  <c r="H180" i="4" s="1"/>
  <c r="E228" i="4"/>
  <c r="H228" i="4" s="1"/>
  <c r="E531" i="4"/>
  <c r="H531" i="4" s="1"/>
  <c r="E705" i="4"/>
  <c r="H705" i="4" s="1"/>
  <c r="E785" i="4"/>
  <c r="H785" i="4" s="1"/>
  <c r="E683" i="4"/>
  <c r="H683" i="4" s="1"/>
  <c r="E612" i="4"/>
  <c r="H612" i="4" s="1"/>
  <c r="E686" i="4"/>
  <c r="H686" i="4" s="1"/>
  <c r="E700" i="4"/>
  <c r="H700" i="4" s="1"/>
  <c r="G704" i="4"/>
  <c r="J704" i="4" s="1"/>
  <c r="E457" i="4"/>
  <c r="H457" i="4" s="1"/>
  <c r="E340" i="4"/>
  <c r="H340" i="4" s="1"/>
  <c r="E288" i="4"/>
  <c r="H288" i="4" s="1"/>
  <c r="E378" i="4"/>
  <c r="H378" i="4" s="1"/>
  <c r="E61" i="4"/>
  <c r="H61" i="4" s="1"/>
  <c r="E318" i="4"/>
  <c r="H318" i="4" s="1"/>
  <c r="E382" i="4"/>
  <c r="H382" i="4" s="1"/>
  <c r="E470" i="4"/>
  <c r="H470" i="4" s="1"/>
  <c r="E89" i="4"/>
  <c r="H89" i="4" s="1"/>
  <c r="E635" i="4"/>
  <c r="H635" i="4" s="1"/>
  <c r="E608" i="4"/>
  <c r="H608" i="4" s="1"/>
  <c r="E697" i="4"/>
  <c r="H697" i="4" s="1"/>
  <c r="E761" i="4"/>
  <c r="H761" i="4" s="1"/>
  <c r="E600" i="4"/>
  <c r="H600" i="4" s="1"/>
  <c r="E611" i="4"/>
  <c r="H611" i="4" s="1"/>
  <c r="E691" i="4"/>
  <c r="H691" i="4" s="1"/>
  <c r="E621" i="4"/>
  <c r="H621" i="4" s="1"/>
  <c r="G653" i="4"/>
  <c r="J653" i="4" s="1"/>
  <c r="E659" i="4"/>
  <c r="H659" i="4" s="1"/>
  <c r="E614" i="4"/>
  <c r="H614" i="4" s="1"/>
  <c r="E694" i="4"/>
  <c r="H694" i="4" s="1"/>
  <c r="G785" i="4"/>
  <c r="J785" i="4" s="1"/>
  <c r="E586" i="4"/>
  <c r="H586" i="4" s="1"/>
  <c r="E698" i="4"/>
  <c r="H698" i="4" s="1"/>
  <c r="E595" i="4"/>
  <c r="H595" i="4" s="1"/>
  <c r="E692" i="4"/>
  <c r="H692" i="4" s="1"/>
  <c r="E756" i="4"/>
  <c r="H756" i="4" s="1"/>
  <c r="E693" i="4"/>
  <c r="H693" i="4" s="1"/>
  <c r="E757" i="4"/>
  <c r="H757" i="4" s="1"/>
  <c r="E567" i="4"/>
  <c r="H567" i="4" s="1"/>
  <c r="E640" i="4"/>
  <c r="H640" i="4" s="1"/>
  <c r="E704" i="4"/>
  <c r="H704" i="4" s="1"/>
  <c r="E760" i="4"/>
  <c r="H760" i="4" s="1"/>
  <c r="E317" i="4"/>
  <c r="H317" i="4" s="1"/>
  <c r="E429" i="4"/>
  <c r="H429" i="4" s="1"/>
  <c r="E493" i="4"/>
  <c r="H493" i="4" s="1"/>
  <c r="E337" i="4"/>
  <c r="H337" i="4" s="1"/>
  <c r="E401" i="4"/>
  <c r="H401" i="4" s="1"/>
  <c r="E465" i="4"/>
  <c r="H465" i="4" s="1"/>
  <c r="E335" i="4"/>
  <c r="H335" i="4" s="1"/>
  <c r="E495" i="4"/>
  <c r="H495" i="4" s="1"/>
  <c r="E404" i="4"/>
  <c r="H404" i="4" s="1"/>
  <c r="E332" i="4"/>
  <c r="H332" i="4" s="1"/>
  <c r="E325" i="4"/>
  <c r="H325" i="4" s="1"/>
  <c r="E471" i="4"/>
  <c r="H471" i="4" s="1"/>
  <c r="E303" i="4"/>
  <c r="H303" i="4" s="1"/>
  <c r="E279" i="4"/>
  <c r="H279" i="4" s="1"/>
  <c r="E344" i="4"/>
  <c r="H344" i="4" s="1"/>
  <c r="E408" i="4"/>
  <c r="H408" i="4" s="1"/>
  <c r="E306" i="4"/>
  <c r="H306" i="4" s="1"/>
  <c r="E370" i="4"/>
  <c r="H370" i="4" s="1"/>
  <c r="E442" i="4"/>
  <c r="H442" i="4" s="1"/>
  <c r="E522" i="4"/>
  <c r="H522" i="4" s="1"/>
  <c r="E435" i="4"/>
  <c r="H435" i="4" s="1"/>
  <c r="E364" i="4"/>
  <c r="H364" i="4" s="1"/>
  <c r="E64" i="4"/>
  <c r="H64" i="4" s="1"/>
  <c r="E144" i="4"/>
  <c r="H144" i="4" s="1"/>
  <c r="E12" i="4"/>
  <c r="H12" i="4" s="1"/>
  <c r="E84" i="4"/>
  <c r="H84" i="4" s="1"/>
  <c r="E172" i="4"/>
  <c r="H172" i="4" s="1"/>
  <c r="E53" i="4"/>
  <c r="H53" i="4" s="1"/>
  <c r="E141" i="4"/>
  <c r="H141" i="4" s="1"/>
  <c r="E229" i="4"/>
  <c r="H229" i="4" s="1"/>
  <c r="E398" i="4"/>
  <c r="H398" i="4" s="1"/>
  <c r="E478" i="4"/>
  <c r="H478" i="4" s="1"/>
  <c r="E209" i="4"/>
  <c r="H209" i="4" s="1"/>
  <c r="E70" i="4"/>
  <c r="H70" i="4" s="1"/>
  <c r="E214" i="4"/>
  <c r="H214" i="4" s="1"/>
  <c r="E170" i="4"/>
  <c r="H170" i="4" s="1"/>
  <c r="M12" i="4"/>
  <c r="M20" i="4"/>
  <c r="M28" i="4"/>
  <c r="M36" i="4"/>
  <c r="M44" i="4"/>
  <c r="M52" i="4"/>
  <c r="M60" i="4"/>
  <c r="M68" i="4"/>
  <c r="M76" i="4"/>
  <c r="M84" i="4"/>
  <c r="M92" i="4"/>
  <c r="M100" i="4"/>
  <c r="M108" i="4"/>
  <c r="M116" i="4"/>
  <c r="M124" i="4"/>
  <c r="M132" i="4"/>
  <c r="M140" i="4"/>
  <c r="M148" i="4"/>
  <c r="M156" i="4"/>
  <c r="M164" i="4"/>
  <c r="M172" i="4"/>
  <c r="M180" i="4"/>
  <c r="M188" i="4"/>
  <c r="M196" i="4"/>
  <c r="M204" i="4"/>
  <c r="M212" i="4"/>
  <c r="M220" i="4"/>
  <c r="M228" i="4"/>
  <c r="M236" i="4"/>
  <c r="M244" i="4"/>
  <c r="M252" i="4"/>
  <c r="M278" i="4"/>
  <c r="M286" i="4"/>
  <c r="M294" i="4"/>
  <c r="M310" i="4"/>
  <c r="M318" i="4"/>
  <c r="M326" i="4"/>
  <c r="M334" i="4"/>
  <c r="M342" i="4"/>
  <c r="M350" i="4"/>
  <c r="M358" i="4"/>
  <c r="M366" i="4"/>
  <c r="M374" i="4"/>
  <c r="M382" i="4"/>
  <c r="M390" i="4"/>
  <c r="M398" i="4"/>
  <c r="M406" i="4"/>
  <c r="M414" i="4"/>
  <c r="M422" i="4"/>
  <c r="M430" i="4"/>
  <c r="M438" i="4"/>
  <c r="M446" i="4"/>
  <c r="M454" i="4"/>
  <c r="M462" i="4"/>
  <c r="M470" i="4"/>
  <c r="M478" i="4"/>
  <c r="M486" i="4"/>
  <c r="M494" i="4"/>
  <c r="M502" i="4"/>
  <c r="M510" i="4"/>
  <c r="M518" i="4"/>
  <c r="M13" i="4"/>
  <c r="M21" i="4"/>
  <c r="M29" i="4"/>
  <c r="M37" i="4"/>
  <c r="M45" i="4"/>
  <c r="M53" i="4"/>
  <c r="M61" i="4"/>
  <c r="M69" i="4"/>
  <c r="M77" i="4"/>
  <c r="M85" i="4"/>
  <c r="M93" i="4"/>
  <c r="M101" i="4"/>
  <c r="M109" i="4"/>
  <c r="M117" i="4"/>
  <c r="M125" i="4"/>
  <c r="M133" i="4"/>
  <c r="M141" i="4"/>
  <c r="M149" i="4"/>
  <c r="M157" i="4"/>
  <c r="M165" i="4"/>
  <c r="M173" i="4"/>
  <c r="M181" i="4"/>
  <c r="M189" i="4"/>
  <c r="M197" i="4"/>
  <c r="M205" i="4"/>
  <c r="M213" i="4"/>
  <c r="M221" i="4"/>
  <c r="M229" i="4"/>
  <c r="M237" i="4"/>
  <c r="M245" i="4"/>
  <c r="M253" i="4"/>
  <c r="M279" i="4"/>
  <c r="M287" i="4"/>
  <c r="M295" i="4"/>
  <c r="M303" i="4"/>
  <c r="M311" i="4"/>
  <c r="M319" i="4"/>
  <c r="M327" i="4"/>
  <c r="M335" i="4"/>
  <c r="M343" i="4"/>
  <c r="M351" i="4"/>
  <c r="M359" i="4"/>
  <c r="M367" i="4"/>
  <c r="M375" i="4"/>
  <c r="M383" i="4"/>
  <c r="M391" i="4"/>
  <c r="M399" i="4"/>
  <c r="M407" i="4"/>
  <c r="M415" i="4"/>
  <c r="M423" i="4"/>
  <c r="M431" i="4"/>
  <c r="M439" i="4"/>
  <c r="M447" i="4"/>
  <c r="M455" i="4"/>
  <c r="M463" i="4"/>
  <c r="M471" i="4"/>
  <c r="M479" i="4"/>
  <c r="M487" i="4"/>
  <c r="M14" i="4"/>
  <c r="M30" i="4"/>
  <c r="M38" i="4"/>
  <c r="M46" i="4"/>
  <c r="M54" i="4"/>
  <c r="M62" i="4"/>
  <c r="M70" i="4"/>
  <c r="M78" i="4"/>
  <c r="M86" i="4"/>
  <c r="M94" i="4"/>
  <c r="M102" i="4"/>
  <c r="M110" i="4"/>
  <c r="M118" i="4"/>
  <c r="M126" i="4"/>
  <c r="M134" i="4"/>
  <c r="M142" i="4"/>
  <c r="M150" i="4"/>
  <c r="M158" i="4"/>
  <c r="M166" i="4"/>
  <c r="M15" i="4"/>
  <c r="M31" i="4"/>
  <c r="M39" i="4"/>
  <c r="M47" i="4"/>
  <c r="M55" i="4"/>
  <c r="M63" i="4"/>
  <c r="M71" i="4"/>
  <c r="M79" i="4"/>
  <c r="M87" i="4"/>
  <c r="M95" i="4"/>
  <c r="M103" i="4"/>
  <c r="M111" i="4"/>
  <c r="M119" i="4"/>
  <c r="M127" i="4"/>
  <c r="M135" i="4"/>
  <c r="M143" i="4"/>
  <c r="M151" i="4"/>
  <c r="M159" i="4"/>
  <c r="M167" i="4"/>
  <c r="M175" i="4"/>
  <c r="M191" i="4"/>
  <c r="M199" i="4"/>
  <c r="M207" i="4"/>
  <c r="M215" i="4"/>
  <c r="M223" i="4"/>
  <c r="M231" i="4"/>
  <c r="M239" i="4"/>
  <c r="M247" i="4"/>
  <c r="M255" i="4"/>
  <c r="M273" i="4"/>
  <c r="M289" i="4"/>
  <c r="M297" i="4"/>
  <c r="M305" i="4"/>
  <c r="M313" i="4"/>
  <c r="M321" i="4"/>
  <c r="M329" i="4"/>
  <c r="M337" i="4"/>
  <c r="M345" i="4"/>
  <c r="M353" i="4"/>
  <c r="M361" i="4"/>
  <c r="M369" i="4"/>
  <c r="M377" i="4"/>
  <c r="M385" i="4"/>
  <c r="M393" i="4"/>
  <c r="M401" i="4"/>
  <c r="M409" i="4"/>
  <c r="M417" i="4"/>
  <c r="M425" i="4"/>
  <c r="M433" i="4"/>
  <c r="M441" i="4"/>
  <c r="M449" i="4"/>
  <c r="M457" i="4"/>
  <c r="M465" i="4"/>
  <c r="M473" i="4"/>
  <c r="M481" i="4"/>
  <c r="M489" i="4"/>
  <c r="M497" i="4"/>
  <c r="M505" i="4"/>
  <c r="M513" i="4"/>
  <c r="M521" i="4"/>
  <c r="M554" i="4"/>
  <c r="M570" i="4"/>
  <c r="M578" i="4"/>
  <c r="M586" i="4"/>
  <c r="M594" i="4"/>
  <c r="M602" i="4"/>
  <c r="M610" i="4"/>
  <c r="M618" i="4"/>
  <c r="M626" i="4"/>
  <c r="M634" i="4"/>
  <c r="M642" i="4"/>
  <c r="M658" i="4"/>
  <c r="M666" i="4"/>
  <c r="M674" i="4"/>
  <c r="M682" i="4"/>
  <c r="M690" i="4"/>
  <c r="M698" i="4"/>
  <c r="M706" i="4"/>
  <c r="M714" i="4"/>
  <c r="M722" i="4"/>
  <c r="M730" i="4"/>
  <c r="M16" i="4"/>
  <c r="M24" i="4"/>
  <c r="M32" i="4"/>
  <c r="M40" i="4"/>
  <c r="M48" i="4"/>
  <c r="M56" i="4"/>
  <c r="M64" i="4"/>
  <c r="M72" i="4"/>
  <c r="M80" i="4"/>
  <c r="M88" i="4"/>
  <c r="M96" i="4"/>
  <c r="M104" i="4"/>
  <c r="M112" i="4"/>
  <c r="M120" i="4"/>
  <c r="M128" i="4"/>
  <c r="M136" i="4"/>
  <c r="M144" i="4"/>
  <c r="M152" i="4"/>
  <c r="M160" i="4"/>
  <c r="M168" i="4"/>
  <c r="M176" i="4"/>
  <c r="M192" i="4"/>
  <c r="M200" i="4"/>
  <c r="M208" i="4"/>
  <c r="M216" i="4"/>
  <c r="M224" i="4"/>
  <c r="M232" i="4"/>
  <c r="M240" i="4"/>
  <c r="M248" i="4"/>
  <c r="M256" i="4"/>
  <c r="M290" i="4"/>
  <c r="M298" i="4"/>
  <c r="M306" i="4"/>
  <c r="M314" i="4"/>
  <c r="M322" i="4"/>
  <c r="M330" i="4"/>
  <c r="M338" i="4"/>
  <c r="M346" i="4"/>
  <c r="M354" i="4"/>
  <c r="M362" i="4"/>
  <c r="M370" i="4"/>
  <c r="M378" i="4"/>
  <c r="M386" i="4"/>
  <c r="M394" i="4"/>
  <c r="M402" i="4"/>
  <c r="M410" i="4"/>
  <c r="M418" i="4"/>
  <c r="M426" i="4"/>
  <c r="M434" i="4"/>
  <c r="M442" i="4"/>
  <c r="M450" i="4"/>
  <c r="M458" i="4"/>
  <c r="M466" i="4"/>
  <c r="M474" i="4"/>
  <c r="M482" i="4"/>
  <c r="M490" i="4"/>
  <c r="M498" i="4"/>
  <c r="M506" i="4"/>
  <c r="M514" i="4"/>
  <c r="M522" i="4"/>
  <c r="M531" i="4"/>
  <c r="M17" i="4"/>
  <c r="M25" i="4"/>
  <c r="M33" i="4"/>
  <c r="M41" i="4"/>
  <c r="M49" i="4"/>
  <c r="M57" i="4"/>
  <c r="M65" i="4"/>
  <c r="M73" i="4"/>
  <c r="M81" i="4"/>
  <c r="M89" i="4"/>
  <c r="M97" i="4"/>
  <c r="M105" i="4"/>
  <c r="M113" i="4"/>
  <c r="M121" i="4"/>
  <c r="M129" i="4"/>
  <c r="M137" i="4"/>
  <c r="M145" i="4"/>
  <c r="M153" i="4"/>
  <c r="M161" i="4"/>
  <c r="M169" i="4"/>
  <c r="M177" i="4"/>
  <c r="M185" i="4"/>
  <c r="M193" i="4"/>
  <c r="M201" i="4"/>
  <c r="M209" i="4"/>
  <c r="M217" i="4"/>
  <c r="M225" i="4"/>
  <c r="M233" i="4"/>
  <c r="M241" i="4"/>
  <c r="M249" i="4"/>
  <c r="M257" i="4"/>
  <c r="M291" i="4"/>
  <c r="M299" i="4"/>
  <c r="M307" i="4"/>
  <c r="M315" i="4"/>
  <c r="M323" i="4"/>
  <c r="M331" i="4"/>
  <c r="M339" i="4"/>
  <c r="M347" i="4"/>
  <c r="M355" i="4"/>
  <c r="M363" i="4"/>
  <c r="M371" i="4"/>
  <c r="M379" i="4"/>
  <c r="M387" i="4"/>
  <c r="M395" i="4"/>
  <c r="M403" i="4"/>
  <c r="M411" i="4"/>
  <c r="M419" i="4"/>
  <c r="M427" i="4"/>
  <c r="M435" i="4"/>
  <c r="M443" i="4"/>
  <c r="M451" i="4"/>
  <c r="M459" i="4"/>
  <c r="M467" i="4"/>
  <c r="M475" i="4"/>
  <c r="M483" i="4"/>
  <c r="M491" i="4"/>
  <c r="M499" i="4"/>
  <c r="M507" i="4"/>
  <c r="M515" i="4"/>
  <c r="M523" i="4"/>
  <c r="M532" i="4"/>
  <c r="M564" i="4"/>
  <c r="M572" i="4"/>
  <c r="M580" i="4"/>
  <c r="M588" i="4"/>
  <c r="M596" i="4"/>
  <c r="M604" i="4"/>
  <c r="M612" i="4"/>
  <c r="M620" i="4"/>
  <c r="M628" i="4"/>
  <c r="M636" i="4"/>
  <c r="M644" i="4"/>
  <c r="M652" i="4"/>
  <c r="M668" i="4"/>
  <c r="M676" i="4"/>
  <c r="M684" i="4"/>
  <c r="M692" i="4"/>
  <c r="M700" i="4"/>
  <c r="M708" i="4"/>
  <c r="M716" i="4"/>
  <c r="M724" i="4"/>
  <c r="M18" i="4"/>
  <c r="M26" i="4"/>
  <c r="M34" i="4"/>
  <c r="M42" i="4"/>
  <c r="M50" i="4"/>
  <c r="M58" i="4"/>
  <c r="M66" i="4"/>
  <c r="M74" i="4"/>
  <c r="M82" i="4"/>
  <c r="M90" i="4"/>
  <c r="M98" i="4"/>
  <c r="M106" i="4"/>
  <c r="M114" i="4"/>
  <c r="M122" i="4"/>
  <c r="M130" i="4"/>
  <c r="M138" i="4"/>
  <c r="M146" i="4"/>
  <c r="M154" i="4"/>
  <c r="M162" i="4"/>
  <c r="M170" i="4"/>
  <c r="M178" i="4"/>
  <c r="M186" i="4"/>
  <c r="M194" i="4"/>
  <c r="M202" i="4"/>
  <c r="M210" i="4"/>
  <c r="M218" i="4"/>
  <c r="M226" i="4"/>
  <c r="M234" i="4"/>
  <c r="M242" i="4"/>
  <c r="M250" i="4"/>
  <c r="M258" i="4"/>
  <c r="M276" i="4"/>
  <c r="M284" i="4"/>
  <c r="M292" i="4"/>
  <c r="M300" i="4"/>
  <c r="M308" i="4"/>
  <c r="M316" i="4"/>
  <c r="M324" i="4"/>
  <c r="M332" i="4"/>
  <c r="M340" i="4"/>
  <c r="M348" i="4"/>
  <c r="M356" i="4"/>
  <c r="M364" i="4"/>
  <c r="M372" i="4"/>
  <c r="M380" i="4"/>
  <c r="M388" i="4"/>
  <c r="M396" i="4"/>
  <c r="M404" i="4"/>
  <c r="M412" i="4"/>
  <c r="M420" i="4"/>
  <c r="M428" i="4"/>
  <c r="M436" i="4"/>
  <c r="M444" i="4"/>
  <c r="M452" i="4"/>
  <c r="M460" i="4"/>
  <c r="M468" i="4"/>
  <c r="M476" i="4"/>
  <c r="M484" i="4"/>
  <c r="M492" i="4"/>
  <c r="M500" i="4"/>
  <c r="M508" i="4"/>
  <c r="M516" i="4"/>
  <c r="M524" i="4"/>
  <c r="M533" i="4"/>
  <c r="M565" i="4"/>
  <c r="M573" i="4"/>
  <c r="M581" i="4"/>
  <c r="M589" i="4"/>
  <c r="M597" i="4"/>
  <c r="M605" i="4"/>
  <c r="M613" i="4"/>
  <c r="M621" i="4"/>
  <c r="M629" i="4"/>
  <c r="M637" i="4"/>
  <c r="M645" i="4"/>
  <c r="M653" i="4"/>
  <c r="M669" i="4"/>
  <c r="M677" i="4"/>
  <c r="M685" i="4"/>
  <c r="M693" i="4"/>
  <c r="M701" i="4"/>
  <c r="M709" i="4"/>
  <c r="M717" i="4"/>
  <c r="M725" i="4"/>
  <c r="M75" i="4"/>
  <c r="M139" i="4"/>
  <c r="M211" i="4"/>
  <c r="M243" i="4"/>
  <c r="M277" i="4"/>
  <c r="M296" i="4"/>
  <c r="M325" i="4"/>
  <c r="M357" i="4"/>
  <c r="M389" i="4"/>
  <c r="M421" i="4"/>
  <c r="M453" i="4"/>
  <c r="M485" i="4"/>
  <c r="M509" i="4"/>
  <c r="M547" i="4"/>
  <c r="M566" i="4"/>
  <c r="M577" i="4"/>
  <c r="M591" i="4"/>
  <c r="M603" i="4"/>
  <c r="M616" i="4"/>
  <c r="M630" i="4"/>
  <c r="M641" i="4"/>
  <c r="M654" i="4"/>
  <c r="M663" i="4"/>
  <c r="M675" i="4"/>
  <c r="M688" i="4"/>
  <c r="M713" i="4"/>
  <c r="M727" i="4"/>
  <c r="M736" i="4"/>
  <c r="M744" i="4"/>
  <c r="M752" i="4"/>
  <c r="M760" i="4"/>
  <c r="M768" i="4"/>
  <c r="M776" i="4"/>
  <c r="M83" i="4"/>
  <c r="M147" i="4"/>
  <c r="M214" i="4"/>
  <c r="M246" i="4"/>
  <c r="M280" i="4"/>
  <c r="M328" i="4"/>
  <c r="M360" i="4"/>
  <c r="M392" i="4"/>
  <c r="M424" i="4"/>
  <c r="M456" i="4"/>
  <c r="M488" i="4"/>
  <c r="M511" i="4"/>
  <c r="M567" i="4"/>
  <c r="M579" i="4"/>
  <c r="M592" i="4"/>
  <c r="M617" i="4"/>
  <c r="M631" i="4"/>
  <c r="M643" i="4"/>
  <c r="M655" i="4"/>
  <c r="M664" i="4"/>
  <c r="M678" i="4"/>
  <c r="M689" i="4"/>
  <c r="M715" i="4"/>
  <c r="M728" i="4"/>
  <c r="M737" i="4"/>
  <c r="M745" i="4"/>
  <c r="M761" i="4"/>
  <c r="M769" i="4"/>
  <c r="M777" i="4"/>
  <c r="M785" i="4"/>
  <c r="M27" i="4"/>
  <c r="M91" i="4"/>
  <c r="M155" i="4"/>
  <c r="M187" i="4"/>
  <c r="M219" i="4"/>
  <c r="M251" i="4"/>
  <c r="M333" i="4"/>
  <c r="M365" i="4"/>
  <c r="M397" i="4"/>
  <c r="M429" i="4"/>
  <c r="M461" i="4"/>
  <c r="M493" i="4"/>
  <c r="M512" i="4"/>
  <c r="M558" i="4"/>
  <c r="M568" i="4"/>
  <c r="M582" i="4"/>
  <c r="M593" i="4"/>
  <c r="M619" i="4"/>
  <c r="M646" i="4"/>
  <c r="M656" i="4"/>
  <c r="M665" i="4"/>
  <c r="M679" i="4"/>
  <c r="M691" i="4"/>
  <c r="M704" i="4"/>
  <c r="M718" i="4"/>
  <c r="M729" i="4"/>
  <c r="M738" i="4"/>
  <c r="M746" i="4"/>
  <c r="M762" i="4"/>
  <c r="M770" i="4"/>
  <c r="M778" i="4"/>
  <c r="M786" i="4"/>
  <c r="M35" i="4"/>
  <c r="M99" i="4"/>
  <c r="M163" i="4"/>
  <c r="M190" i="4"/>
  <c r="M222" i="4"/>
  <c r="M254" i="4"/>
  <c r="M304" i="4"/>
  <c r="M336" i="4"/>
  <c r="M368" i="4"/>
  <c r="M400" i="4"/>
  <c r="M432" i="4"/>
  <c r="M464" i="4"/>
  <c r="M495" i="4"/>
  <c r="M517" i="4"/>
  <c r="M534" i="4"/>
  <c r="M550" i="4"/>
  <c r="M559" i="4"/>
  <c r="M569" i="4"/>
  <c r="M583" i="4"/>
  <c r="M595" i="4"/>
  <c r="M608" i="4"/>
  <c r="M622" i="4"/>
  <c r="M647" i="4"/>
  <c r="M657" i="4"/>
  <c r="M667" i="4"/>
  <c r="M680" i="4"/>
  <c r="M694" i="4"/>
  <c r="M705" i="4"/>
  <c r="M719" i="4"/>
  <c r="M731" i="4"/>
  <c r="M739" i="4"/>
  <c r="M747" i="4"/>
  <c r="M755" i="4"/>
  <c r="M763" i="4"/>
  <c r="M771" i="4"/>
  <c r="M779" i="4"/>
  <c r="M787" i="4"/>
  <c r="M43" i="4"/>
  <c r="M107" i="4"/>
  <c r="M171" i="4"/>
  <c r="M195" i="4"/>
  <c r="M227" i="4"/>
  <c r="M259" i="4"/>
  <c r="M309" i="4"/>
  <c r="M341" i="4"/>
  <c r="M373" i="4"/>
  <c r="M405" i="4"/>
  <c r="M437" i="4"/>
  <c r="M469" i="4"/>
  <c r="M496" i="4"/>
  <c r="M519" i="4"/>
  <c r="M551" i="4"/>
  <c r="M560" i="4"/>
  <c r="M571" i="4"/>
  <c r="M584" i="4"/>
  <c r="M598" i="4"/>
  <c r="M609" i="4"/>
  <c r="M623" i="4"/>
  <c r="M635" i="4"/>
  <c r="M648" i="4"/>
  <c r="M659" i="4"/>
  <c r="M670" i="4"/>
  <c r="M681" i="4"/>
  <c r="M695" i="4"/>
  <c r="M707" i="4"/>
  <c r="M720" i="4"/>
  <c r="M732" i="4"/>
  <c r="M740" i="4"/>
  <c r="M748" i="4"/>
  <c r="M756" i="4"/>
  <c r="M764" i="4"/>
  <c r="M772" i="4"/>
  <c r="M780" i="4"/>
  <c r="M51" i="4"/>
  <c r="M115" i="4"/>
  <c r="M174" i="4"/>
  <c r="M198" i="4"/>
  <c r="M230" i="4"/>
  <c r="M285" i="4"/>
  <c r="M312" i="4"/>
  <c r="M344" i="4"/>
  <c r="M376" i="4"/>
  <c r="M408" i="4"/>
  <c r="M440" i="4"/>
  <c r="M472" i="4"/>
  <c r="M501" i="4"/>
  <c r="M520" i="4"/>
  <c r="M552" i="4"/>
  <c r="M561" i="4"/>
  <c r="M574" i="4"/>
  <c r="M585" i="4"/>
  <c r="M599" i="4"/>
  <c r="M611" i="4"/>
  <c r="M624" i="4"/>
  <c r="M638" i="4"/>
  <c r="M649" i="4"/>
  <c r="M671" i="4"/>
  <c r="M683" i="4"/>
  <c r="M696" i="4"/>
  <c r="M710" i="4"/>
  <c r="M721" i="4"/>
  <c r="M733" i="4"/>
  <c r="M741" i="4"/>
  <c r="M749" i="4"/>
  <c r="M757" i="4"/>
  <c r="M773" i="4"/>
  <c r="M781" i="4"/>
  <c r="M11" i="4"/>
  <c r="M59" i="4"/>
  <c r="M123" i="4"/>
  <c r="M179" i="4"/>
  <c r="M203" i="4"/>
  <c r="M235" i="4"/>
  <c r="M288" i="4"/>
  <c r="M317" i="4"/>
  <c r="M349" i="4"/>
  <c r="M381" i="4"/>
  <c r="M413" i="4"/>
  <c r="M445" i="4"/>
  <c r="M477" i="4"/>
  <c r="M503" i="4"/>
  <c r="M525" i="4"/>
  <c r="M553" i="4"/>
  <c r="M575" i="4"/>
  <c r="M587" i="4"/>
  <c r="M600" i="4"/>
  <c r="M614" i="4"/>
  <c r="M625" i="4"/>
  <c r="M639" i="4"/>
  <c r="M672" i="4"/>
  <c r="M686" i="4"/>
  <c r="M697" i="4"/>
  <c r="M711" i="4"/>
  <c r="M723" i="4"/>
  <c r="M734" i="4"/>
  <c r="M742" i="4"/>
  <c r="M750" i="4"/>
  <c r="M758" i="4"/>
  <c r="M774" i="4"/>
  <c r="M782" i="4"/>
  <c r="M19" i="4"/>
  <c r="M67" i="4"/>
  <c r="M131" i="4"/>
  <c r="M182" i="4"/>
  <c r="M206" i="4"/>
  <c r="M238" i="4"/>
  <c r="M293" i="4"/>
  <c r="M320" i="4"/>
  <c r="M352" i="4"/>
  <c r="M384" i="4"/>
  <c r="M416" i="4"/>
  <c r="M448" i="4"/>
  <c r="M480" i="4"/>
  <c r="M504" i="4"/>
  <c r="M555" i="4"/>
  <c r="M576" i="4"/>
  <c r="M590" i="4"/>
  <c r="M601" i="4"/>
  <c r="M615" i="4"/>
  <c r="M627" i="4"/>
  <c r="M640" i="4"/>
  <c r="M673" i="4"/>
  <c r="M687" i="4"/>
  <c r="M699" i="4"/>
  <c r="M712" i="4"/>
  <c r="M726" i="4"/>
  <c r="M735" i="4"/>
  <c r="M743" i="4"/>
  <c r="M751" i="4"/>
  <c r="M759" i="4"/>
  <c r="M767" i="4"/>
  <c r="M775" i="4"/>
  <c r="E142" i="4"/>
  <c r="H142" i="4" s="1"/>
  <c r="E232" i="4"/>
  <c r="H232" i="4" s="1"/>
  <c r="E25" i="4"/>
  <c r="H25" i="4" s="1"/>
  <c r="M260" i="4"/>
  <c r="E555" i="4"/>
  <c r="H555" i="4" s="1"/>
  <c r="E629" i="4"/>
  <c r="H629" i="4" s="1"/>
  <c r="E715" i="4"/>
  <c r="H715" i="4" s="1"/>
  <c r="E639" i="4"/>
  <c r="H639" i="4" s="1"/>
  <c r="E576" i="4"/>
  <c r="H576" i="4" s="1"/>
  <c r="E677" i="4"/>
  <c r="H677" i="4" s="1"/>
  <c r="E641" i="4"/>
  <c r="H641" i="4" s="1"/>
  <c r="E710" i="4"/>
  <c r="H710" i="4" s="1"/>
  <c r="E782" i="4"/>
  <c r="H782" i="4" s="1"/>
  <c r="E553" i="4"/>
  <c r="H553" i="4" s="1"/>
  <c r="E602" i="4"/>
  <c r="H602" i="4" s="1"/>
  <c r="E714" i="4"/>
  <c r="H714" i="4" s="1"/>
  <c r="E723" i="4"/>
  <c r="H723" i="4" s="1"/>
  <c r="E708" i="4"/>
  <c r="H708" i="4" s="1"/>
  <c r="E772" i="4"/>
  <c r="H772" i="4" s="1"/>
  <c r="E709" i="4"/>
  <c r="H709" i="4" s="1"/>
  <c r="E599" i="4"/>
  <c r="H599" i="4" s="1"/>
  <c r="E656" i="4"/>
  <c r="H656" i="4" s="1"/>
  <c r="E712" i="4"/>
  <c r="H712" i="4" s="1"/>
  <c r="E776" i="4"/>
  <c r="H776" i="4" s="1"/>
  <c r="E762" i="4"/>
  <c r="H762" i="4" s="1"/>
  <c r="E381" i="4"/>
  <c r="H381" i="4" s="1"/>
  <c r="E445" i="4"/>
  <c r="H445" i="4" s="1"/>
  <c r="E509" i="4"/>
  <c r="H509" i="4" s="1"/>
  <c r="E289" i="4"/>
  <c r="H289" i="4" s="1"/>
  <c r="E353" i="4"/>
  <c r="H353" i="4" s="1"/>
  <c r="E417" i="4"/>
  <c r="H417" i="4" s="1"/>
  <c r="E481" i="4"/>
  <c r="H481" i="4" s="1"/>
  <c r="E380" i="4"/>
  <c r="H380" i="4" s="1"/>
  <c r="G273" i="4"/>
  <c r="E464" i="4"/>
  <c r="H464" i="4" s="1"/>
  <c r="E284" i="4"/>
  <c r="H284" i="4" s="1"/>
  <c r="E343" i="4"/>
  <c r="H343" i="4" s="1"/>
  <c r="E349" i="4"/>
  <c r="H349" i="4" s="1"/>
  <c r="E503" i="4"/>
  <c r="H503" i="4" s="1"/>
  <c r="E319" i="4"/>
  <c r="H319" i="4" s="1"/>
  <c r="E296" i="4"/>
  <c r="H296" i="4" s="1"/>
  <c r="E360" i="4"/>
  <c r="H360" i="4" s="1"/>
  <c r="E424" i="4"/>
  <c r="H424" i="4" s="1"/>
  <c r="E322" i="4"/>
  <c r="H322" i="4" s="1"/>
  <c r="E394" i="4"/>
  <c r="H394" i="4" s="1"/>
  <c r="E466" i="4"/>
  <c r="H466" i="4" s="1"/>
  <c r="E299" i="4"/>
  <c r="H299" i="4" s="1"/>
  <c r="E467" i="4"/>
  <c r="H467" i="4" s="1"/>
  <c r="E436" i="4"/>
  <c r="H436" i="4" s="1"/>
  <c r="E80" i="4"/>
  <c r="H80" i="4" s="1"/>
  <c r="E168" i="4"/>
  <c r="H168" i="4" s="1"/>
  <c r="E28" i="4"/>
  <c r="H28" i="4" s="1"/>
  <c r="E108" i="4"/>
  <c r="H108" i="4" s="1"/>
  <c r="E188" i="4"/>
  <c r="H188" i="4" s="1"/>
  <c r="E77" i="4"/>
  <c r="H77" i="4" s="1"/>
  <c r="E165" i="4"/>
  <c r="H165" i="4" s="1"/>
  <c r="E245" i="4"/>
  <c r="H245" i="4" s="1"/>
  <c r="E334" i="4"/>
  <c r="H334" i="4" s="1"/>
  <c r="E414" i="4"/>
  <c r="H414" i="4" s="1"/>
  <c r="E494" i="4"/>
  <c r="H494" i="4" s="1"/>
  <c r="E236" i="4"/>
  <c r="H236" i="4" s="1"/>
  <c r="E17" i="4"/>
  <c r="H17" i="4" s="1"/>
  <c r="E202" i="4"/>
  <c r="H202" i="4" s="1"/>
  <c r="E16" i="4"/>
  <c r="H16" i="4" s="1"/>
  <c r="E657" i="4"/>
  <c r="H657" i="4" s="1"/>
  <c r="E685" i="4"/>
  <c r="H685" i="4" s="1"/>
  <c r="E559" i="4"/>
  <c r="H559" i="4" s="1"/>
  <c r="E718" i="4"/>
  <c r="H718" i="4" s="1"/>
  <c r="E610" i="4"/>
  <c r="H610" i="4" s="1"/>
  <c r="E658" i="4"/>
  <c r="H658" i="4" s="1"/>
  <c r="E722" i="4"/>
  <c r="H722" i="4" s="1"/>
  <c r="E731" i="4"/>
  <c r="H731" i="4" s="1"/>
  <c r="E716" i="4"/>
  <c r="H716" i="4" s="1"/>
  <c r="E780" i="4"/>
  <c r="H780" i="4" s="1"/>
  <c r="E717" i="4"/>
  <c r="H717" i="4" s="1"/>
  <c r="G767" i="4"/>
  <c r="E664" i="4"/>
  <c r="H664" i="4" s="1"/>
  <c r="E720" i="4"/>
  <c r="H720" i="4" s="1"/>
  <c r="E770" i="4"/>
  <c r="H770" i="4" s="1"/>
  <c r="E389" i="4"/>
  <c r="H389" i="4" s="1"/>
  <c r="E453" i="4"/>
  <c r="H453" i="4" s="1"/>
  <c r="E517" i="4"/>
  <c r="H517" i="4" s="1"/>
  <c r="E297" i="4"/>
  <c r="H297" i="4" s="1"/>
  <c r="E361" i="4"/>
  <c r="H361" i="4" s="1"/>
  <c r="E425" i="4"/>
  <c r="H425" i="4" s="1"/>
  <c r="E489" i="4"/>
  <c r="H489" i="4" s="1"/>
  <c r="E403" i="4"/>
  <c r="H403" i="4" s="1"/>
  <c r="E273" i="4"/>
  <c r="E480" i="4"/>
  <c r="H480" i="4" s="1"/>
  <c r="E292" i="4"/>
  <c r="H292" i="4" s="1"/>
  <c r="E407" i="4"/>
  <c r="H407" i="4" s="1"/>
  <c r="E357" i="4"/>
  <c r="H357" i="4" s="1"/>
  <c r="E519" i="4"/>
  <c r="H519" i="4" s="1"/>
  <c r="E456" i="4"/>
  <c r="H456" i="4" s="1"/>
  <c r="E304" i="4"/>
  <c r="H304" i="4" s="1"/>
  <c r="E368" i="4"/>
  <c r="H368" i="4" s="1"/>
  <c r="E432" i="4"/>
  <c r="H432" i="4" s="1"/>
  <c r="E330" i="4"/>
  <c r="H330" i="4" s="1"/>
  <c r="E402" i="4"/>
  <c r="H402" i="4" s="1"/>
  <c r="E474" i="4"/>
  <c r="H474" i="4" s="1"/>
  <c r="E315" i="4"/>
  <c r="H315" i="4" s="1"/>
  <c r="E483" i="4"/>
  <c r="H483" i="4" s="1"/>
  <c r="E88" i="4"/>
  <c r="H88" i="4" s="1"/>
  <c r="E36" i="4"/>
  <c r="H36" i="4" s="1"/>
  <c r="E116" i="4"/>
  <c r="H116" i="4" s="1"/>
  <c r="E212" i="4"/>
  <c r="H212" i="4" s="1"/>
  <c r="E93" i="4"/>
  <c r="H93" i="4" s="1"/>
  <c r="E173" i="4"/>
  <c r="H173" i="4" s="1"/>
  <c r="E253" i="4"/>
  <c r="H253" i="4" s="1"/>
  <c r="E342" i="4"/>
  <c r="H342" i="4" s="1"/>
  <c r="E422" i="4"/>
  <c r="H422" i="4" s="1"/>
  <c r="E510" i="4"/>
  <c r="H510" i="4" s="1"/>
  <c r="E252" i="4"/>
  <c r="H252" i="4" s="1"/>
  <c r="E49" i="4"/>
  <c r="H49" i="4" s="1"/>
  <c r="E226" i="4"/>
  <c r="H226" i="4" s="1"/>
  <c r="E256" i="4"/>
  <c r="H256" i="4" s="1"/>
  <c r="E551" i="4"/>
  <c r="H551" i="4" s="1"/>
  <c r="E671" i="4"/>
  <c r="H671" i="4" s="1"/>
  <c r="E654" i="4"/>
  <c r="H654" i="4" s="1"/>
  <c r="E729" i="4"/>
  <c r="H729" i="4" s="1"/>
  <c r="G550" i="4"/>
  <c r="J550" i="4" s="1"/>
  <c r="E646" i="4"/>
  <c r="H646" i="4" s="1"/>
  <c r="E574" i="4"/>
  <c r="H574" i="4" s="1"/>
  <c r="E647" i="4"/>
  <c r="H647" i="4" s="1"/>
  <c r="E747" i="4"/>
  <c r="H747" i="4" s="1"/>
  <c r="E584" i="4"/>
  <c r="H584" i="4" s="1"/>
  <c r="E667" i="4"/>
  <c r="H667" i="4" s="1"/>
  <c r="E613" i="4"/>
  <c r="H613" i="4" s="1"/>
  <c r="G531" i="4"/>
  <c r="E577" i="4"/>
  <c r="H577" i="4" s="1"/>
  <c r="E726" i="4"/>
  <c r="H726" i="4" s="1"/>
  <c r="E618" i="4"/>
  <c r="H618" i="4" s="1"/>
  <c r="E666" i="4"/>
  <c r="H666" i="4" s="1"/>
  <c r="E730" i="4"/>
  <c r="H730" i="4" s="1"/>
  <c r="E771" i="4"/>
  <c r="H771" i="4" s="1"/>
  <c r="E724" i="4"/>
  <c r="H724" i="4" s="1"/>
  <c r="G547" i="4"/>
  <c r="J547" i="4" s="1"/>
  <c r="E725" i="4"/>
  <c r="H725" i="4" s="1"/>
  <c r="E773" i="4"/>
  <c r="H773" i="4" s="1"/>
  <c r="E568" i="4"/>
  <c r="H568" i="4" s="1"/>
  <c r="E672" i="4"/>
  <c r="H672" i="4" s="1"/>
  <c r="E728" i="4"/>
  <c r="H728" i="4" s="1"/>
  <c r="E778" i="4"/>
  <c r="H778" i="4" s="1"/>
  <c r="E397" i="4"/>
  <c r="H397" i="4" s="1"/>
  <c r="E461" i="4"/>
  <c r="H461" i="4" s="1"/>
  <c r="E525" i="4"/>
  <c r="H525" i="4" s="1"/>
  <c r="E305" i="4"/>
  <c r="H305" i="4" s="1"/>
  <c r="E369" i="4"/>
  <c r="H369" i="4" s="1"/>
  <c r="E433" i="4"/>
  <c r="H433" i="4" s="1"/>
  <c r="E497" i="4"/>
  <c r="H497" i="4" s="1"/>
  <c r="E423" i="4"/>
  <c r="H423" i="4" s="1"/>
  <c r="E496" i="4"/>
  <c r="H496" i="4" s="1"/>
  <c r="E300" i="4"/>
  <c r="H300" i="4" s="1"/>
  <c r="G276" i="4"/>
  <c r="J276" i="4" s="1"/>
  <c r="E365" i="4"/>
  <c r="H365" i="4" s="1"/>
  <c r="E278" i="4"/>
  <c r="H278" i="4" s="1"/>
  <c r="E472" i="4"/>
  <c r="H472" i="4" s="1"/>
  <c r="E312" i="4"/>
  <c r="H312" i="4" s="1"/>
  <c r="E376" i="4"/>
  <c r="H376" i="4" s="1"/>
  <c r="E440" i="4"/>
  <c r="H440" i="4" s="1"/>
  <c r="E338" i="4"/>
  <c r="H338" i="4" s="1"/>
  <c r="E410" i="4"/>
  <c r="H410" i="4" s="1"/>
  <c r="E482" i="4"/>
  <c r="H482" i="4" s="1"/>
  <c r="E339" i="4"/>
  <c r="H339" i="4" s="1"/>
  <c r="E515" i="4"/>
  <c r="H515" i="4" s="1"/>
  <c r="E24" i="4"/>
  <c r="H24" i="4" s="1"/>
  <c r="E104" i="4"/>
  <c r="H104" i="4" s="1"/>
  <c r="E192" i="4"/>
  <c r="H192" i="4" s="1"/>
  <c r="E44" i="4"/>
  <c r="H44" i="4" s="1"/>
  <c r="E124" i="4"/>
  <c r="H124" i="4" s="1"/>
  <c r="E13" i="4"/>
  <c r="H13" i="4" s="1"/>
  <c r="E101" i="4"/>
  <c r="H101" i="4" s="1"/>
  <c r="E181" i="4"/>
  <c r="H181" i="4" s="1"/>
  <c r="E261" i="4"/>
  <c r="H261" i="4" s="1"/>
  <c r="E350" i="4"/>
  <c r="H350" i="4" s="1"/>
  <c r="E430" i="4"/>
  <c r="H430" i="4" s="1"/>
  <c r="E260" i="4"/>
  <c r="H260" i="4" s="1"/>
  <c r="E42" i="4"/>
  <c r="H42" i="4" s="1"/>
  <c r="E248" i="4"/>
  <c r="H248" i="4" s="1"/>
  <c r="E129" i="4"/>
  <c r="H129" i="4" s="1"/>
  <c r="M261" i="4"/>
  <c r="E655" i="4"/>
  <c r="H655" i="4" s="1"/>
  <c r="E583" i="4"/>
  <c r="H583" i="4" s="1"/>
  <c r="E665" i="4"/>
  <c r="H665" i="4" s="1"/>
  <c r="E755" i="4"/>
  <c r="H755" i="4" s="1"/>
  <c r="E593" i="4"/>
  <c r="H593" i="4" s="1"/>
  <c r="E676" i="4"/>
  <c r="H676" i="4" s="1"/>
  <c r="E622" i="4"/>
  <c r="H622" i="4" s="1"/>
  <c r="G551" i="4"/>
  <c r="J551" i="4" s="1"/>
  <c r="E587" i="4"/>
  <c r="H587" i="4" s="1"/>
  <c r="E669" i="4"/>
  <c r="H669" i="4" s="1"/>
  <c r="E742" i="4"/>
  <c r="H742" i="4" s="1"/>
  <c r="G705" i="4"/>
  <c r="J705" i="4" s="1"/>
  <c r="E626" i="4"/>
  <c r="H626" i="4" s="1"/>
  <c r="E674" i="4"/>
  <c r="H674" i="4" s="1"/>
  <c r="E738" i="4"/>
  <c r="H738" i="4" s="1"/>
  <c r="G564" i="4"/>
  <c r="J564" i="4" s="1"/>
  <c r="E732" i="4"/>
  <c r="H732" i="4" s="1"/>
  <c r="E733" i="4"/>
  <c r="H733" i="4" s="1"/>
  <c r="E781" i="4"/>
  <c r="H781" i="4" s="1"/>
  <c r="E680" i="4"/>
  <c r="H680" i="4" s="1"/>
  <c r="E736" i="4"/>
  <c r="H736" i="4" s="1"/>
  <c r="E786" i="4"/>
  <c r="H786" i="4" s="1"/>
  <c r="E405" i="4"/>
  <c r="H405" i="4" s="1"/>
  <c r="E469" i="4"/>
  <c r="H469" i="4" s="1"/>
  <c r="E313" i="4"/>
  <c r="H313" i="4" s="1"/>
  <c r="E377" i="4"/>
  <c r="H377" i="4" s="1"/>
  <c r="E441" i="4"/>
  <c r="H441" i="4" s="1"/>
  <c r="E505" i="4"/>
  <c r="H505" i="4" s="1"/>
  <c r="E444" i="4"/>
  <c r="H444" i="4" s="1"/>
  <c r="E512" i="4"/>
  <c r="H512" i="4" s="1"/>
  <c r="E308" i="4"/>
  <c r="H308" i="4" s="1"/>
  <c r="E285" i="4"/>
  <c r="H285" i="4" s="1"/>
  <c r="E373" i="4"/>
  <c r="H373" i="4" s="1"/>
  <c r="E287" i="4"/>
  <c r="H287" i="4" s="1"/>
  <c r="E488" i="4"/>
  <c r="H488" i="4" s="1"/>
  <c r="E320" i="4"/>
  <c r="H320" i="4" s="1"/>
  <c r="E384" i="4"/>
  <c r="H384" i="4" s="1"/>
  <c r="E448" i="4"/>
  <c r="H448" i="4" s="1"/>
  <c r="E346" i="4"/>
  <c r="H346" i="4" s="1"/>
  <c r="E418" i="4"/>
  <c r="H418" i="4" s="1"/>
  <c r="E490" i="4"/>
  <c r="H490" i="4" s="1"/>
  <c r="E371" i="4"/>
  <c r="H371" i="4" s="1"/>
  <c r="E40" i="4"/>
  <c r="H40" i="4" s="1"/>
  <c r="E120" i="4"/>
  <c r="H120" i="4" s="1"/>
  <c r="E200" i="4"/>
  <c r="H200" i="4" s="1"/>
  <c r="E60" i="4"/>
  <c r="H60" i="4" s="1"/>
  <c r="E132" i="4"/>
  <c r="H132" i="4" s="1"/>
  <c r="E29" i="4"/>
  <c r="H29" i="4" s="1"/>
  <c r="E109" i="4"/>
  <c r="H109" i="4" s="1"/>
  <c r="E189" i="4"/>
  <c r="H189" i="4" s="1"/>
  <c r="E294" i="4"/>
  <c r="H294" i="4" s="1"/>
  <c r="E358" i="4"/>
  <c r="H358" i="4" s="1"/>
  <c r="E446" i="4"/>
  <c r="H446" i="4" s="1"/>
  <c r="E161" i="4"/>
  <c r="H161" i="4" s="1"/>
  <c r="E98" i="4"/>
  <c r="H98" i="4" s="1"/>
  <c r="E150" i="4"/>
  <c r="H150" i="4" s="1"/>
  <c r="E177" i="4"/>
  <c r="H177" i="4" s="1"/>
  <c r="E210" i="4"/>
  <c r="H210" i="4" s="1"/>
  <c r="G755" i="4"/>
  <c r="J755" i="4" s="1"/>
  <c r="E603" i="4"/>
  <c r="H603" i="4" s="1"/>
  <c r="E684" i="4"/>
  <c r="H684" i="4" s="1"/>
  <c r="E631" i="4"/>
  <c r="H631" i="4" s="1"/>
  <c r="E596" i="4"/>
  <c r="H596" i="4" s="1"/>
  <c r="E678" i="4"/>
  <c r="H678" i="4" s="1"/>
  <c r="E750" i="4"/>
  <c r="H750" i="4" s="1"/>
  <c r="E570" i="4"/>
  <c r="H570" i="4" s="1"/>
  <c r="E634" i="4"/>
  <c r="H634" i="4" s="1"/>
  <c r="E682" i="4"/>
  <c r="H682" i="4" s="1"/>
  <c r="E746" i="4"/>
  <c r="H746" i="4" s="1"/>
  <c r="E572" i="4"/>
  <c r="H572" i="4" s="1"/>
  <c r="E740" i="4"/>
  <c r="H740" i="4" s="1"/>
  <c r="E573" i="4"/>
  <c r="H573" i="4" s="1"/>
  <c r="E741" i="4"/>
  <c r="H741" i="4" s="1"/>
  <c r="E566" i="4"/>
  <c r="H566" i="4" s="1"/>
  <c r="E688" i="4"/>
  <c r="H688" i="4" s="1"/>
  <c r="E744" i="4"/>
  <c r="H744" i="4" s="1"/>
  <c r="E787" i="4"/>
  <c r="H787" i="4" s="1"/>
  <c r="E413" i="4"/>
  <c r="H413" i="4" s="1"/>
  <c r="E477" i="4"/>
  <c r="H477" i="4" s="1"/>
  <c r="E321" i="4"/>
  <c r="H321" i="4" s="1"/>
  <c r="E385" i="4"/>
  <c r="H385" i="4" s="1"/>
  <c r="E449" i="4"/>
  <c r="H449" i="4" s="1"/>
  <c r="E513" i="4"/>
  <c r="H513" i="4" s="1"/>
  <c r="E463" i="4"/>
  <c r="H463" i="4" s="1"/>
  <c r="E316" i="4"/>
  <c r="H316" i="4" s="1"/>
  <c r="E293" i="4"/>
  <c r="H293" i="4" s="1"/>
  <c r="E391" i="4"/>
  <c r="H391" i="4" s="1"/>
  <c r="E295" i="4"/>
  <c r="H295" i="4" s="1"/>
  <c r="E504" i="4"/>
  <c r="H504" i="4" s="1"/>
  <c r="E328" i="4"/>
  <c r="H328" i="4" s="1"/>
  <c r="E392" i="4"/>
  <c r="H392" i="4" s="1"/>
  <c r="E290" i="4"/>
  <c r="H290" i="4" s="1"/>
  <c r="E354" i="4"/>
  <c r="H354" i="4" s="1"/>
  <c r="E426" i="4"/>
  <c r="H426" i="4" s="1"/>
  <c r="E498" i="4"/>
  <c r="H498" i="4" s="1"/>
  <c r="E387" i="4"/>
  <c r="H387" i="4" s="1"/>
  <c r="E48" i="4"/>
  <c r="H48" i="4" s="1"/>
  <c r="E128" i="4"/>
  <c r="H128" i="4" s="1"/>
  <c r="E208" i="4"/>
  <c r="H208" i="4" s="1"/>
  <c r="E68" i="4"/>
  <c r="H68" i="4" s="1"/>
  <c r="E148" i="4"/>
  <c r="H148" i="4" s="1"/>
  <c r="E37" i="4"/>
  <c r="H37" i="4" s="1"/>
  <c r="E117" i="4"/>
  <c r="H117" i="4" s="1"/>
  <c r="E205" i="4"/>
  <c r="H205" i="4" s="1"/>
  <c r="E366" i="4"/>
  <c r="H366" i="4" s="1"/>
  <c r="E462" i="4"/>
  <c r="H462" i="4" s="1"/>
  <c r="G185" i="4"/>
  <c r="J185" i="4" s="1"/>
  <c r="E114" i="4"/>
  <c r="H114" i="4" s="1"/>
  <c r="E194" i="4"/>
  <c r="H194" i="4" s="1"/>
  <c r="E34" i="4"/>
  <c r="H34" i="4" s="1"/>
  <c r="E41" i="4"/>
  <c r="H41" i="4" s="1"/>
  <c r="E234" i="4"/>
  <c r="H234" i="4" s="1"/>
  <c r="E28" i="3"/>
  <c r="H28" i="3" s="1"/>
  <c r="E167" i="3"/>
  <c r="H167" i="3" s="1"/>
  <c r="E594" i="3"/>
  <c r="H594" i="3" s="1"/>
  <c r="E698" i="3"/>
  <c r="H698" i="3" s="1"/>
  <c r="E386" i="3"/>
  <c r="H386" i="3" s="1"/>
  <c r="E571" i="3"/>
  <c r="H571" i="3" s="1"/>
  <c r="E435" i="3"/>
  <c r="H435" i="3" s="1"/>
  <c r="E717" i="3"/>
  <c r="H717" i="3" s="1"/>
  <c r="E429" i="3"/>
  <c r="H429" i="3" s="1"/>
  <c r="E144" i="3"/>
  <c r="H144" i="3" s="1"/>
  <c r="E603" i="3"/>
  <c r="H603" i="3" s="1"/>
  <c r="E491" i="3"/>
  <c r="H491" i="3" s="1"/>
  <c r="E99" i="3"/>
  <c r="H99" i="3" s="1"/>
  <c r="E708" i="3"/>
  <c r="H708" i="3" s="1"/>
  <c r="E738" i="3"/>
  <c r="H738" i="3" s="1"/>
  <c r="E418" i="3"/>
  <c r="H418" i="3" s="1"/>
  <c r="E168" i="3"/>
  <c r="H168" i="3" s="1"/>
  <c r="E635" i="3"/>
  <c r="H635" i="3" s="1"/>
  <c r="E499" i="3"/>
  <c r="H499" i="3" s="1"/>
  <c r="E564" i="3"/>
  <c r="H564" i="3" s="1"/>
  <c r="E764" i="3"/>
  <c r="H764" i="3" s="1"/>
  <c r="E284" i="3"/>
  <c r="H284" i="3" s="1"/>
  <c r="E565" i="3"/>
  <c r="H565" i="3" s="1"/>
  <c r="E281" i="3"/>
  <c r="H281" i="3" s="1"/>
  <c r="E426" i="3"/>
  <c r="H426" i="3" s="1"/>
  <c r="E588" i="3"/>
  <c r="H588" i="3" s="1"/>
  <c r="E292" i="3"/>
  <c r="H292" i="3" s="1"/>
  <c r="G11" i="3"/>
  <c r="J11" i="3" s="1"/>
  <c r="E642" i="3"/>
  <c r="H642" i="3" s="1"/>
  <c r="E290" i="3"/>
  <c r="H290" i="3" s="1"/>
  <c r="E474" i="3"/>
  <c r="H474" i="3" s="1"/>
  <c r="E200" i="3"/>
  <c r="H200" i="3" s="1"/>
  <c r="E628" i="3"/>
  <c r="H628" i="3" s="1"/>
  <c r="E388" i="3"/>
  <c r="H388" i="3" s="1"/>
  <c r="E170" i="3"/>
  <c r="H170" i="3" s="1"/>
  <c r="E772" i="3"/>
  <c r="H772" i="3" s="1"/>
  <c r="E24" i="3"/>
  <c r="H24" i="3" s="1"/>
  <c r="E562" i="3"/>
  <c r="H562" i="3" s="1"/>
  <c r="E650" i="3"/>
  <c r="H650" i="3" s="1"/>
  <c r="E322" i="3"/>
  <c r="H322" i="3" s="1"/>
  <c r="E482" i="3"/>
  <c r="H482" i="3" s="1"/>
  <c r="E208" i="3"/>
  <c r="H208" i="3" s="1"/>
  <c r="E307" i="3"/>
  <c r="H307" i="3" s="1"/>
  <c r="E412" i="3"/>
  <c r="H412" i="3" s="1"/>
  <c r="E234" i="3"/>
  <c r="H234" i="3" s="1"/>
  <c r="E42" i="3"/>
  <c r="H42" i="3" s="1"/>
  <c r="E578" i="3"/>
  <c r="H578" i="3" s="1"/>
  <c r="E674" i="3"/>
  <c r="H674" i="3" s="1"/>
  <c r="E754" i="3"/>
  <c r="H754" i="3" s="1"/>
  <c r="E330" i="3"/>
  <c r="H330" i="3" s="1"/>
  <c r="E490" i="3"/>
  <c r="H490" i="3" s="1"/>
  <c r="E651" i="3"/>
  <c r="H651" i="3" s="1"/>
  <c r="E339" i="3"/>
  <c r="H339" i="3" s="1"/>
  <c r="E27" i="3"/>
  <c r="H27" i="3" s="1"/>
  <c r="E452" i="3"/>
  <c r="H452" i="3" s="1"/>
  <c r="E597" i="3"/>
  <c r="H597" i="3" s="1"/>
  <c r="E586" i="3"/>
  <c r="H586" i="3" s="1"/>
  <c r="E690" i="3"/>
  <c r="H690" i="3" s="1"/>
  <c r="E762" i="3"/>
  <c r="H762" i="3" s="1"/>
  <c r="E362" i="3"/>
  <c r="H362" i="3" s="1"/>
  <c r="E526" i="3"/>
  <c r="H526" i="3" s="1"/>
  <c r="E683" i="3"/>
  <c r="H683" i="3" s="1"/>
  <c r="E427" i="3"/>
  <c r="H427" i="3" s="1"/>
  <c r="E35" i="3"/>
  <c r="H35" i="3" s="1"/>
  <c r="E476" i="3"/>
  <c r="H476" i="3" s="1"/>
  <c r="E677" i="3"/>
  <c r="H677" i="3" s="1"/>
  <c r="E365" i="3"/>
  <c r="H365" i="3" s="1"/>
  <c r="E227" i="3"/>
  <c r="H227" i="3" s="1"/>
  <c r="E638" i="3"/>
  <c r="H638" i="3" s="1"/>
  <c r="E176" i="3"/>
  <c r="H176" i="3" s="1"/>
  <c r="E215" i="3"/>
  <c r="H215" i="3" s="1"/>
  <c r="E715" i="3"/>
  <c r="H715" i="3" s="1"/>
  <c r="E91" i="3"/>
  <c r="H91" i="3" s="1"/>
  <c r="E700" i="3"/>
  <c r="H700" i="3" s="1"/>
  <c r="E231" i="3"/>
  <c r="H231" i="3" s="1"/>
  <c r="E706" i="3"/>
  <c r="H706" i="3" s="1"/>
  <c r="E394" i="3"/>
  <c r="H394" i="3" s="1"/>
  <c r="E747" i="3"/>
  <c r="H747" i="3" s="1"/>
  <c r="E469" i="3"/>
  <c r="H469" i="3" s="1"/>
  <c r="E346" i="3"/>
  <c r="H346" i="3" s="1"/>
  <c r="E16" i="3"/>
  <c r="H16" i="3" s="1"/>
  <c r="E232" i="3"/>
  <c r="H232" i="3" s="1"/>
  <c r="E771" i="3"/>
  <c r="H771" i="3" s="1"/>
  <c r="E131" i="3"/>
  <c r="H131" i="3" s="1"/>
  <c r="E324" i="3"/>
  <c r="H324" i="3" s="1"/>
  <c r="E484" i="3"/>
  <c r="H484" i="3" s="1"/>
  <c r="E242" i="3"/>
  <c r="H242" i="3" s="1"/>
  <c r="E621" i="3"/>
  <c r="H621" i="3" s="1"/>
  <c r="E741" i="3"/>
  <c r="H741" i="3" s="1"/>
  <c r="E326" i="3"/>
  <c r="H326" i="3" s="1"/>
  <c r="E236" i="3"/>
  <c r="H236" i="3" s="1"/>
  <c r="E450" i="3"/>
  <c r="H450" i="3" s="1"/>
  <c r="E363" i="3"/>
  <c r="H363" i="3" s="1"/>
  <c r="E88" i="3"/>
  <c r="H88" i="3" s="1"/>
  <c r="E570" i="3"/>
  <c r="H570" i="3" s="1"/>
  <c r="E634" i="3"/>
  <c r="H634" i="3" s="1"/>
  <c r="E714" i="3"/>
  <c r="H714" i="3" s="1"/>
  <c r="E354" i="3"/>
  <c r="H354" i="3" s="1"/>
  <c r="E458" i="3"/>
  <c r="H458" i="3" s="1"/>
  <c r="E80" i="3"/>
  <c r="H80" i="3" s="1"/>
  <c r="E779" i="3"/>
  <c r="H779" i="3" s="1"/>
  <c r="E371" i="3"/>
  <c r="H371" i="3" s="1"/>
  <c r="E72" i="3"/>
  <c r="H72" i="3" s="1"/>
  <c r="E348" i="3"/>
  <c r="H348" i="3" s="1"/>
  <c r="E629" i="3"/>
  <c r="H629" i="3" s="1"/>
  <c r="E749" i="3"/>
  <c r="H749" i="3" s="1"/>
  <c r="E317" i="3"/>
  <c r="H317" i="3" s="1"/>
  <c r="E766" i="3"/>
  <c r="H766" i="3" s="1"/>
  <c r="E398" i="3"/>
  <c r="H398" i="3" s="1"/>
  <c r="E256" i="3"/>
  <c r="H256" i="3" s="1"/>
  <c r="E403" i="3"/>
  <c r="H403" i="3" s="1"/>
  <c r="E136" i="3"/>
  <c r="H136" i="3" s="1"/>
  <c r="E676" i="3"/>
  <c r="H676" i="3" s="1"/>
  <c r="E356" i="3"/>
  <c r="H356" i="3" s="1"/>
  <c r="G547" i="3"/>
  <c r="J547" i="3" s="1"/>
  <c r="E349" i="3"/>
  <c r="H349" i="3" s="1"/>
  <c r="E517" i="3"/>
  <c r="H517" i="3" s="1"/>
  <c r="E318" i="3"/>
  <c r="H318" i="3" s="1"/>
  <c r="E602" i="3"/>
  <c r="H602" i="3" s="1"/>
  <c r="E682" i="3"/>
  <c r="H682" i="3" s="1"/>
  <c r="E298" i="3"/>
  <c r="H298" i="3" s="1"/>
  <c r="E410" i="3"/>
  <c r="H410" i="3" s="1"/>
  <c r="E514" i="3"/>
  <c r="H514" i="3" s="1"/>
  <c r="E192" i="3"/>
  <c r="H192" i="3" s="1"/>
  <c r="E595" i="3"/>
  <c r="H595" i="3" s="1"/>
  <c r="E707" i="3"/>
  <c r="H707" i="3" s="1"/>
  <c r="E299" i="3"/>
  <c r="H299" i="3" s="1"/>
  <c r="E467" i="3"/>
  <c r="H467" i="3" s="1"/>
  <c r="E67" i="3"/>
  <c r="H67" i="3" s="1"/>
  <c r="E596" i="3"/>
  <c r="H596" i="3" s="1"/>
  <c r="E740" i="3"/>
  <c r="H740" i="3" s="1"/>
  <c r="E420" i="3"/>
  <c r="H420" i="3" s="1"/>
  <c r="E37" i="3"/>
  <c r="H37" i="3" s="1"/>
  <c r="E669" i="3"/>
  <c r="H669" i="3" s="1"/>
  <c r="E765" i="3"/>
  <c r="H765" i="3" s="1"/>
  <c r="E453" i="3"/>
  <c r="H453" i="3" s="1"/>
  <c r="E155" i="3"/>
  <c r="H155" i="3" s="1"/>
  <c r="E734" i="3"/>
  <c r="H734" i="3" s="1"/>
  <c r="M18" i="3"/>
  <c r="M26" i="3"/>
  <c r="M34" i="3"/>
  <c r="M42" i="3"/>
  <c r="M50" i="3"/>
  <c r="M58" i="3"/>
  <c r="M66" i="3"/>
  <c r="M74" i="3"/>
  <c r="M82" i="3"/>
  <c r="M90" i="3"/>
  <c r="M98" i="3"/>
  <c r="M106" i="3"/>
  <c r="M114" i="3"/>
  <c r="M122" i="3"/>
  <c r="M130" i="3"/>
  <c r="M138" i="3"/>
  <c r="M146" i="3"/>
  <c r="M154" i="3"/>
  <c r="M162" i="3"/>
  <c r="M170" i="3"/>
  <c r="M178" i="3"/>
  <c r="M186" i="3"/>
  <c r="M194" i="3"/>
  <c r="M202" i="3"/>
  <c r="M210" i="3"/>
  <c r="M218" i="3"/>
  <c r="M226" i="3"/>
  <c r="M234" i="3"/>
  <c r="M242" i="3"/>
  <c r="M250" i="3"/>
  <c r="M290" i="3"/>
  <c r="M298" i="3"/>
  <c r="M306" i="3"/>
  <c r="M314" i="3"/>
  <c r="M322" i="3"/>
  <c r="M330" i="3"/>
  <c r="M338" i="3"/>
  <c r="M346" i="3"/>
  <c r="M354" i="3"/>
  <c r="M362" i="3"/>
  <c r="M370" i="3"/>
  <c r="M378" i="3"/>
  <c r="M386" i="3"/>
  <c r="M394" i="3"/>
  <c r="M402" i="3"/>
  <c r="M410" i="3"/>
  <c r="M418" i="3"/>
  <c r="M426" i="3"/>
  <c r="M434" i="3"/>
  <c r="M442" i="3"/>
  <c r="M450" i="3"/>
  <c r="M458" i="3"/>
  <c r="M466" i="3"/>
  <c r="M474" i="3"/>
  <c r="M482" i="3"/>
  <c r="M490" i="3"/>
  <c r="M498" i="3"/>
  <c r="M506" i="3"/>
  <c r="M514" i="3"/>
  <c r="M530" i="3"/>
  <c r="M554" i="3"/>
  <c r="M562" i="3"/>
  <c r="M570" i="3"/>
  <c r="M578" i="3"/>
  <c r="M586" i="3"/>
  <c r="M594" i="3"/>
  <c r="M602" i="3"/>
  <c r="M610" i="3"/>
  <c r="M618" i="3"/>
  <c r="M634" i="3"/>
  <c r="M642" i="3"/>
  <c r="M650" i="3"/>
  <c r="M658" i="3"/>
  <c r="M666" i="3"/>
  <c r="M674" i="3"/>
  <c r="M682" i="3"/>
  <c r="M11" i="3"/>
  <c r="M19" i="3"/>
  <c r="M27" i="3"/>
  <c r="M35" i="3"/>
  <c r="M43" i="3"/>
  <c r="M51" i="3"/>
  <c r="M59" i="3"/>
  <c r="M67" i="3"/>
  <c r="M75" i="3"/>
  <c r="M83" i="3"/>
  <c r="M91" i="3"/>
  <c r="M99" i="3"/>
  <c r="M107" i="3"/>
  <c r="M115" i="3"/>
  <c r="M123" i="3"/>
  <c r="M131" i="3"/>
  <c r="M139" i="3"/>
  <c r="M147" i="3"/>
  <c r="M155" i="3"/>
  <c r="M163" i="3"/>
  <c r="M171" i="3"/>
  <c r="M179" i="3"/>
  <c r="M187" i="3"/>
  <c r="M195" i="3"/>
  <c r="M203" i="3"/>
  <c r="M211" i="3"/>
  <c r="M219" i="3"/>
  <c r="M227" i="3"/>
  <c r="M235" i="3"/>
  <c r="M243" i="3"/>
  <c r="M251" i="3"/>
  <c r="M291" i="3"/>
  <c r="M299" i="3"/>
  <c r="M307" i="3"/>
  <c r="M315" i="3"/>
  <c r="M323" i="3"/>
  <c r="M331" i="3"/>
  <c r="M339" i="3"/>
  <c r="M347" i="3"/>
  <c r="M355" i="3"/>
  <c r="M363" i="3"/>
  <c r="M371" i="3"/>
  <c r="M379" i="3"/>
  <c r="M387" i="3"/>
  <c r="M395" i="3"/>
  <c r="M403" i="3"/>
  <c r="M411" i="3"/>
  <c r="M419" i="3"/>
  <c r="M427" i="3"/>
  <c r="M435" i="3"/>
  <c r="M443" i="3"/>
  <c r="M451" i="3"/>
  <c r="M459" i="3"/>
  <c r="M467" i="3"/>
  <c r="M475" i="3"/>
  <c r="M483" i="3"/>
  <c r="M491" i="3"/>
  <c r="M499" i="3"/>
  <c r="M507" i="3"/>
  <c r="M531" i="3"/>
  <c r="M547" i="3"/>
  <c r="M555" i="3"/>
  <c r="M563" i="3"/>
  <c r="M571" i="3"/>
  <c r="M579" i="3"/>
  <c r="M587" i="3"/>
  <c r="M595" i="3"/>
  <c r="M603" i="3"/>
  <c r="M611" i="3"/>
  <c r="M619" i="3"/>
  <c r="M627" i="3"/>
  <c r="M635" i="3"/>
  <c r="M651" i="3"/>
  <c r="M659" i="3"/>
  <c r="M667" i="3"/>
  <c r="M675" i="3"/>
  <c r="M683" i="3"/>
  <c r="M691" i="3"/>
  <c r="M699" i="3"/>
  <c r="M707" i="3"/>
  <c r="M715" i="3"/>
  <c r="M12" i="3"/>
  <c r="M20" i="3"/>
  <c r="M28" i="3"/>
  <c r="M36" i="3"/>
  <c r="M44" i="3"/>
  <c r="M52" i="3"/>
  <c r="M60" i="3"/>
  <c r="M68" i="3"/>
  <c r="M76" i="3"/>
  <c r="M84" i="3"/>
  <c r="M92" i="3"/>
  <c r="M100" i="3"/>
  <c r="M108" i="3"/>
  <c r="M116" i="3"/>
  <c r="M124" i="3"/>
  <c r="M132" i="3"/>
  <c r="M140" i="3"/>
  <c r="M148" i="3"/>
  <c r="M156" i="3"/>
  <c r="M164" i="3"/>
  <c r="M172" i="3"/>
  <c r="M180" i="3"/>
  <c r="M188" i="3"/>
  <c r="M196" i="3"/>
  <c r="M204" i="3"/>
  <c r="M212" i="3"/>
  <c r="M220" i="3"/>
  <c r="M236" i="3"/>
  <c r="M244" i="3"/>
  <c r="M252" i="3"/>
  <c r="M260" i="3"/>
  <c r="M276" i="3"/>
  <c r="M284" i="3"/>
  <c r="M292" i="3"/>
  <c r="M300" i="3"/>
  <c r="M308" i="3"/>
  <c r="M316" i="3"/>
  <c r="M324" i="3"/>
  <c r="M332" i="3"/>
  <c r="M340" i="3"/>
  <c r="M348" i="3"/>
  <c r="M356" i="3"/>
  <c r="M364" i="3"/>
  <c r="M372" i="3"/>
  <c r="M380" i="3"/>
  <c r="M388" i="3"/>
  <c r="M396" i="3"/>
  <c r="M404" i="3"/>
  <c r="M412" i="3"/>
  <c r="M420" i="3"/>
  <c r="M428" i="3"/>
  <c r="M436" i="3"/>
  <c r="M444" i="3"/>
  <c r="M452" i="3"/>
  <c r="M460" i="3"/>
  <c r="M468" i="3"/>
  <c r="M476" i="3"/>
  <c r="M484" i="3"/>
  <c r="M492" i="3"/>
  <c r="M500" i="3"/>
  <c r="M508" i="3"/>
  <c r="M532" i="3"/>
  <c r="M564" i="3"/>
  <c r="M572" i="3"/>
  <c r="M580" i="3"/>
  <c r="M588" i="3"/>
  <c r="M596" i="3"/>
  <c r="M604" i="3"/>
  <c r="M612" i="3"/>
  <c r="M620" i="3"/>
  <c r="M628" i="3"/>
  <c r="M636" i="3"/>
  <c r="M652" i="3"/>
  <c r="M660" i="3"/>
  <c r="M668" i="3"/>
  <c r="M676" i="3"/>
  <c r="M684" i="3"/>
  <c r="M692" i="3"/>
  <c r="M700" i="3"/>
  <c r="M708" i="3"/>
  <c r="M716" i="3"/>
  <c r="M13" i="3"/>
  <c r="M21" i="3"/>
  <c r="M29" i="3"/>
  <c r="M37" i="3"/>
  <c r="M45" i="3"/>
  <c r="M53" i="3"/>
  <c r="M61" i="3"/>
  <c r="M69" i="3"/>
  <c r="M77" i="3"/>
  <c r="M85" i="3"/>
  <c r="M93" i="3"/>
  <c r="M101" i="3"/>
  <c r="M109" i="3"/>
  <c r="M117" i="3"/>
  <c r="M125" i="3"/>
  <c r="M133" i="3"/>
  <c r="M141" i="3"/>
  <c r="M149" i="3"/>
  <c r="M157" i="3"/>
  <c r="M165" i="3"/>
  <c r="M173" i="3"/>
  <c r="M181" i="3"/>
  <c r="M189" i="3"/>
  <c r="M197" i="3"/>
  <c r="M205" i="3"/>
  <c r="M213" i="3"/>
  <c r="M221" i="3"/>
  <c r="M237" i="3"/>
  <c r="M245" i="3"/>
  <c r="M253" i="3"/>
  <c r="M285" i="3"/>
  <c r="M293" i="3"/>
  <c r="M301" i="3"/>
  <c r="M309" i="3"/>
  <c r="M317" i="3"/>
  <c r="M325" i="3"/>
  <c r="M333" i="3"/>
  <c r="M341" i="3"/>
  <c r="M349" i="3"/>
  <c r="M357" i="3"/>
  <c r="M365" i="3"/>
  <c r="M373" i="3"/>
  <c r="M381" i="3"/>
  <c r="M389" i="3"/>
  <c r="M397" i="3"/>
  <c r="M405" i="3"/>
  <c r="M413" i="3"/>
  <c r="M421" i="3"/>
  <c r="M429" i="3"/>
  <c r="M437" i="3"/>
  <c r="M445" i="3"/>
  <c r="M453" i="3"/>
  <c r="M461" i="3"/>
  <c r="M469" i="3"/>
  <c r="M477" i="3"/>
  <c r="M493" i="3"/>
  <c r="M501" i="3"/>
  <c r="M509" i="3"/>
  <c r="M517" i="3"/>
  <c r="M533" i="3"/>
  <c r="M565" i="3"/>
  <c r="M573" i="3"/>
  <c r="M581" i="3"/>
  <c r="M589" i="3"/>
  <c r="M597" i="3"/>
  <c r="M605" i="3"/>
  <c r="M613" i="3"/>
  <c r="M621" i="3"/>
  <c r="M629" i="3"/>
  <c r="M637" i="3"/>
  <c r="M645" i="3"/>
  <c r="M661" i="3"/>
  <c r="M669" i="3"/>
  <c r="M677" i="3"/>
  <c r="M685" i="3"/>
  <c r="M693" i="3"/>
  <c r="M701" i="3"/>
  <c r="M709" i="3"/>
  <c r="M717" i="3"/>
  <c r="M725" i="3"/>
  <c r="M14" i="3"/>
  <c r="M22" i="3"/>
  <c r="M30" i="3"/>
  <c r="M38" i="3"/>
  <c r="M46" i="3"/>
  <c r="M54" i="3"/>
  <c r="M62" i="3"/>
  <c r="M70" i="3"/>
  <c r="M78" i="3"/>
  <c r="M86" i="3"/>
  <c r="M94" i="3"/>
  <c r="M102" i="3"/>
  <c r="M110" i="3"/>
  <c r="M118" i="3"/>
  <c r="M126" i="3"/>
  <c r="M134" i="3"/>
  <c r="M142" i="3"/>
  <c r="M150" i="3"/>
  <c r="M158" i="3"/>
  <c r="M166" i="3"/>
  <c r="M174" i="3"/>
  <c r="M182" i="3"/>
  <c r="M190" i="3"/>
  <c r="M198" i="3"/>
  <c r="M206" i="3"/>
  <c r="M214" i="3"/>
  <c r="M222" i="3"/>
  <c r="M230" i="3"/>
  <c r="M238" i="3"/>
  <c r="M246" i="3"/>
  <c r="M254" i="3"/>
  <c r="M286" i="3"/>
  <c r="M294" i="3"/>
  <c r="M302" i="3"/>
  <c r="M310" i="3"/>
  <c r="M318" i="3"/>
  <c r="M326" i="3"/>
  <c r="M334" i="3"/>
  <c r="M342" i="3"/>
  <c r="M350" i="3"/>
  <c r="M358" i="3"/>
  <c r="M366" i="3"/>
  <c r="M374" i="3"/>
  <c r="M382" i="3"/>
  <c r="M390" i="3"/>
  <c r="M398" i="3"/>
  <c r="M406" i="3"/>
  <c r="M414" i="3"/>
  <c r="M422" i="3"/>
  <c r="M430" i="3"/>
  <c r="M438" i="3"/>
  <c r="M446" i="3"/>
  <c r="M454" i="3"/>
  <c r="M462" i="3"/>
  <c r="M470" i="3"/>
  <c r="M478" i="3"/>
  <c r="M494" i="3"/>
  <c r="M502" i="3"/>
  <c r="M510" i="3"/>
  <c r="M518" i="3"/>
  <c r="M526" i="3"/>
  <c r="M534" i="3"/>
  <c r="M550" i="3"/>
  <c r="M566" i="3"/>
  <c r="M574" i="3"/>
  <c r="M582" i="3"/>
  <c r="M590" i="3"/>
  <c r="M598" i="3"/>
  <c r="M606" i="3"/>
  <c r="M614" i="3"/>
  <c r="M622" i="3"/>
  <c r="M630" i="3"/>
  <c r="M638" i="3"/>
  <c r="M646" i="3"/>
  <c r="M662" i="3"/>
  <c r="M670" i="3"/>
  <c r="M678" i="3"/>
  <c r="M686" i="3"/>
  <c r="M702" i="3"/>
  <c r="M710" i="3"/>
  <c r="M15" i="3"/>
  <c r="M23" i="3"/>
  <c r="M31" i="3"/>
  <c r="M39" i="3"/>
  <c r="M47" i="3"/>
  <c r="M55" i="3"/>
  <c r="M63" i="3"/>
  <c r="M71" i="3"/>
  <c r="M79" i="3"/>
  <c r="M87" i="3"/>
  <c r="M95" i="3"/>
  <c r="M103" i="3"/>
  <c r="M111" i="3"/>
  <c r="M119" i="3"/>
  <c r="M127" i="3"/>
  <c r="M135" i="3"/>
  <c r="M143" i="3"/>
  <c r="M151" i="3"/>
  <c r="M159" i="3"/>
  <c r="M167" i="3"/>
  <c r="M175" i="3"/>
  <c r="M183" i="3"/>
  <c r="M191" i="3"/>
  <c r="M199" i="3"/>
  <c r="M207" i="3"/>
  <c r="M215" i="3"/>
  <c r="M223" i="3"/>
  <c r="M231" i="3"/>
  <c r="M247" i="3"/>
  <c r="M255" i="3"/>
  <c r="M279" i="3"/>
  <c r="M287" i="3"/>
  <c r="M295" i="3"/>
  <c r="M303" i="3"/>
  <c r="M311" i="3"/>
  <c r="M319" i="3"/>
  <c r="M327" i="3"/>
  <c r="M335" i="3"/>
  <c r="M343" i="3"/>
  <c r="M351" i="3"/>
  <c r="M359" i="3"/>
  <c r="M367" i="3"/>
  <c r="M375" i="3"/>
  <c r="M383" i="3"/>
  <c r="M391" i="3"/>
  <c r="M399" i="3"/>
  <c r="M407" i="3"/>
  <c r="M415" i="3"/>
  <c r="M423" i="3"/>
  <c r="M431" i="3"/>
  <c r="M439" i="3"/>
  <c r="M447" i="3"/>
  <c r="M455" i="3"/>
  <c r="M463" i="3"/>
  <c r="M471" i="3"/>
  <c r="M479" i="3"/>
  <c r="M487" i="3"/>
  <c r="M495" i="3"/>
  <c r="M503" i="3"/>
  <c r="M511" i="3"/>
  <c r="M519" i="3"/>
  <c r="M527" i="3"/>
  <c r="M535" i="3"/>
  <c r="M551" i="3"/>
  <c r="M559" i="3"/>
  <c r="M567" i="3"/>
  <c r="M16" i="3"/>
  <c r="M24" i="3"/>
  <c r="M32" i="3"/>
  <c r="M40" i="3"/>
  <c r="M48" i="3"/>
  <c r="M56" i="3"/>
  <c r="M64" i="3"/>
  <c r="M72" i="3"/>
  <c r="M80" i="3"/>
  <c r="M88" i="3"/>
  <c r="M96" i="3"/>
  <c r="M104" i="3"/>
  <c r="M112" i="3"/>
  <c r="M120" i="3"/>
  <c r="M128" i="3"/>
  <c r="M136" i="3"/>
  <c r="M144" i="3"/>
  <c r="M152" i="3"/>
  <c r="M160" i="3"/>
  <c r="M168" i="3"/>
  <c r="M176" i="3"/>
  <c r="M184" i="3"/>
  <c r="M192" i="3"/>
  <c r="M200" i="3"/>
  <c r="M208" i="3"/>
  <c r="M216" i="3"/>
  <c r="M224" i="3"/>
  <c r="M232" i="3"/>
  <c r="M248" i="3"/>
  <c r="M256" i="3"/>
  <c r="M280" i="3"/>
  <c r="M288" i="3"/>
  <c r="M296" i="3"/>
  <c r="M304" i="3"/>
  <c r="M312" i="3"/>
  <c r="M320" i="3"/>
  <c r="M328" i="3"/>
  <c r="M336" i="3"/>
  <c r="M344" i="3"/>
  <c r="M352" i="3"/>
  <c r="M360" i="3"/>
  <c r="M368" i="3"/>
  <c r="M376" i="3"/>
  <c r="M384" i="3"/>
  <c r="M392" i="3"/>
  <c r="M400" i="3"/>
  <c r="M408" i="3"/>
  <c r="M416" i="3"/>
  <c r="M424" i="3"/>
  <c r="M432" i="3"/>
  <c r="M440" i="3"/>
  <c r="M448" i="3"/>
  <c r="M456" i="3"/>
  <c r="M464" i="3"/>
  <c r="M472" i="3"/>
  <c r="M480" i="3"/>
  <c r="M488" i="3"/>
  <c r="M496" i="3"/>
  <c r="M504" i="3"/>
  <c r="M512" i="3"/>
  <c r="M520" i="3"/>
  <c r="M528" i="3"/>
  <c r="M552" i="3"/>
  <c r="M560" i="3"/>
  <c r="M568" i="3"/>
  <c r="M576" i="3"/>
  <c r="M584" i="3"/>
  <c r="M592" i="3"/>
  <c r="M600" i="3"/>
  <c r="M608" i="3"/>
  <c r="M17" i="3"/>
  <c r="M25" i="3"/>
  <c r="M33" i="3"/>
  <c r="M41" i="3"/>
  <c r="M49" i="3"/>
  <c r="M57" i="3"/>
  <c r="M65" i="3"/>
  <c r="M73" i="3"/>
  <c r="M81" i="3"/>
  <c r="M89" i="3"/>
  <c r="M97" i="3"/>
  <c r="M105" i="3"/>
  <c r="M113" i="3"/>
  <c r="M121" i="3"/>
  <c r="M129" i="3"/>
  <c r="M137" i="3"/>
  <c r="M145" i="3"/>
  <c r="M153" i="3"/>
  <c r="M161" i="3"/>
  <c r="M169" i="3"/>
  <c r="M177" i="3"/>
  <c r="M185" i="3"/>
  <c r="M193" i="3"/>
  <c r="M201" i="3"/>
  <c r="M209" i="3"/>
  <c r="M217" i="3"/>
  <c r="M225" i="3"/>
  <c r="M233" i="3"/>
  <c r="M241" i="3"/>
  <c r="M249" i="3"/>
  <c r="M257" i="3"/>
  <c r="M273" i="3"/>
  <c r="M281" i="3"/>
  <c r="M289" i="3"/>
  <c r="M297" i="3"/>
  <c r="M305" i="3"/>
  <c r="M313" i="3"/>
  <c r="M321" i="3"/>
  <c r="M329" i="3"/>
  <c r="M337" i="3"/>
  <c r="M345" i="3"/>
  <c r="M353" i="3"/>
  <c r="M361" i="3"/>
  <c r="M369" i="3"/>
  <c r="M377" i="3"/>
  <c r="M385" i="3"/>
  <c r="M393" i="3"/>
  <c r="M401" i="3"/>
  <c r="M409" i="3"/>
  <c r="M417" i="3"/>
  <c r="M425" i="3"/>
  <c r="M433" i="3"/>
  <c r="M441" i="3"/>
  <c r="M449" i="3"/>
  <c r="M457" i="3"/>
  <c r="M465" i="3"/>
  <c r="M473" i="3"/>
  <c r="M481" i="3"/>
  <c r="M489" i="3"/>
  <c r="M497" i="3"/>
  <c r="M505" i="3"/>
  <c r="M513" i="3"/>
  <c r="M529" i="3"/>
  <c r="M553" i="3"/>
  <c r="M561" i="3"/>
  <c r="M569" i="3"/>
  <c r="M577" i="3"/>
  <c r="M585" i="3"/>
  <c r="M593" i="3"/>
  <c r="M601" i="3"/>
  <c r="M609" i="3"/>
  <c r="M617" i="3"/>
  <c r="M633" i="3"/>
  <c r="M641" i="3"/>
  <c r="M649" i="3"/>
  <c r="M657" i="3"/>
  <c r="M665" i="3"/>
  <c r="M673" i="3"/>
  <c r="M681" i="3"/>
  <c r="M689" i="3"/>
  <c r="M697" i="3"/>
  <c r="M705" i="3"/>
  <c r="M713" i="3"/>
  <c r="M721" i="3"/>
  <c r="M591" i="3"/>
  <c r="M648" i="3"/>
  <c r="M672" i="3"/>
  <c r="M696" i="3"/>
  <c r="M718" i="3"/>
  <c r="M728" i="3"/>
  <c r="M736" i="3"/>
  <c r="M744" i="3"/>
  <c r="M752" i="3"/>
  <c r="M760" i="3"/>
  <c r="M768" i="3"/>
  <c r="M599" i="3"/>
  <c r="M631" i="3"/>
  <c r="M679" i="3"/>
  <c r="M698" i="3"/>
  <c r="M719" i="3"/>
  <c r="M729" i="3"/>
  <c r="M737" i="3"/>
  <c r="M753" i="3"/>
  <c r="M761" i="3"/>
  <c r="M769" i="3"/>
  <c r="M777" i="3"/>
  <c r="M607" i="3"/>
  <c r="M632" i="3"/>
  <c r="M680" i="3"/>
  <c r="M703" i="3"/>
  <c r="M720" i="3"/>
  <c r="M730" i="3"/>
  <c r="M738" i="3"/>
  <c r="M754" i="3"/>
  <c r="M762" i="3"/>
  <c r="M770" i="3"/>
  <c r="M778" i="3"/>
  <c r="M615" i="3"/>
  <c r="M639" i="3"/>
  <c r="M655" i="3"/>
  <c r="M687" i="3"/>
  <c r="M704" i="3"/>
  <c r="M722" i="3"/>
  <c r="M731" i="3"/>
  <c r="M739" i="3"/>
  <c r="M747" i="3"/>
  <c r="M755" i="3"/>
  <c r="M763" i="3"/>
  <c r="M771" i="3"/>
  <c r="M779" i="3"/>
  <c r="M616" i="3"/>
  <c r="M640" i="3"/>
  <c r="M656" i="3"/>
  <c r="M688" i="3"/>
  <c r="M706" i="3"/>
  <c r="M723" i="3"/>
  <c r="M732" i="3"/>
  <c r="M740" i="3"/>
  <c r="M748" i="3"/>
  <c r="M756" i="3"/>
  <c r="M764" i="3"/>
  <c r="M772" i="3"/>
  <c r="M623" i="3"/>
  <c r="M663" i="3"/>
  <c r="M690" i="3"/>
  <c r="M711" i="3"/>
  <c r="M724" i="3"/>
  <c r="M733" i="3"/>
  <c r="M741" i="3"/>
  <c r="M749" i="3"/>
  <c r="M765" i="3"/>
  <c r="M773" i="3"/>
  <c r="M575" i="3"/>
  <c r="M624" i="3"/>
  <c r="M664" i="3"/>
  <c r="M712" i="3"/>
  <c r="M726" i="3"/>
  <c r="M734" i="3"/>
  <c r="M742" i="3"/>
  <c r="M750" i="3"/>
  <c r="M766" i="3"/>
  <c r="M774" i="3"/>
  <c r="M583" i="3"/>
  <c r="M647" i="3"/>
  <c r="M671" i="3"/>
  <c r="M714" i="3"/>
  <c r="M727" i="3"/>
  <c r="M735" i="3"/>
  <c r="M743" i="3"/>
  <c r="M751" i="3"/>
  <c r="M759" i="3"/>
  <c r="M767" i="3"/>
  <c r="E251" i="3"/>
  <c r="H251" i="3" s="1"/>
  <c r="E670" i="3"/>
  <c r="H670" i="3" s="1"/>
  <c r="E750" i="3"/>
  <c r="H750" i="3" s="1"/>
  <c r="E414" i="3"/>
  <c r="H414" i="3" s="1"/>
  <c r="E48" i="3"/>
  <c r="H48" i="3" s="1"/>
  <c r="E252" i="3"/>
  <c r="H252" i="3" s="1"/>
  <c r="E711" i="3"/>
  <c r="H711" i="3" s="1"/>
  <c r="E534" i="3"/>
  <c r="H534" i="3" s="1"/>
  <c r="E611" i="3"/>
  <c r="H611" i="3" s="1"/>
  <c r="E659" i="3"/>
  <c r="H659" i="3" s="1"/>
  <c r="E723" i="3"/>
  <c r="H723" i="3" s="1"/>
  <c r="E273" i="3"/>
  <c r="E315" i="3"/>
  <c r="H315" i="3" s="1"/>
  <c r="E379" i="3"/>
  <c r="H379" i="3" s="1"/>
  <c r="E443" i="3"/>
  <c r="H443" i="3" s="1"/>
  <c r="E507" i="3"/>
  <c r="H507" i="3" s="1"/>
  <c r="E43" i="3"/>
  <c r="H43" i="3" s="1"/>
  <c r="E107" i="3"/>
  <c r="H107" i="3" s="1"/>
  <c r="E527" i="3"/>
  <c r="H527" i="3" s="1"/>
  <c r="E604" i="3"/>
  <c r="H604" i="3" s="1"/>
  <c r="E652" i="3"/>
  <c r="H652" i="3" s="1"/>
  <c r="E716" i="3"/>
  <c r="H716" i="3" s="1"/>
  <c r="E300" i="3"/>
  <c r="H300" i="3" s="1"/>
  <c r="E364" i="3"/>
  <c r="H364" i="3" s="1"/>
  <c r="E428" i="3"/>
  <c r="H428" i="3" s="1"/>
  <c r="E492" i="3"/>
  <c r="H492" i="3" s="1"/>
  <c r="E64" i="3"/>
  <c r="H64" i="3" s="1"/>
  <c r="E573" i="3"/>
  <c r="H573" i="3" s="1"/>
  <c r="E637" i="3"/>
  <c r="H637" i="3" s="1"/>
  <c r="E685" i="3"/>
  <c r="H685" i="3" s="1"/>
  <c r="E276" i="3"/>
  <c r="H276" i="3" s="1"/>
  <c r="E373" i="3"/>
  <c r="H373" i="3" s="1"/>
  <c r="E477" i="3"/>
  <c r="H477" i="3" s="1"/>
  <c r="E582" i="3"/>
  <c r="H582" i="3" s="1"/>
  <c r="E686" i="3"/>
  <c r="H686" i="3" s="1"/>
  <c r="E422" i="3"/>
  <c r="H422" i="3" s="1"/>
  <c r="E94" i="3"/>
  <c r="H94" i="3" s="1"/>
  <c r="G550" i="3"/>
  <c r="J550" i="3" s="1"/>
  <c r="E727" i="3"/>
  <c r="H727" i="3" s="1"/>
  <c r="E104" i="3"/>
  <c r="H104" i="3" s="1"/>
  <c r="E610" i="3"/>
  <c r="H610" i="3" s="1"/>
  <c r="E770" i="3"/>
  <c r="H770" i="3" s="1"/>
  <c r="E370" i="3"/>
  <c r="H370" i="3" s="1"/>
  <c r="E498" i="3"/>
  <c r="H498" i="3" s="1"/>
  <c r="E152" i="3"/>
  <c r="H152" i="3" s="1"/>
  <c r="E216" i="3"/>
  <c r="H216" i="3" s="1"/>
  <c r="E554" i="3"/>
  <c r="H554" i="3" s="1"/>
  <c r="E619" i="3"/>
  <c r="H619" i="3" s="1"/>
  <c r="E667" i="3"/>
  <c r="H667" i="3" s="1"/>
  <c r="E731" i="3"/>
  <c r="H731" i="3" s="1"/>
  <c r="G273" i="3"/>
  <c r="E323" i="3"/>
  <c r="H323" i="3" s="1"/>
  <c r="E387" i="3"/>
  <c r="H387" i="3" s="1"/>
  <c r="E451" i="3"/>
  <c r="H451" i="3" s="1"/>
  <c r="E51" i="3"/>
  <c r="H51" i="3" s="1"/>
  <c r="E115" i="3"/>
  <c r="H115" i="3" s="1"/>
  <c r="E535" i="3"/>
  <c r="H535" i="3" s="1"/>
  <c r="E612" i="3"/>
  <c r="H612" i="3" s="1"/>
  <c r="E660" i="3"/>
  <c r="H660" i="3" s="1"/>
  <c r="E724" i="3"/>
  <c r="H724" i="3" s="1"/>
  <c r="E308" i="3"/>
  <c r="H308" i="3" s="1"/>
  <c r="E372" i="3"/>
  <c r="H372" i="3" s="1"/>
  <c r="E436" i="3"/>
  <c r="H436" i="3" s="1"/>
  <c r="E500" i="3"/>
  <c r="H500" i="3" s="1"/>
  <c r="E128" i="3"/>
  <c r="H128" i="3" s="1"/>
  <c r="E528" i="3"/>
  <c r="H528" i="3" s="1"/>
  <c r="E581" i="3"/>
  <c r="H581" i="3" s="1"/>
  <c r="E645" i="3"/>
  <c r="H645" i="3" s="1"/>
  <c r="E701" i="3"/>
  <c r="H701" i="3" s="1"/>
  <c r="E301" i="3"/>
  <c r="H301" i="3" s="1"/>
  <c r="E397" i="3"/>
  <c r="H397" i="3" s="1"/>
  <c r="E29" i="3"/>
  <c r="H29" i="3" s="1"/>
  <c r="E529" i="3"/>
  <c r="H529" i="3" s="1"/>
  <c r="E606" i="3"/>
  <c r="H606" i="3" s="1"/>
  <c r="E430" i="3"/>
  <c r="H430" i="3" s="1"/>
  <c r="E140" i="3"/>
  <c r="H140" i="3" s="1"/>
  <c r="E583" i="3"/>
  <c r="H583" i="3" s="1"/>
  <c r="E735" i="3"/>
  <c r="H735" i="3" s="1"/>
  <c r="E165" i="3"/>
  <c r="H165" i="3" s="1"/>
  <c r="M261" i="3"/>
  <c r="E106" i="3"/>
  <c r="H106" i="3" s="1"/>
  <c r="E533" i="3"/>
  <c r="H533" i="3" s="1"/>
  <c r="E658" i="3"/>
  <c r="H658" i="3" s="1"/>
  <c r="E722" i="3"/>
  <c r="H722" i="3" s="1"/>
  <c r="E306" i="3"/>
  <c r="H306" i="3" s="1"/>
  <c r="E434" i="3"/>
  <c r="H434" i="3" s="1"/>
  <c r="E151" i="3"/>
  <c r="H151" i="3" s="1"/>
  <c r="E553" i="3"/>
  <c r="H553" i="3" s="1"/>
  <c r="E618" i="3"/>
  <c r="H618" i="3" s="1"/>
  <c r="E666" i="3"/>
  <c r="H666" i="3" s="1"/>
  <c r="E730" i="3"/>
  <c r="H730" i="3" s="1"/>
  <c r="E778" i="3"/>
  <c r="H778" i="3" s="1"/>
  <c r="E314" i="3"/>
  <c r="H314" i="3" s="1"/>
  <c r="E378" i="3"/>
  <c r="H378" i="3" s="1"/>
  <c r="E442" i="3"/>
  <c r="H442" i="3" s="1"/>
  <c r="E506" i="3"/>
  <c r="H506" i="3" s="1"/>
  <c r="E160" i="3"/>
  <c r="H160" i="3" s="1"/>
  <c r="E224" i="3"/>
  <c r="H224" i="3" s="1"/>
  <c r="E563" i="3"/>
  <c r="H563" i="3" s="1"/>
  <c r="E627" i="3"/>
  <c r="H627" i="3" s="1"/>
  <c r="E675" i="3"/>
  <c r="H675" i="3" s="1"/>
  <c r="E739" i="3"/>
  <c r="H739" i="3" s="1"/>
  <c r="E331" i="3"/>
  <c r="H331" i="3" s="1"/>
  <c r="E395" i="3"/>
  <c r="H395" i="3" s="1"/>
  <c r="E459" i="3"/>
  <c r="H459" i="3" s="1"/>
  <c r="E59" i="3"/>
  <c r="H59" i="3" s="1"/>
  <c r="E123" i="3"/>
  <c r="H123" i="3" s="1"/>
  <c r="E555" i="3"/>
  <c r="H555" i="3" s="1"/>
  <c r="E620" i="3"/>
  <c r="H620" i="3" s="1"/>
  <c r="E668" i="3"/>
  <c r="H668" i="3" s="1"/>
  <c r="E732" i="3"/>
  <c r="H732" i="3" s="1"/>
  <c r="E316" i="3"/>
  <c r="H316" i="3" s="1"/>
  <c r="E380" i="3"/>
  <c r="H380" i="3" s="1"/>
  <c r="E444" i="3"/>
  <c r="H444" i="3" s="1"/>
  <c r="E508" i="3"/>
  <c r="H508" i="3" s="1"/>
  <c r="E162" i="3"/>
  <c r="H162" i="3" s="1"/>
  <c r="E547" i="3"/>
  <c r="H547" i="3" s="1"/>
  <c r="E589" i="3"/>
  <c r="H589" i="3" s="1"/>
  <c r="E709" i="3"/>
  <c r="H709" i="3" s="1"/>
  <c r="E309" i="3"/>
  <c r="H309" i="3" s="1"/>
  <c r="E413" i="3"/>
  <c r="H413" i="3" s="1"/>
  <c r="E56" i="3"/>
  <c r="H56" i="3" s="1"/>
  <c r="E622" i="3"/>
  <c r="H622" i="3" s="1"/>
  <c r="E294" i="3"/>
  <c r="H294" i="3" s="1"/>
  <c r="E172" i="3"/>
  <c r="H172" i="3" s="1"/>
  <c r="E607" i="3"/>
  <c r="H607" i="3" s="1"/>
  <c r="E188" i="3"/>
  <c r="H188" i="3" s="1"/>
  <c r="G655" i="3"/>
  <c r="J655" i="3" s="1"/>
  <c r="E375" i="3"/>
  <c r="H375" i="3" s="1"/>
  <c r="E551" i="3"/>
  <c r="H551" i="3" s="1"/>
  <c r="E579" i="3"/>
  <c r="H579" i="3" s="1"/>
  <c r="E691" i="3"/>
  <c r="H691" i="3" s="1"/>
  <c r="E755" i="3"/>
  <c r="H755" i="3" s="1"/>
  <c r="E347" i="3"/>
  <c r="H347" i="3" s="1"/>
  <c r="E411" i="3"/>
  <c r="H411" i="3" s="1"/>
  <c r="E475" i="3"/>
  <c r="H475" i="3" s="1"/>
  <c r="E11" i="3"/>
  <c r="H11" i="3" s="1"/>
  <c r="E75" i="3"/>
  <c r="H75" i="3" s="1"/>
  <c r="E139" i="3"/>
  <c r="H139" i="3" s="1"/>
  <c r="E572" i="3"/>
  <c r="H572" i="3" s="1"/>
  <c r="E636" i="3"/>
  <c r="H636" i="3" s="1"/>
  <c r="E684" i="3"/>
  <c r="H684" i="3" s="1"/>
  <c r="E748" i="3"/>
  <c r="H748" i="3" s="1"/>
  <c r="E332" i="3"/>
  <c r="H332" i="3" s="1"/>
  <c r="E396" i="3"/>
  <c r="H396" i="3" s="1"/>
  <c r="E460" i="3"/>
  <c r="H460" i="3" s="1"/>
  <c r="E178" i="3"/>
  <c r="H178" i="3" s="1"/>
  <c r="E605" i="3"/>
  <c r="H605" i="3" s="1"/>
  <c r="E725" i="3"/>
  <c r="H725" i="3" s="1"/>
  <c r="E773" i="3"/>
  <c r="H773" i="3" s="1"/>
  <c r="E325" i="3"/>
  <c r="H325" i="3" s="1"/>
  <c r="E437" i="3"/>
  <c r="H437" i="3" s="1"/>
  <c r="E501" i="3"/>
  <c r="H501" i="3" s="1"/>
  <c r="E179" i="3"/>
  <c r="H179" i="3" s="1"/>
  <c r="E702" i="3"/>
  <c r="H702" i="3" s="1"/>
  <c r="E350" i="3"/>
  <c r="H350" i="3" s="1"/>
  <c r="E212" i="3"/>
  <c r="H212" i="3" s="1"/>
  <c r="G487" i="3"/>
  <c r="J487" i="3" s="1"/>
  <c r="G696" i="3"/>
  <c r="J696" i="3" s="1"/>
  <c r="E384" i="3"/>
  <c r="H384" i="3" s="1"/>
  <c r="E338" i="3"/>
  <c r="H338" i="3" s="1"/>
  <c r="E402" i="3"/>
  <c r="H402" i="3" s="1"/>
  <c r="E466" i="3"/>
  <c r="H466" i="3" s="1"/>
  <c r="E184" i="3"/>
  <c r="H184" i="3" s="1"/>
  <c r="E248" i="3"/>
  <c r="H248" i="3" s="1"/>
  <c r="E587" i="3"/>
  <c r="H587" i="3" s="1"/>
  <c r="E699" i="3"/>
  <c r="H699" i="3" s="1"/>
  <c r="E763" i="3"/>
  <c r="H763" i="3" s="1"/>
  <c r="E291" i="3"/>
  <c r="H291" i="3" s="1"/>
  <c r="E355" i="3"/>
  <c r="H355" i="3" s="1"/>
  <c r="E419" i="3"/>
  <c r="H419" i="3" s="1"/>
  <c r="E483" i="3"/>
  <c r="H483" i="3" s="1"/>
  <c r="E19" i="3"/>
  <c r="H19" i="3" s="1"/>
  <c r="E83" i="3"/>
  <c r="H83" i="3" s="1"/>
  <c r="E36" i="3"/>
  <c r="H36" i="3" s="1"/>
  <c r="E580" i="3"/>
  <c r="H580" i="3" s="1"/>
  <c r="E692" i="3"/>
  <c r="H692" i="3" s="1"/>
  <c r="E756" i="3"/>
  <c r="H756" i="3" s="1"/>
  <c r="E340" i="3"/>
  <c r="H340" i="3" s="1"/>
  <c r="E404" i="3"/>
  <c r="H404" i="3" s="1"/>
  <c r="E468" i="3"/>
  <c r="H468" i="3" s="1"/>
  <c r="E226" i="3"/>
  <c r="H226" i="3" s="1"/>
  <c r="E613" i="3"/>
  <c r="H613" i="3" s="1"/>
  <c r="E661" i="3"/>
  <c r="H661" i="3" s="1"/>
  <c r="E733" i="3"/>
  <c r="H733" i="3" s="1"/>
  <c r="E333" i="3"/>
  <c r="H333" i="3" s="1"/>
  <c r="E445" i="3"/>
  <c r="H445" i="3" s="1"/>
  <c r="E509" i="3"/>
  <c r="H509" i="3" s="1"/>
  <c r="E195" i="3"/>
  <c r="H195" i="3" s="1"/>
  <c r="E718" i="3"/>
  <c r="H718" i="3" s="1"/>
  <c r="E366" i="3"/>
  <c r="H366" i="3" s="1"/>
  <c r="E752" i="3"/>
  <c r="H752" i="3" s="1"/>
  <c r="I10" i="4"/>
  <c r="I530" i="4"/>
  <c r="I10" i="3"/>
  <c r="I525" i="3"/>
  <c r="J10" i="5"/>
  <c r="H10" i="5"/>
  <c r="I528" i="5"/>
  <c r="J528" i="5"/>
  <c r="E531" i="5"/>
  <c r="H531" i="5" s="1"/>
  <c r="E728" i="5"/>
  <c r="H728" i="5" s="1"/>
  <c r="E657" i="5"/>
  <c r="H657" i="5" s="1"/>
  <c r="E769" i="5"/>
  <c r="H769" i="5" s="1"/>
  <c r="E617" i="5"/>
  <c r="H617" i="5" s="1"/>
  <c r="E714" i="5"/>
  <c r="H714" i="5" s="1"/>
  <c r="E627" i="5"/>
  <c r="H627" i="5" s="1"/>
  <c r="E552" i="5"/>
  <c r="H552" i="5" s="1"/>
  <c r="E589" i="5"/>
  <c r="H589" i="5" s="1"/>
  <c r="E575" i="5"/>
  <c r="H575" i="5" s="1"/>
  <c r="E679" i="5"/>
  <c r="H679" i="5" s="1"/>
  <c r="G783" i="5"/>
  <c r="J783" i="5" s="1"/>
  <c r="E729" i="5"/>
  <c r="H729" i="5" s="1"/>
  <c r="E533" i="5"/>
  <c r="H533" i="5" s="1"/>
  <c r="E529" i="5"/>
  <c r="E707" i="5"/>
  <c r="H707" i="5" s="1"/>
  <c r="E681" i="5"/>
  <c r="H681" i="5" s="1"/>
  <c r="E661" i="5"/>
  <c r="H661" i="5" s="1"/>
  <c r="E743" i="5"/>
  <c r="H743" i="5" s="1"/>
  <c r="E760" i="5"/>
  <c r="H760" i="5" s="1"/>
  <c r="E580" i="5"/>
  <c r="H580" i="5" s="1"/>
  <c r="E774" i="5"/>
  <c r="H774" i="5" s="1"/>
  <c r="E515" i="5"/>
  <c r="H515" i="5" s="1"/>
  <c r="E563" i="5"/>
  <c r="H563" i="5" s="1"/>
  <c r="E562" i="5"/>
  <c r="H562" i="5" s="1"/>
  <c r="E636" i="5"/>
  <c r="H636" i="5" s="1"/>
  <c r="E668" i="5"/>
  <c r="H668" i="5" s="1"/>
  <c r="E732" i="5"/>
  <c r="H732" i="5" s="1"/>
  <c r="E572" i="5"/>
  <c r="H572" i="5" s="1"/>
  <c r="E753" i="5"/>
  <c r="H753" i="5" s="1"/>
  <c r="E534" i="5"/>
  <c r="H534" i="5" s="1"/>
  <c r="E579" i="5"/>
  <c r="H579" i="5" s="1"/>
  <c r="E626" i="5"/>
  <c r="H626" i="5" s="1"/>
  <c r="E690" i="5"/>
  <c r="H690" i="5" s="1"/>
  <c r="E762" i="5"/>
  <c r="H762" i="5" s="1"/>
  <c r="E594" i="5"/>
  <c r="H594" i="5" s="1"/>
  <c r="E722" i="5"/>
  <c r="H722" i="5" s="1"/>
  <c r="E771" i="5"/>
  <c r="H771" i="5" s="1"/>
  <c r="E547" i="5"/>
  <c r="H547" i="5" s="1"/>
  <c r="E780" i="5"/>
  <c r="H780" i="5" s="1"/>
  <c r="E709" i="5"/>
  <c r="H709" i="5" s="1"/>
  <c r="E708" i="5"/>
  <c r="H708" i="5" s="1"/>
  <c r="E667" i="5"/>
  <c r="H667" i="5" s="1"/>
  <c r="E770" i="5"/>
  <c r="H770" i="5" s="1"/>
  <c r="E737" i="5"/>
  <c r="H737" i="5" s="1"/>
  <c r="E673" i="5"/>
  <c r="H673" i="5" s="1"/>
  <c r="E593" i="5"/>
  <c r="H593" i="5" s="1"/>
  <c r="E712" i="5"/>
  <c r="H712" i="5" s="1"/>
  <c r="E568" i="5"/>
  <c r="H568" i="5" s="1"/>
  <c r="E735" i="5"/>
  <c r="H735" i="5" s="1"/>
  <c r="E671" i="5"/>
  <c r="H671" i="5" s="1"/>
  <c r="E567" i="5"/>
  <c r="H567" i="5" s="1"/>
  <c r="E530" i="5"/>
  <c r="H530" i="5" s="1"/>
  <c r="E742" i="5"/>
  <c r="H742" i="5" s="1"/>
  <c r="E710" i="5"/>
  <c r="H710" i="5" s="1"/>
  <c r="E678" i="5"/>
  <c r="H678" i="5" s="1"/>
  <c r="E646" i="5"/>
  <c r="H646" i="5" s="1"/>
  <c r="E634" i="5"/>
  <c r="H634" i="5" s="1"/>
  <c r="E685" i="5"/>
  <c r="H685" i="5" s="1"/>
  <c r="E776" i="5"/>
  <c r="H776" i="5" s="1"/>
  <c r="E684" i="5"/>
  <c r="H684" i="5" s="1"/>
  <c r="E747" i="5"/>
  <c r="H747" i="5" s="1"/>
  <c r="E619" i="5"/>
  <c r="H619" i="5" s="1"/>
  <c r="E682" i="5"/>
  <c r="H682" i="5" s="1"/>
  <c r="E596" i="5"/>
  <c r="H596" i="5" s="1"/>
  <c r="E669" i="5"/>
  <c r="H669" i="5" s="1"/>
  <c r="E585" i="5"/>
  <c r="H585" i="5" s="1"/>
  <c r="E677" i="5"/>
  <c r="H677" i="5" s="1"/>
  <c r="E739" i="5"/>
  <c r="H739" i="5" s="1"/>
  <c r="E643" i="5"/>
  <c r="H643" i="5" s="1"/>
  <c r="E674" i="5"/>
  <c r="H674" i="5" s="1"/>
  <c r="E665" i="5"/>
  <c r="H665" i="5" s="1"/>
  <c r="E577" i="5"/>
  <c r="H577" i="5" s="1"/>
  <c r="E688" i="5"/>
  <c r="H688" i="5" s="1"/>
  <c r="E775" i="5"/>
  <c r="H775" i="5" s="1"/>
  <c r="E711" i="5"/>
  <c r="H711" i="5" s="1"/>
  <c r="E647" i="5"/>
  <c r="H647" i="5" s="1"/>
  <c r="E607" i="5"/>
  <c r="H607" i="5" s="1"/>
  <c r="E779" i="5"/>
  <c r="H779" i="5" s="1"/>
  <c r="G702" i="5"/>
  <c r="J702" i="5" s="1"/>
  <c r="E566" i="5"/>
  <c r="H566" i="5" s="1"/>
  <c r="G529" i="5"/>
  <c r="J529" i="5" s="1"/>
  <c r="E624" i="5"/>
  <c r="H624" i="5" s="1"/>
  <c r="E777" i="5"/>
  <c r="H777" i="5" s="1"/>
  <c r="E675" i="5"/>
  <c r="H675" i="5" s="1"/>
  <c r="E766" i="5"/>
  <c r="H766" i="5" s="1"/>
  <c r="E652" i="5"/>
  <c r="H652" i="5" s="1"/>
  <c r="G632" i="5"/>
  <c r="J632" i="5" s="1"/>
  <c r="E725" i="5"/>
  <c r="H725" i="5" s="1"/>
  <c r="E597" i="5"/>
  <c r="H597" i="5" s="1"/>
  <c r="E755" i="5"/>
  <c r="H755" i="5" s="1"/>
  <c r="E672" i="5"/>
  <c r="H672" i="5" s="1"/>
  <c r="E586" i="5"/>
  <c r="H586" i="5" s="1"/>
  <c r="G753" i="5"/>
  <c r="J753" i="5" s="1"/>
  <c r="E772" i="5"/>
  <c r="H772" i="5" s="1"/>
  <c r="E573" i="5"/>
  <c r="H573" i="5" s="1"/>
  <c r="E645" i="5"/>
  <c r="H645" i="5" s="1"/>
  <c r="E644" i="5"/>
  <c r="H644" i="5" s="1"/>
  <c r="E635" i="5"/>
  <c r="H635" i="5" s="1"/>
  <c r="E666" i="5"/>
  <c r="H666" i="5" s="1"/>
  <c r="E721" i="5"/>
  <c r="H721" i="5" s="1"/>
  <c r="E569" i="5"/>
  <c r="H569" i="5" s="1"/>
  <c r="E680" i="5"/>
  <c r="H680" i="5" s="1"/>
  <c r="E687" i="5"/>
  <c r="H687" i="5" s="1"/>
  <c r="E583" i="5"/>
  <c r="H583" i="5" s="1"/>
  <c r="E761" i="5"/>
  <c r="H761" i="5" s="1"/>
  <c r="E734" i="5"/>
  <c r="H734" i="5" s="1"/>
  <c r="E702" i="5"/>
  <c r="H702" i="5" s="1"/>
  <c r="E670" i="5"/>
  <c r="H670" i="5" s="1"/>
  <c r="E638" i="5"/>
  <c r="H638" i="5" s="1"/>
  <c r="E614" i="5"/>
  <c r="H614" i="5" s="1"/>
  <c r="E590" i="5"/>
  <c r="H590" i="5" s="1"/>
  <c r="E778" i="5"/>
  <c r="H778" i="5" s="1"/>
  <c r="E602" i="5"/>
  <c r="H602" i="5" s="1"/>
  <c r="E768" i="5"/>
  <c r="H768" i="5" s="1"/>
  <c r="E653" i="5"/>
  <c r="H653" i="5" s="1"/>
  <c r="E757" i="5"/>
  <c r="H757" i="5" s="1"/>
  <c r="E620" i="5"/>
  <c r="H620" i="5" s="1"/>
  <c r="E715" i="5"/>
  <c r="H715" i="5" s="1"/>
  <c r="E587" i="5"/>
  <c r="H587" i="5" s="1"/>
  <c r="G754" i="5"/>
  <c r="J754" i="5" s="1"/>
  <c r="G562" i="5"/>
  <c r="J562" i="5" s="1"/>
  <c r="E746" i="5"/>
  <c r="H746" i="5" s="1"/>
  <c r="E576" i="5"/>
  <c r="H576" i="5" s="1"/>
  <c r="E754" i="5"/>
  <c r="H754" i="5" s="1"/>
  <c r="E551" i="5"/>
  <c r="H551" i="5" s="1"/>
  <c r="E613" i="5"/>
  <c r="H613" i="5" s="1"/>
  <c r="E612" i="5"/>
  <c r="H612" i="5" s="1"/>
  <c r="E723" i="5"/>
  <c r="H723" i="5" s="1"/>
  <c r="E611" i="5"/>
  <c r="H611" i="5" s="1"/>
  <c r="E785" i="5"/>
  <c r="H785" i="5" s="1"/>
  <c r="E713" i="5"/>
  <c r="H713" i="5" s="1"/>
  <c r="E641" i="5"/>
  <c r="H641" i="5" s="1"/>
  <c r="E532" i="5"/>
  <c r="H532" i="5" s="1"/>
  <c r="E664" i="5"/>
  <c r="H664" i="5" s="1"/>
  <c r="E727" i="5"/>
  <c r="H727" i="5" s="1"/>
  <c r="G703" i="5"/>
  <c r="J703" i="5" s="1"/>
  <c r="E663" i="5"/>
  <c r="H663" i="5" s="1"/>
  <c r="E623" i="5"/>
  <c r="H623" i="5" s="1"/>
  <c r="E559" i="5"/>
  <c r="H559" i="5" s="1"/>
  <c r="E731" i="5"/>
  <c r="H731" i="5" s="1"/>
  <c r="G606" i="5"/>
  <c r="J606" i="5" s="1"/>
  <c r="G558" i="5"/>
  <c r="J558" i="5" s="1"/>
  <c r="E750" i="5"/>
  <c r="H750" i="5" s="1"/>
  <c r="E570" i="5"/>
  <c r="H570" i="5" s="1"/>
  <c r="E584" i="5"/>
  <c r="H584" i="5" s="1"/>
  <c r="E758" i="5"/>
  <c r="H758" i="5" s="1"/>
  <c r="E633" i="5"/>
  <c r="H633" i="5" s="1"/>
  <c r="E748" i="5"/>
  <c r="H748" i="5" s="1"/>
  <c r="E578" i="5"/>
  <c r="H578" i="5" s="1"/>
  <c r="E693" i="5"/>
  <c r="H693" i="5" s="1"/>
  <c r="E565" i="5"/>
  <c r="H565" i="5" s="1"/>
  <c r="E736" i="5"/>
  <c r="H736" i="5" s="1"/>
  <c r="E650" i="5"/>
  <c r="H650" i="5" s="1"/>
  <c r="E564" i="5"/>
  <c r="H564" i="5" s="1"/>
  <c r="E745" i="5"/>
  <c r="H745" i="5" s="1"/>
  <c r="E637" i="5"/>
  <c r="H637" i="5" s="1"/>
  <c r="E581" i="5"/>
  <c r="H581" i="5" s="1"/>
  <c r="E588" i="5"/>
  <c r="H588" i="5" s="1"/>
  <c r="E603" i="5"/>
  <c r="H603" i="5" s="1"/>
  <c r="E642" i="5"/>
  <c r="H642" i="5" s="1"/>
  <c r="E705" i="5"/>
  <c r="H705" i="5" s="1"/>
  <c r="E784" i="5"/>
  <c r="H784" i="5" s="1"/>
  <c r="E632" i="5"/>
  <c r="H632" i="5" s="1"/>
  <c r="E767" i="5"/>
  <c r="H767" i="5" s="1"/>
  <c r="E703" i="5"/>
  <c r="H703" i="5" s="1"/>
  <c r="E639" i="5"/>
  <c r="H639" i="5" s="1"/>
  <c r="E599" i="5"/>
  <c r="H599" i="5" s="1"/>
  <c r="G550" i="5"/>
  <c r="J550" i="5" s="1"/>
  <c r="E689" i="5"/>
  <c r="H689" i="5" s="1"/>
  <c r="E726" i="5"/>
  <c r="H726" i="5" s="1"/>
  <c r="E694" i="5"/>
  <c r="H694" i="5" s="1"/>
  <c r="E662" i="5"/>
  <c r="H662" i="5" s="1"/>
  <c r="E606" i="5"/>
  <c r="H606" i="5" s="1"/>
  <c r="E582" i="5"/>
  <c r="H582" i="5" s="1"/>
  <c r="E558" i="5"/>
  <c r="H558" i="5" s="1"/>
  <c r="E730" i="5"/>
  <c r="H730" i="5" s="1"/>
  <c r="E749" i="5"/>
  <c r="H749" i="5" s="1"/>
  <c r="E621" i="5"/>
  <c r="H621" i="5" s="1"/>
  <c r="E738" i="5"/>
  <c r="H738" i="5" s="1"/>
  <c r="E555" i="5"/>
  <c r="H555" i="5" s="1"/>
  <c r="E683" i="5"/>
  <c r="H683" i="5" s="1"/>
  <c r="E554" i="5"/>
  <c r="H554" i="5" s="1"/>
  <c r="G650" i="5"/>
  <c r="J650" i="5" s="1"/>
  <c r="E724" i="5"/>
  <c r="H724" i="5" s="1"/>
  <c r="E640" i="5"/>
  <c r="H640" i="5" s="1"/>
  <c r="E553" i="5"/>
  <c r="H553" i="5" s="1"/>
  <c r="E535" i="5"/>
  <c r="H535" i="5" s="1"/>
  <c r="E699" i="5"/>
  <c r="H699" i="5" s="1"/>
  <c r="E571" i="5"/>
  <c r="H571" i="5" s="1"/>
  <c r="E706" i="5"/>
  <c r="H706" i="5" s="1"/>
  <c r="E610" i="5"/>
  <c r="H610" i="5" s="1"/>
  <c r="E609" i="5"/>
  <c r="H609" i="5" s="1"/>
  <c r="E744" i="5"/>
  <c r="H744" i="5" s="1"/>
  <c r="E600" i="5"/>
  <c r="H600" i="5" s="1"/>
  <c r="E783" i="5"/>
  <c r="H783" i="5" s="1"/>
  <c r="E719" i="5"/>
  <c r="H719" i="5" s="1"/>
  <c r="E655" i="5"/>
  <c r="H655" i="5" s="1"/>
  <c r="E615" i="5"/>
  <c r="H615" i="5" s="1"/>
  <c r="E550" i="5"/>
  <c r="H550" i="5" s="1"/>
  <c r="E625" i="5"/>
  <c r="H625" i="5" s="1"/>
  <c r="E718" i="5"/>
  <c r="H718" i="5" s="1"/>
  <c r="E686" i="5"/>
  <c r="H686" i="5" s="1"/>
  <c r="E654" i="5"/>
  <c r="H654" i="5" s="1"/>
  <c r="E676" i="5"/>
  <c r="H676" i="5" s="1"/>
  <c r="G547" i="5"/>
  <c r="J547" i="5" s="1"/>
  <c r="E717" i="5"/>
  <c r="H717" i="5" s="1"/>
  <c r="E716" i="5"/>
  <c r="H716" i="5" s="1"/>
  <c r="E765" i="5"/>
  <c r="H765" i="5" s="1"/>
  <c r="E651" i="5"/>
  <c r="H651" i="5" s="1"/>
  <c r="E616" i="5"/>
  <c r="H616" i="5" s="1"/>
  <c r="E704" i="5"/>
  <c r="H704" i="5" s="1"/>
  <c r="E618" i="5"/>
  <c r="H618" i="5" s="1"/>
  <c r="E691" i="5"/>
  <c r="H691" i="5" s="1"/>
  <c r="E741" i="5"/>
  <c r="H741" i="5" s="1"/>
  <c r="E740" i="5"/>
  <c r="H740" i="5" s="1"/>
  <c r="E601" i="5"/>
  <c r="H601" i="5" s="1"/>
  <c r="E720" i="5"/>
  <c r="H720" i="5" s="1"/>
  <c r="E592" i="5"/>
  <c r="H592" i="5" s="1"/>
  <c r="E759" i="5"/>
  <c r="H759" i="5" s="1"/>
  <c r="E695" i="5"/>
  <c r="H695" i="5" s="1"/>
  <c r="G607" i="5"/>
  <c r="J607" i="5" s="1"/>
  <c r="E591" i="5"/>
  <c r="H591" i="5" s="1"/>
  <c r="E622" i="5"/>
  <c r="H622" i="5" s="1"/>
  <c r="E598" i="5"/>
  <c r="H598" i="5" s="1"/>
  <c r="E574" i="5"/>
  <c r="H574" i="5" s="1"/>
  <c r="E656" i="5"/>
  <c r="H656" i="5" s="1"/>
  <c r="G765" i="5"/>
  <c r="J765" i="5" s="1"/>
  <c r="G661" i="5"/>
  <c r="J661" i="5" s="1"/>
  <c r="E697" i="5"/>
  <c r="H697" i="5" s="1"/>
  <c r="E696" i="5"/>
  <c r="H696" i="5" s="1"/>
  <c r="E756" i="5"/>
  <c r="H756" i="5" s="1"/>
  <c r="E629" i="5"/>
  <c r="H629" i="5" s="1"/>
  <c r="E773" i="5"/>
  <c r="H773" i="5" s="1"/>
  <c r="E692" i="5"/>
  <c r="H692" i="5" s="1"/>
  <c r="E608" i="5"/>
  <c r="H608" i="5" s="1"/>
  <c r="E595" i="5"/>
  <c r="H595" i="5" s="1"/>
  <c r="E733" i="5"/>
  <c r="H733" i="5" s="1"/>
  <c r="E628" i="5"/>
  <c r="H628" i="5" s="1"/>
  <c r="E273" i="5"/>
  <c r="E304" i="5"/>
  <c r="H304" i="5" s="1"/>
  <c r="E309" i="5"/>
  <c r="H309" i="5" s="1"/>
  <c r="E368" i="5"/>
  <c r="H368" i="5" s="1"/>
  <c r="E291" i="5"/>
  <c r="H291" i="5" s="1"/>
  <c r="E316" i="5"/>
  <c r="H316" i="5" s="1"/>
  <c r="E373" i="5"/>
  <c r="H373" i="5" s="1"/>
  <c r="E446" i="5"/>
  <c r="H446" i="5" s="1"/>
  <c r="E433" i="5"/>
  <c r="H433" i="5" s="1"/>
  <c r="E339" i="5"/>
  <c r="H339" i="5" s="1"/>
  <c r="E290" i="5"/>
  <c r="H290" i="5" s="1"/>
  <c r="E380" i="5"/>
  <c r="H380" i="5" s="1"/>
  <c r="E437" i="5"/>
  <c r="H437" i="5" s="1"/>
  <c r="E295" i="5"/>
  <c r="H295" i="5" s="1"/>
  <c r="E470" i="5"/>
  <c r="H470" i="5" s="1"/>
  <c r="E496" i="5"/>
  <c r="H496" i="5" s="1"/>
  <c r="E298" i="5"/>
  <c r="H298" i="5" s="1"/>
  <c r="E387" i="5"/>
  <c r="H387" i="5" s="1"/>
  <c r="E418" i="5"/>
  <c r="H418" i="5" s="1"/>
  <c r="E307" i="5"/>
  <c r="H307" i="5" s="1"/>
  <c r="E501" i="5"/>
  <c r="H501" i="5" s="1"/>
  <c r="E359" i="5"/>
  <c r="H359" i="5" s="1"/>
  <c r="E297" i="5"/>
  <c r="H297" i="5" s="1"/>
  <c r="E362" i="5"/>
  <c r="H362" i="5" s="1"/>
  <c r="G301" i="5"/>
  <c r="J301" i="5" s="1"/>
  <c r="E423" i="5"/>
  <c r="H423" i="5" s="1"/>
  <c r="E439" i="5"/>
  <c r="H439" i="5" s="1"/>
  <c r="E449" i="5"/>
  <c r="H449" i="5" s="1"/>
  <c r="E426" i="5"/>
  <c r="H426" i="5" s="1"/>
  <c r="E334" i="5"/>
  <c r="H334" i="5" s="1"/>
  <c r="E463" i="5"/>
  <c r="H463" i="5" s="1"/>
  <c r="E167" i="5"/>
  <c r="H167" i="5" s="1"/>
  <c r="E401" i="5"/>
  <c r="H401" i="5" s="1"/>
  <c r="E337" i="5"/>
  <c r="H337" i="5" s="1"/>
  <c r="E465" i="5"/>
  <c r="H465" i="5" s="1"/>
  <c r="E289" i="5"/>
  <c r="H289" i="5" s="1"/>
  <c r="E353" i="5"/>
  <c r="H353" i="5" s="1"/>
  <c r="E417" i="5"/>
  <c r="H417" i="5" s="1"/>
  <c r="E481" i="5"/>
  <c r="H481" i="5" s="1"/>
  <c r="E521" i="5"/>
  <c r="H521" i="5" s="1"/>
  <c r="E329" i="5"/>
  <c r="H329" i="5" s="1"/>
  <c r="E509" i="5"/>
  <c r="H509" i="5" s="1"/>
  <c r="E500" i="5"/>
  <c r="H500" i="5" s="1"/>
  <c r="E476" i="5"/>
  <c r="H476" i="5" s="1"/>
  <c r="E452" i="5"/>
  <c r="H452" i="5" s="1"/>
  <c r="E428" i="5"/>
  <c r="H428" i="5" s="1"/>
  <c r="E404" i="5"/>
  <c r="H404" i="5" s="1"/>
  <c r="E467" i="5"/>
  <c r="H467" i="5" s="1"/>
  <c r="E514" i="5"/>
  <c r="H514" i="5" s="1"/>
  <c r="E491" i="5"/>
  <c r="H491" i="5" s="1"/>
  <c r="E443" i="5"/>
  <c r="H443" i="5" s="1"/>
  <c r="E385" i="5"/>
  <c r="H385" i="5" s="1"/>
  <c r="E472" i="5"/>
  <c r="H472" i="5" s="1"/>
  <c r="E448" i="5"/>
  <c r="H448" i="5" s="1"/>
  <c r="E455" i="5"/>
  <c r="H455" i="5" s="1"/>
  <c r="E369" i="5"/>
  <c r="H369" i="5" s="1"/>
  <c r="E510" i="5"/>
  <c r="H510" i="5" s="1"/>
  <c r="E422" i="5"/>
  <c r="H422" i="5" s="1"/>
  <c r="E358" i="5"/>
  <c r="H358" i="5" s="1"/>
  <c r="E360" i="5"/>
  <c r="H360" i="5" s="1"/>
  <c r="E296" i="5"/>
  <c r="H296" i="5" s="1"/>
  <c r="E415" i="5"/>
  <c r="H415" i="5" s="1"/>
  <c r="E351" i="5"/>
  <c r="H351" i="5" s="1"/>
  <c r="E287" i="5"/>
  <c r="H287" i="5" s="1"/>
  <c r="E326" i="5"/>
  <c r="H326" i="5" s="1"/>
  <c r="E493" i="5"/>
  <c r="H493" i="5" s="1"/>
  <c r="E429" i="5"/>
  <c r="H429" i="5" s="1"/>
  <c r="E365" i="5"/>
  <c r="H365" i="5" s="1"/>
  <c r="E301" i="5"/>
  <c r="H301" i="5" s="1"/>
  <c r="E372" i="5"/>
  <c r="H372" i="5" s="1"/>
  <c r="E308" i="5"/>
  <c r="H308" i="5" s="1"/>
  <c r="E419" i="5"/>
  <c r="H419" i="5" s="1"/>
  <c r="E371" i="5"/>
  <c r="H371" i="5" s="1"/>
  <c r="E490" i="5"/>
  <c r="H490" i="5" s="1"/>
  <c r="E442" i="5"/>
  <c r="H442" i="5" s="1"/>
  <c r="E410" i="5"/>
  <c r="H410" i="5" s="1"/>
  <c r="E346" i="5"/>
  <c r="H346" i="5" s="1"/>
  <c r="E281" i="5"/>
  <c r="H281" i="5" s="1"/>
  <c r="E395" i="5"/>
  <c r="H395" i="5" s="1"/>
  <c r="E321" i="5"/>
  <c r="H321" i="5" s="1"/>
  <c r="E512" i="5"/>
  <c r="H512" i="5" s="1"/>
  <c r="E424" i="5"/>
  <c r="H424" i="5" s="1"/>
  <c r="E503" i="5"/>
  <c r="H503" i="5" s="1"/>
  <c r="E479" i="5"/>
  <c r="H479" i="5" s="1"/>
  <c r="E305" i="5"/>
  <c r="H305" i="5" s="1"/>
  <c r="E486" i="5"/>
  <c r="H486" i="5" s="1"/>
  <c r="E398" i="5"/>
  <c r="H398" i="5" s="1"/>
  <c r="E374" i="5"/>
  <c r="H374" i="5" s="1"/>
  <c r="E416" i="5"/>
  <c r="H416" i="5" s="1"/>
  <c r="E352" i="5"/>
  <c r="H352" i="5" s="1"/>
  <c r="E288" i="5"/>
  <c r="H288" i="5" s="1"/>
  <c r="E407" i="5"/>
  <c r="H407" i="5" s="1"/>
  <c r="E343" i="5"/>
  <c r="H343" i="5" s="1"/>
  <c r="E278" i="5"/>
  <c r="H278" i="5" s="1"/>
  <c r="G302" i="5"/>
  <c r="J302" i="5" s="1"/>
  <c r="E318" i="5"/>
  <c r="H318" i="5" s="1"/>
  <c r="E485" i="5"/>
  <c r="H485" i="5" s="1"/>
  <c r="E421" i="5"/>
  <c r="H421" i="5" s="1"/>
  <c r="E357" i="5"/>
  <c r="H357" i="5" s="1"/>
  <c r="E293" i="5"/>
  <c r="H293" i="5" s="1"/>
  <c r="E473" i="5"/>
  <c r="H473" i="5" s="1"/>
  <c r="E516" i="5"/>
  <c r="H516" i="5" s="1"/>
  <c r="E492" i="5"/>
  <c r="H492" i="5" s="1"/>
  <c r="E364" i="5"/>
  <c r="H364" i="5" s="1"/>
  <c r="E499" i="5"/>
  <c r="H499" i="5" s="1"/>
  <c r="E451" i="5"/>
  <c r="H451" i="5" s="1"/>
  <c r="G490" i="5"/>
  <c r="J490" i="5" s="1"/>
  <c r="E466" i="5"/>
  <c r="H466" i="5" s="1"/>
  <c r="E402" i="5"/>
  <c r="H402" i="5" s="1"/>
  <c r="E338" i="5"/>
  <c r="H338" i="5" s="1"/>
  <c r="E347" i="5"/>
  <c r="H347" i="5" s="1"/>
  <c r="E431" i="5"/>
  <c r="H431" i="5" s="1"/>
  <c r="E462" i="5"/>
  <c r="H462" i="5" s="1"/>
  <c r="E438" i="5"/>
  <c r="H438" i="5" s="1"/>
  <c r="E408" i="5"/>
  <c r="H408" i="5" s="1"/>
  <c r="E344" i="5"/>
  <c r="H344" i="5" s="1"/>
  <c r="E399" i="5"/>
  <c r="H399" i="5" s="1"/>
  <c r="E335" i="5"/>
  <c r="H335" i="5" s="1"/>
  <c r="G281" i="5"/>
  <c r="J281" i="5" s="1"/>
  <c r="E310" i="5"/>
  <c r="H310" i="5" s="1"/>
  <c r="E477" i="5"/>
  <c r="H477" i="5" s="1"/>
  <c r="E413" i="5"/>
  <c r="H413" i="5" s="1"/>
  <c r="E349" i="5"/>
  <c r="H349" i="5" s="1"/>
  <c r="E285" i="5"/>
  <c r="H285" i="5" s="1"/>
  <c r="E356" i="5"/>
  <c r="H356" i="5" s="1"/>
  <c r="E468" i="5"/>
  <c r="H468" i="5" s="1"/>
  <c r="E284" i="5"/>
  <c r="H284" i="5" s="1"/>
  <c r="E403" i="5"/>
  <c r="H403" i="5" s="1"/>
  <c r="E323" i="5"/>
  <c r="H323" i="5" s="1"/>
  <c r="E506" i="5"/>
  <c r="H506" i="5" s="1"/>
  <c r="E394" i="5"/>
  <c r="H394" i="5" s="1"/>
  <c r="E330" i="5"/>
  <c r="H330" i="5" s="1"/>
  <c r="E475" i="5"/>
  <c r="H475" i="5" s="1"/>
  <c r="E427" i="5"/>
  <c r="H427" i="5" s="1"/>
  <c r="E464" i="5"/>
  <c r="H464" i="5" s="1"/>
  <c r="E440" i="5"/>
  <c r="H440" i="5" s="1"/>
  <c r="E505" i="5"/>
  <c r="H505" i="5" s="1"/>
  <c r="E502" i="5"/>
  <c r="H502" i="5" s="1"/>
  <c r="E414" i="5"/>
  <c r="H414" i="5" s="1"/>
  <c r="E400" i="5"/>
  <c r="H400" i="5" s="1"/>
  <c r="E336" i="5"/>
  <c r="H336" i="5" s="1"/>
  <c r="E391" i="5"/>
  <c r="H391" i="5" s="1"/>
  <c r="E327" i="5"/>
  <c r="H327" i="5" s="1"/>
  <c r="E302" i="5"/>
  <c r="H302" i="5" s="1"/>
  <c r="E469" i="5"/>
  <c r="H469" i="5" s="1"/>
  <c r="E405" i="5"/>
  <c r="H405" i="5" s="1"/>
  <c r="E341" i="5"/>
  <c r="H341" i="5" s="1"/>
  <c r="E276" i="5"/>
  <c r="H276" i="5" s="1"/>
  <c r="E332" i="5"/>
  <c r="H332" i="5" s="1"/>
  <c r="G273" i="5"/>
  <c r="E457" i="5"/>
  <c r="H457" i="5" s="1"/>
  <c r="E444" i="5"/>
  <c r="H444" i="5" s="1"/>
  <c r="E420" i="5"/>
  <c r="H420" i="5" s="1"/>
  <c r="E396" i="5"/>
  <c r="H396" i="5" s="1"/>
  <c r="E348" i="5"/>
  <c r="H348" i="5" s="1"/>
  <c r="E458" i="5"/>
  <c r="H458" i="5" s="1"/>
  <c r="E434" i="5"/>
  <c r="H434" i="5" s="1"/>
  <c r="E386" i="5"/>
  <c r="H386" i="5" s="1"/>
  <c r="E322" i="5"/>
  <c r="H322" i="5" s="1"/>
  <c r="E379" i="5"/>
  <c r="H379" i="5" s="1"/>
  <c r="G520" i="5"/>
  <c r="J520" i="5" s="1"/>
  <c r="E504" i="5"/>
  <c r="H504" i="5" s="1"/>
  <c r="E441" i="5"/>
  <c r="H441" i="5" s="1"/>
  <c r="E495" i="5"/>
  <c r="H495" i="5" s="1"/>
  <c r="E471" i="5"/>
  <c r="H471" i="5" s="1"/>
  <c r="E447" i="5"/>
  <c r="H447" i="5" s="1"/>
  <c r="E478" i="5"/>
  <c r="H478" i="5" s="1"/>
  <c r="E454" i="5"/>
  <c r="H454" i="5" s="1"/>
  <c r="E390" i="5"/>
  <c r="H390" i="5" s="1"/>
  <c r="E392" i="5"/>
  <c r="H392" i="5" s="1"/>
  <c r="E328" i="5"/>
  <c r="H328" i="5" s="1"/>
  <c r="E383" i="5"/>
  <c r="H383" i="5" s="1"/>
  <c r="E319" i="5"/>
  <c r="H319" i="5" s="1"/>
  <c r="E294" i="5"/>
  <c r="H294" i="5" s="1"/>
  <c r="E461" i="5"/>
  <c r="H461" i="5" s="1"/>
  <c r="E397" i="5"/>
  <c r="H397" i="5" s="1"/>
  <c r="E333" i="5"/>
  <c r="H333" i="5" s="1"/>
  <c r="E324" i="5"/>
  <c r="H324" i="5" s="1"/>
  <c r="E315" i="5"/>
  <c r="H315" i="5" s="1"/>
  <c r="E409" i="5"/>
  <c r="H409" i="5" s="1"/>
  <c r="E517" i="5"/>
  <c r="H517" i="5" s="1"/>
  <c r="E412" i="5"/>
  <c r="H412" i="5" s="1"/>
  <c r="E340" i="5"/>
  <c r="H340" i="5" s="1"/>
  <c r="E483" i="5"/>
  <c r="H483" i="5" s="1"/>
  <c r="E435" i="5"/>
  <c r="H435" i="5" s="1"/>
  <c r="E355" i="5"/>
  <c r="H355" i="5" s="1"/>
  <c r="E482" i="5"/>
  <c r="H482" i="5" s="1"/>
  <c r="E378" i="5"/>
  <c r="H378" i="5" s="1"/>
  <c r="E314" i="5"/>
  <c r="H314" i="5" s="1"/>
  <c r="E507" i="5"/>
  <c r="H507" i="5" s="1"/>
  <c r="E459" i="5"/>
  <c r="H459" i="5" s="1"/>
  <c r="E331" i="5"/>
  <c r="H331" i="5" s="1"/>
  <c r="E480" i="5"/>
  <c r="H480" i="5" s="1"/>
  <c r="E456" i="5"/>
  <c r="H456" i="5" s="1"/>
  <c r="E377" i="5"/>
  <c r="H377" i="5" s="1"/>
  <c r="E430" i="5"/>
  <c r="H430" i="5" s="1"/>
  <c r="E406" i="5"/>
  <c r="H406" i="5" s="1"/>
  <c r="E366" i="5"/>
  <c r="H366" i="5" s="1"/>
  <c r="E425" i="5"/>
  <c r="H425" i="5" s="1"/>
  <c r="E384" i="5"/>
  <c r="H384" i="5" s="1"/>
  <c r="E320" i="5"/>
  <c r="H320" i="5" s="1"/>
  <c r="E375" i="5"/>
  <c r="H375" i="5" s="1"/>
  <c r="E311" i="5"/>
  <c r="H311" i="5" s="1"/>
  <c r="E350" i="5"/>
  <c r="H350" i="5" s="1"/>
  <c r="E286" i="5"/>
  <c r="H286" i="5" s="1"/>
  <c r="G276" i="5"/>
  <c r="J276" i="5" s="1"/>
  <c r="E453" i="5"/>
  <c r="H453" i="5" s="1"/>
  <c r="E389" i="5"/>
  <c r="H389" i="5" s="1"/>
  <c r="E325" i="5"/>
  <c r="H325" i="5" s="1"/>
  <c r="E393" i="5"/>
  <c r="H393" i="5" s="1"/>
  <c r="E508" i="5"/>
  <c r="H508" i="5" s="1"/>
  <c r="E484" i="5"/>
  <c r="H484" i="5" s="1"/>
  <c r="E460" i="5"/>
  <c r="H460" i="5" s="1"/>
  <c r="E436" i="5"/>
  <c r="H436" i="5" s="1"/>
  <c r="E388" i="5"/>
  <c r="H388" i="5" s="1"/>
  <c r="E522" i="5"/>
  <c r="H522" i="5" s="1"/>
  <c r="E498" i="5"/>
  <c r="H498" i="5" s="1"/>
  <c r="E450" i="5"/>
  <c r="H450" i="5" s="1"/>
  <c r="E370" i="5"/>
  <c r="H370" i="5" s="1"/>
  <c r="E306" i="5"/>
  <c r="H306" i="5" s="1"/>
  <c r="G491" i="5"/>
  <c r="J491" i="5" s="1"/>
  <c r="E411" i="5"/>
  <c r="H411" i="5" s="1"/>
  <c r="E513" i="5"/>
  <c r="H513" i="5" s="1"/>
  <c r="E520" i="5"/>
  <c r="H520" i="5" s="1"/>
  <c r="E432" i="5"/>
  <c r="H432" i="5" s="1"/>
  <c r="E313" i="5"/>
  <c r="H313" i="5" s="1"/>
  <c r="E511" i="5"/>
  <c r="H511" i="5" s="1"/>
  <c r="E497" i="5"/>
  <c r="H497" i="5" s="1"/>
  <c r="E494" i="5"/>
  <c r="H494" i="5" s="1"/>
  <c r="E361" i="5"/>
  <c r="H361" i="5" s="1"/>
  <c r="E376" i="5"/>
  <c r="H376" i="5" s="1"/>
  <c r="E312" i="5"/>
  <c r="H312" i="5" s="1"/>
  <c r="G284" i="5"/>
  <c r="J284" i="5" s="1"/>
  <c r="E367" i="5"/>
  <c r="H367" i="5" s="1"/>
  <c r="E303" i="5"/>
  <c r="H303" i="5" s="1"/>
  <c r="E342" i="5"/>
  <c r="H342" i="5" s="1"/>
  <c r="E277" i="5"/>
  <c r="H277" i="5" s="1"/>
  <c r="E445" i="5"/>
  <c r="H445" i="5" s="1"/>
  <c r="E381" i="5"/>
  <c r="H381" i="5" s="1"/>
  <c r="E317" i="5"/>
  <c r="H317" i="5" s="1"/>
  <c r="E292" i="5"/>
  <c r="H292" i="5" s="1"/>
  <c r="E354" i="5"/>
  <c r="H354" i="5" s="1"/>
  <c r="E382" i="5"/>
  <c r="H382" i="5" s="1"/>
  <c r="E487" i="5"/>
  <c r="H487" i="5" s="1"/>
  <c r="E363" i="5"/>
  <c r="H363" i="5" s="1"/>
  <c r="E474" i="5"/>
  <c r="H474" i="5" s="1"/>
  <c r="E345" i="5"/>
  <c r="H345" i="5" s="1"/>
  <c r="E56" i="5"/>
  <c r="H56" i="5" s="1"/>
  <c r="E160" i="5"/>
  <c r="H160" i="5" s="1"/>
  <c r="E195" i="5"/>
  <c r="H195" i="5" s="1"/>
  <c r="E63" i="5"/>
  <c r="H63" i="5" s="1"/>
  <c r="E74" i="5"/>
  <c r="H74" i="5" s="1"/>
  <c r="E30" i="5"/>
  <c r="H30" i="5" s="1"/>
  <c r="E88" i="5"/>
  <c r="H88" i="5" s="1"/>
  <c r="E142" i="5"/>
  <c r="H142" i="5" s="1"/>
  <c r="E206" i="5"/>
  <c r="H206" i="5" s="1"/>
  <c r="E82" i="5"/>
  <c r="H82" i="5" s="1"/>
  <c r="E150" i="5"/>
  <c r="H150" i="5" s="1"/>
  <c r="E214" i="5"/>
  <c r="H214" i="5" s="1"/>
  <c r="E18" i="5"/>
  <c r="H18" i="5" s="1"/>
  <c r="E91" i="5"/>
  <c r="H91" i="5" s="1"/>
  <c r="E158" i="5"/>
  <c r="H158" i="5" s="1"/>
  <c r="E222" i="5"/>
  <c r="H222" i="5" s="1"/>
  <c r="E27" i="5"/>
  <c r="H27" i="5" s="1"/>
  <c r="E101" i="5"/>
  <c r="H101" i="5" s="1"/>
  <c r="E166" i="5"/>
  <c r="H166" i="5" s="1"/>
  <c r="E37" i="5"/>
  <c r="H37" i="5" s="1"/>
  <c r="E110" i="5"/>
  <c r="H110" i="5" s="1"/>
  <c r="E174" i="5"/>
  <c r="H174" i="5" s="1"/>
  <c r="E46" i="5"/>
  <c r="H46" i="5" s="1"/>
  <c r="E118" i="5"/>
  <c r="H118" i="5" s="1"/>
  <c r="E182" i="5"/>
  <c r="H182" i="5" s="1"/>
  <c r="E246" i="5"/>
  <c r="H246" i="5" s="1"/>
  <c r="E55" i="5"/>
  <c r="H55" i="5" s="1"/>
  <c r="E126" i="5"/>
  <c r="H126" i="5" s="1"/>
  <c r="E190" i="5"/>
  <c r="H190" i="5" s="1"/>
  <c r="E254" i="5"/>
  <c r="H254" i="5" s="1"/>
  <c r="E64" i="5"/>
  <c r="H64" i="5" s="1"/>
  <c r="E134" i="5"/>
  <c r="H134" i="5" s="1"/>
  <c r="E198" i="5"/>
  <c r="H198" i="5" s="1"/>
  <c r="E209" i="5"/>
  <c r="H209" i="5" s="1"/>
  <c r="G185" i="5"/>
  <c r="J185" i="5" s="1"/>
  <c r="E57" i="5"/>
  <c r="H57" i="5" s="1"/>
  <c r="E17" i="5"/>
  <c r="H17" i="5" s="1"/>
  <c r="E239" i="5"/>
  <c r="H239" i="5" s="1"/>
  <c r="E215" i="5"/>
  <c r="H215" i="5" s="1"/>
  <c r="E191" i="5"/>
  <c r="H191" i="5" s="1"/>
  <c r="E221" i="5"/>
  <c r="H221" i="5" s="1"/>
  <c r="E197" i="5"/>
  <c r="H197" i="5" s="1"/>
  <c r="E133" i="5"/>
  <c r="H133" i="5" s="1"/>
  <c r="E219" i="5"/>
  <c r="H219" i="5" s="1"/>
  <c r="E155" i="5"/>
  <c r="H155" i="5" s="1"/>
  <c r="E123" i="5"/>
  <c r="H123" i="5" s="1"/>
  <c r="E43" i="5"/>
  <c r="H43" i="5" s="1"/>
  <c r="E138" i="5"/>
  <c r="H138" i="5" s="1"/>
  <c r="E244" i="5"/>
  <c r="H244" i="5" s="1"/>
  <c r="E180" i="5"/>
  <c r="H180" i="5" s="1"/>
  <c r="E116" i="5"/>
  <c r="H116" i="5" s="1"/>
  <c r="E106" i="5"/>
  <c r="H106" i="5" s="1"/>
  <c r="E84" i="5"/>
  <c r="H84" i="5" s="1"/>
  <c r="E52" i="5"/>
  <c r="H52" i="5" s="1"/>
  <c r="E20" i="5"/>
  <c r="H20" i="5" s="1"/>
  <c r="E233" i="5"/>
  <c r="H233" i="5" s="1"/>
  <c r="E153" i="5"/>
  <c r="H153" i="5" s="1"/>
  <c r="E105" i="5"/>
  <c r="H105" i="5" s="1"/>
  <c r="E33" i="5"/>
  <c r="H33" i="5" s="1"/>
  <c r="E240" i="5"/>
  <c r="H240" i="5" s="1"/>
  <c r="E81" i="5"/>
  <c r="H81" i="5" s="1"/>
  <c r="E237" i="5"/>
  <c r="H237" i="5" s="1"/>
  <c r="E213" i="5"/>
  <c r="H213" i="5" s="1"/>
  <c r="E149" i="5"/>
  <c r="H149" i="5" s="1"/>
  <c r="E117" i="5"/>
  <c r="H117" i="5" s="1"/>
  <c r="E235" i="5"/>
  <c r="H235" i="5" s="1"/>
  <c r="E171" i="5"/>
  <c r="H171" i="5" s="1"/>
  <c r="E107" i="5"/>
  <c r="H107" i="5" s="1"/>
  <c r="E122" i="5"/>
  <c r="H122" i="5" s="1"/>
  <c r="E125" i="5"/>
  <c r="H125" i="5" s="1"/>
  <c r="E228" i="5"/>
  <c r="H228" i="5" s="1"/>
  <c r="E164" i="5"/>
  <c r="H164" i="5" s="1"/>
  <c r="E80" i="5"/>
  <c r="H80" i="5" s="1"/>
  <c r="E79" i="5"/>
  <c r="H79" i="5" s="1"/>
  <c r="E87" i="5"/>
  <c r="H87" i="5" s="1"/>
  <c r="E108" i="5"/>
  <c r="H108" i="5" s="1"/>
  <c r="E76" i="5"/>
  <c r="H76" i="5" s="1"/>
  <c r="E44" i="5"/>
  <c r="H44" i="5" s="1"/>
  <c r="E12" i="5"/>
  <c r="H12" i="5" s="1"/>
  <c r="E176" i="5"/>
  <c r="H176" i="5" s="1"/>
  <c r="E112" i="5"/>
  <c r="H112" i="5" s="1"/>
  <c r="E21" i="5"/>
  <c r="H21" i="5" s="1"/>
  <c r="E257" i="5"/>
  <c r="H257" i="5" s="1"/>
  <c r="E201" i="5"/>
  <c r="H201" i="5" s="1"/>
  <c r="E177" i="5"/>
  <c r="H177" i="5" s="1"/>
  <c r="E145" i="5"/>
  <c r="H145" i="5" s="1"/>
  <c r="E121" i="5"/>
  <c r="H121" i="5" s="1"/>
  <c r="E97" i="5"/>
  <c r="H97" i="5" s="1"/>
  <c r="E49" i="5"/>
  <c r="H49" i="5" s="1"/>
  <c r="G232" i="5"/>
  <c r="J232" i="5" s="1"/>
  <c r="E255" i="5"/>
  <c r="H255" i="5" s="1"/>
  <c r="E207" i="5"/>
  <c r="H207" i="5" s="1"/>
  <c r="E62" i="5"/>
  <c r="H62" i="5" s="1"/>
  <c r="E189" i="5"/>
  <c r="H189" i="5" s="1"/>
  <c r="E211" i="5"/>
  <c r="H211" i="5" s="1"/>
  <c r="E147" i="5"/>
  <c r="H147" i="5" s="1"/>
  <c r="E99" i="5"/>
  <c r="H99" i="5" s="1"/>
  <c r="E226" i="5"/>
  <c r="H226" i="5" s="1"/>
  <c r="E202" i="5"/>
  <c r="H202" i="5" s="1"/>
  <c r="E178" i="5"/>
  <c r="H178" i="5" s="1"/>
  <c r="E114" i="5"/>
  <c r="H114" i="5" s="1"/>
  <c r="E109" i="5"/>
  <c r="H109" i="5" s="1"/>
  <c r="E220" i="5"/>
  <c r="H220" i="5" s="1"/>
  <c r="E156" i="5"/>
  <c r="H156" i="5" s="1"/>
  <c r="E71" i="5"/>
  <c r="H71" i="5" s="1"/>
  <c r="E70" i="5"/>
  <c r="H70" i="5" s="1"/>
  <c r="E78" i="5"/>
  <c r="H78" i="5" s="1"/>
  <c r="E104" i="5"/>
  <c r="H104" i="5" s="1"/>
  <c r="E13" i="5"/>
  <c r="H13" i="5" s="1"/>
  <c r="G11" i="5"/>
  <c r="J11" i="5" s="1"/>
  <c r="E168" i="5"/>
  <c r="H168" i="5" s="1"/>
  <c r="E103" i="5"/>
  <c r="H103" i="5" s="1"/>
  <c r="E11" i="5"/>
  <c r="H11" i="5" s="1"/>
  <c r="E102" i="5"/>
  <c r="H102" i="5" s="1"/>
  <c r="E19" i="5"/>
  <c r="H19" i="5" s="1"/>
  <c r="G130" i="5"/>
  <c r="J130" i="5" s="1"/>
  <c r="E249" i="5"/>
  <c r="H249" i="5" s="1"/>
  <c r="E225" i="5"/>
  <c r="H225" i="5" s="1"/>
  <c r="E169" i="5"/>
  <c r="H169" i="5" s="1"/>
  <c r="E256" i="5"/>
  <c r="H256" i="5" s="1"/>
  <c r="E232" i="5"/>
  <c r="H232" i="5" s="1"/>
  <c r="E159" i="5"/>
  <c r="H159" i="5" s="1"/>
  <c r="E54" i="5"/>
  <c r="H54" i="5" s="1"/>
  <c r="E165" i="5"/>
  <c r="H165" i="5" s="1"/>
  <c r="E251" i="5"/>
  <c r="H251" i="5" s="1"/>
  <c r="E187" i="5"/>
  <c r="H187" i="5" s="1"/>
  <c r="E170" i="5"/>
  <c r="H170" i="5" s="1"/>
  <c r="E90" i="5"/>
  <c r="H90" i="5" s="1"/>
  <c r="E212" i="5"/>
  <c r="H212" i="5" s="1"/>
  <c r="E148" i="5"/>
  <c r="H148" i="5" s="1"/>
  <c r="E53" i="5"/>
  <c r="H53" i="5" s="1"/>
  <c r="G24" i="5"/>
  <c r="J24" i="5" s="1"/>
  <c r="E61" i="5"/>
  <c r="H61" i="5" s="1"/>
  <c r="E69" i="5"/>
  <c r="H69" i="5" s="1"/>
  <c r="E100" i="5"/>
  <c r="H100" i="5" s="1"/>
  <c r="E68" i="5"/>
  <c r="H68" i="5" s="1"/>
  <c r="E36" i="5"/>
  <c r="H36" i="5" s="1"/>
  <c r="E95" i="5"/>
  <c r="H95" i="5" s="1"/>
  <c r="E217" i="5"/>
  <c r="H217" i="5" s="1"/>
  <c r="E193" i="5"/>
  <c r="H193" i="5" s="1"/>
  <c r="E113" i="5"/>
  <c r="H113" i="5" s="1"/>
  <c r="E65" i="5"/>
  <c r="H65" i="5" s="1"/>
  <c r="E25" i="5"/>
  <c r="H25" i="5" s="1"/>
  <c r="E247" i="5"/>
  <c r="H247" i="5" s="1"/>
  <c r="E238" i="5"/>
  <c r="H238" i="5" s="1"/>
  <c r="E253" i="5"/>
  <c r="H253" i="5" s="1"/>
  <c r="E229" i="5"/>
  <c r="H229" i="5" s="1"/>
  <c r="E205" i="5"/>
  <c r="H205" i="5" s="1"/>
  <c r="E141" i="5"/>
  <c r="H141" i="5" s="1"/>
  <c r="E227" i="5"/>
  <c r="H227" i="5" s="1"/>
  <c r="E163" i="5"/>
  <c r="H163" i="5" s="1"/>
  <c r="E67" i="5"/>
  <c r="H67" i="5" s="1"/>
  <c r="E218" i="5"/>
  <c r="H218" i="5" s="1"/>
  <c r="E162" i="5"/>
  <c r="H162" i="5" s="1"/>
  <c r="E73" i="5"/>
  <c r="H73" i="5" s="1"/>
  <c r="E72" i="5"/>
  <c r="H72" i="5" s="1"/>
  <c r="E204" i="5"/>
  <c r="H204" i="5" s="1"/>
  <c r="E140" i="5"/>
  <c r="H140" i="5" s="1"/>
  <c r="E34" i="5"/>
  <c r="H34" i="5" s="1"/>
  <c r="E42" i="5"/>
  <c r="H42" i="5" s="1"/>
  <c r="E32" i="5"/>
  <c r="H32" i="5" s="1"/>
  <c r="E86" i="5"/>
  <c r="H86" i="5" s="1"/>
  <c r="E216" i="5"/>
  <c r="H216" i="5" s="1"/>
  <c r="E152" i="5"/>
  <c r="H152" i="5" s="1"/>
  <c r="E85" i="5"/>
  <c r="H85" i="5" s="1"/>
  <c r="E83" i="5"/>
  <c r="H83" i="5" s="1"/>
  <c r="E137" i="5"/>
  <c r="H137" i="5" s="1"/>
  <c r="E248" i="5"/>
  <c r="H248" i="5" s="1"/>
  <c r="E223" i="5"/>
  <c r="H223" i="5" s="1"/>
  <c r="E199" i="5"/>
  <c r="H199" i="5" s="1"/>
  <c r="E181" i="5"/>
  <c r="H181" i="5" s="1"/>
  <c r="G243" i="5"/>
  <c r="J243" i="5" s="1"/>
  <c r="E203" i="5"/>
  <c r="H203" i="5" s="1"/>
  <c r="E139" i="5"/>
  <c r="H139" i="5" s="1"/>
  <c r="E59" i="5"/>
  <c r="H59" i="5" s="1"/>
  <c r="E154" i="5"/>
  <c r="H154" i="5" s="1"/>
  <c r="E45" i="5"/>
  <c r="H45" i="5" s="1"/>
  <c r="E196" i="5"/>
  <c r="H196" i="5" s="1"/>
  <c r="E132" i="5"/>
  <c r="H132" i="5" s="1"/>
  <c r="E16" i="5"/>
  <c r="H16" i="5" s="1"/>
  <c r="E24" i="5"/>
  <c r="H24" i="5" s="1"/>
  <c r="E92" i="5"/>
  <c r="H92" i="5" s="1"/>
  <c r="E60" i="5"/>
  <c r="H60" i="5" s="1"/>
  <c r="E28" i="5"/>
  <c r="H28" i="5" s="1"/>
  <c r="E77" i="5"/>
  <c r="H77" i="5" s="1"/>
  <c r="E185" i="5"/>
  <c r="H185" i="5" s="1"/>
  <c r="E161" i="5"/>
  <c r="H161" i="5" s="1"/>
  <c r="E89" i="5"/>
  <c r="H89" i="5" s="1"/>
  <c r="E41" i="5"/>
  <c r="H41" i="5" s="1"/>
  <c r="E175" i="5"/>
  <c r="H175" i="5" s="1"/>
  <c r="E151" i="5"/>
  <c r="H151" i="5" s="1"/>
  <c r="E245" i="5"/>
  <c r="H245" i="5" s="1"/>
  <c r="E157" i="5"/>
  <c r="H157" i="5" s="1"/>
  <c r="E243" i="5"/>
  <c r="H243" i="5" s="1"/>
  <c r="E179" i="5"/>
  <c r="H179" i="5" s="1"/>
  <c r="E131" i="5"/>
  <c r="H131" i="5" s="1"/>
  <c r="E51" i="5"/>
  <c r="H51" i="5" s="1"/>
  <c r="E258" i="5"/>
  <c r="H258" i="5" s="1"/>
  <c r="E234" i="5"/>
  <c r="H234" i="5" s="1"/>
  <c r="E194" i="5"/>
  <c r="H194" i="5" s="1"/>
  <c r="E146" i="5"/>
  <c r="H146" i="5" s="1"/>
  <c r="E66" i="5"/>
  <c r="H66" i="5" s="1"/>
  <c r="E26" i="5"/>
  <c r="H26" i="5" s="1"/>
  <c r="E252" i="5"/>
  <c r="H252" i="5" s="1"/>
  <c r="E188" i="5"/>
  <c r="H188" i="5" s="1"/>
  <c r="E124" i="5"/>
  <c r="H124" i="5" s="1"/>
  <c r="E15" i="5"/>
  <c r="H15" i="5" s="1"/>
  <c r="E14" i="5"/>
  <c r="H14" i="5" s="1"/>
  <c r="E58" i="5"/>
  <c r="H58" i="5" s="1"/>
  <c r="E200" i="5"/>
  <c r="H200" i="5" s="1"/>
  <c r="E136" i="5"/>
  <c r="H136" i="5" s="1"/>
  <c r="E48" i="5"/>
  <c r="H48" i="5" s="1"/>
  <c r="E135" i="5"/>
  <c r="H135" i="5" s="1"/>
  <c r="E93" i="5"/>
  <c r="H93" i="5" s="1"/>
  <c r="E39" i="5"/>
  <c r="H39" i="5" s="1"/>
  <c r="E192" i="5"/>
  <c r="H192" i="5" s="1"/>
  <c r="E98" i="5"/>
  <c r="H98" i="5" s="1"/>
  <c r="E111" i="5"/>
  <c r="H111" i="5" s="1"/>
  <c r="E75" i="5"/>
  <c r="H75" i="5" s="1"/>
  <c r="E208" i="5"/>
  <c r="H208" i="5" s="1"/>
  <c r="E172" i="5"/>
  <c r="H172" i="5" s="1"/>
  <c r="E50" i="5"/>
  <c r="H50" i="5" s="1"/>
  <c r="E250" i="5"/>
  <c r="H250" i="5" s="1"/>
  <c r="E259" i="5"/>
  <c r="H259" i="5" s="1"/>
  <c r="E119" i="5"/>
  <c r="H119" i="5" s="1"/>
  <c r="E94" i="5"/>
  <c r="H94" i="5" s="1"/>
  <c r="E224" i="5"/>
  <c r="H224" i="5" s="1"/>
  <c r="E236" i="5"/>
  <c r="H236" i="5" s="1"/>
  <c r="E130" i="5"/>
  <c r="H130" i="5" s="1"/>
  <c r="E35" i="5"/>
  <c r="H35" i="5" s="1"/>
  <c r="E29" i="5"/>
  <c r="H29" i="5" s="1"/>
  <c r="E127" i="5"/>
  <c r="H127" i="5" s="1"/>
  <c r="E120" i="5"/>
  <c r="H120" i="5" s="1"/>
  <c r="E186" i="5"/>
  <c r="H186" i="5" s="1"/>
  <c r="E115" i="5"/>
  <c r="H115" i="5" s="1"/>
  <c r="E173" i="5"/>
  <c r="H173" i="5" s="1"/>
  <c r="E38" i="5"/>
  <c r="H38" i="5" s="1"/>
  <c r="E143" i="5"/>
  <c r="H143" i="5" s="1"/>
  <c r="E31" i="5"/>
  <c r="H31" i="5" s="1"/>
  <c r="E96" i="5"/>
  <c r="H96" i="5" s="1"/>
  <c r="E210" i="5"/>
  <c r="H210" i="5" s="1"/>
  <c r="E47" i="5"/>
  <c r="H47" i="5" s="1"/>
  <c r="E144" i="5"/>
  <c r="H144" i="5" s="1"/>
  <c r="E40" i="5"/>
  <c r="H40" i="5" s="1"/>
  <c r="J767" i="4"/>
  <c r="G768" i="4"/>
  <c r="J607" i="4"/>
  <c r="G608" i="4"/>
  <c r="G786" i="4"/>
  <c r="J786" i="4" s="1"/>
  <c r="J303" i="4"/>
  <c r="G304" i="4"/>
  <c r="G706" i="4"/>
  <c r="G558" i="4"/>
  <c r="G532" i="4"/>
  <c r="G634" i="4"/>
  <c r="G663" i="4"/>
  <c r="G756" i="4"/>
  <c r="G552" i="4"/>
  <c r="E561" i="4"/>
  <c r="H561" i="4" s="1"/>
  <c r="E598" i="4"/>
  <c r="H598" i="4" s="1"/>
  <c r="E625" i="4"/>
  <c r="H625" i="4" s="1"/>
  <c r="E532" i="4"/>
  <c r="H532" i="4" s="1"/>
  <c r="E552" i="4"/>
  <c r="H552" i="4" s="1"/>
  <c r="E590" i="4"/>
  <c r="H590" i="4" s="1"/>
  <c r="E617" i="4"/>
  <c r="H617" i="4" s="1"/>
  <c r="E582" i="4"/>
  <c r="H582" i="4" s="1"/>
  <c r="E609" i="4"/>
  <c r="H609" i="4" s="1"/>
  <c r="E673" i="4"/>
  <c r="H673" i="4" s="1"/>
  <c r="E558" i="4"/>
  <c r="H558" i="4" s="1"/>
  <c r="E585" i="4"/>
  <c r="H585" i="4" s="1"/>
  <c r="G787" i="4"/>
  <c r="J787" i="4" s="1"/>
  <c r="E679" i="4"/>
  <c r="H679" i="4" s="1"/>
  <c r="E743" i="4"/>
  <c r="H743" i="4" s="1"/>
  <c r="E615" i="4"/>
  <c r="H615" i="4" s="1"/>
  <c r="E687" i="4"/>
  <c r="H687" i="4" s="1"/>
  <c r="E751" i="4"/>
  <c r="H751" i="4" s="1"/>
  <c r="E550" i="4"/>
  <c r="H550" i="4" s="1"/>
  <c r="E624" i="4"/>
  <c r="H624" i="4" s="1"/>
  <c r="E695" i="4"/>
  <c r="H695" i="4" s="1"/>
  <c r="E759" i="4"/>
  <c r="H759" i="4" s="1"/>
  <c r="E560" i="4"/>
  <c r="H560" i="4" s="1"/>
  <c r="E767" i="4"/>
  <c r="H767" i="4" s="1"/>
  <c r="E569" i="4"/>
  <c r="H569" i="4" s="1"/>
  <c r="E643" i="4"/>
  <c r="H643" i="4" s="1"/>
  <c r="E711" i="4"/>
  <c r="H711" i="4" s="1"/>
  <c r="E775" i="4"/>
  <c r="H775" i="4" s="1"/>
  <c r="E579" i="4"/>
  <c r="H579" i="4" s="1"/>
  <c r="E652" i="4"/>
  <c r="H652" i="4" s="1"/>
  <c r="E719" i="4"/>
  <c r="H719" i="4" s="1"/>
  <c r="E588" i="4"/>
  <c r="H588" i="4" s="1"/>
  <c r="E727" i="4"/>
  <c r="H727" i="4" s="1"/>
  <c r="E597" i="4"/>
  <c r="H597" i="4" s="1"/>
  <c r="E670" i="4"/>
  <c r="H670" i="4" s="1"/>
  <c r="E735" i="4"/>
  <c r="H735" i="4" s="1"/>
  <c r="E323" i="4"/>
  <c r="H323" i="4" s="1"/>
  <c r="E351" i="4"/>
  <c r="H351" i="4" s="1"/>
  <c r="E372" i="4"/>
  <c r="H372" i="4" s="1"/>
  <c r="E395" i="4"/>
  <c r="H395" i="4" s="1"/>
  <c r="E415" i="4"/>
  <c r="H415" i="4" s="1"/>
  <c r="E375" i="4"/>
  <c r="H375" i="4" s="1"/>
  <c r="E431" i="4"/>
  <c r="H431" i="4" s="1"/>
  <c r="E476" i="4"/>
  <c r="H476" i="4" s="1"/>
  <c r="E523" i="4"/>
  <c r="H523" i="4" s="1"/>
  <c r="E307" i="4"/>
  <c r="H307" i="4" s="1"/>
  <c r="E379" i="4"/>
  <c r="H379" i="4" s="1"/>
  <c r="E439" i="4"/>
  <c r="H439" i="4" s="1"/>
  <c r="E484" i="4"/>
  <c r="H484" i="4" s="1"/>
  <c r="E524" i="4"/>
  <c r="H524" i="4" s="1"/>
  <c r="E327" i="4"/>
  <c r="H327" i="4" s="1"/>
  <c r="E388" i="4"/>
  <c r="H388" i="4" s="1"/>
  <c r="E443" i="4"/>
  <c r="H443" i="4" s="1"/>
  <c r="E491" i="4"/>
  <c r="H491" i="4" s="1"/>
  <c r="E331" i="4"/>
  <c r="H331" i="4" s="1"/>
  <c r="E396" i="4"/>
  <c r="H396" i="4" s="1"/>
  <c r="E452" i="4"/>
  <c r="H452" i="4" s="1"/>
  <c r="E492" i="4"/>
  <c r="H492" i="4" s="1"/>
  <c r="E347" i="4"/>
  <c r="H347" i="4" s="1"/>
  <c r="E399" i="4"/>
  <c r="H399" i="4" s="1"/>
  <c r="E459" i="4"/>
  <c r="H459" i="4" s="1"/>
  <c r="E500" i="4"/>
  <c r="H500" i="4" s="1"/>
  <c r="E356" i="4"/>
  <c r="H356" i="4" s="1"/>
  <c r="E419" i="4"/>
  <c r="H419" i="4" s="1"/>
  <c r="E468" i="4"/>
  <c r="H468" i="4" s="1"/>
  <c r="E508" i="4"/>
  <c r="H508" i="4" s="1"/>
  <c r="E516" i="4"/>
  <c r="H516" i="4" s="1"/>
  <c r="E15" i="4"/>
  <c r="H15" i="4" s="1"/>
  <c r="E31" i="4"/>
  <c r="H31" i="4" s="1"/>
  <c r="E47" i="4"/>
  <c r="H47" i="4" s="1"/>
  <c r="E63" i="4"/>
  <c r="H63" i="4" s="1"/>
  <c r="E79" i="4"/>
  <c r="H79" i="4" s="1"/>
  <c r="E95" i="4"/>
  <c r="H95" i="4" s="1"/>
  <c r="E111" i="4"/>
  <c r="H111" i="4" s="1"/>
  <c r="E127" i="4"/>
  <c r="H127" i="4" s="1"/>
  <c r="E143" i="4"/>
  <c r="H143" i="4" s="1"/>
  <c r="E159" i="4"/>
  <c r="H159" i="4" s="1"/>
  <c r="E175" i="4"/>
  <c r="H175" i="4" s="1"/>
  <c r="E187" i="4"/>
  <c r="H187" i="4" s="1"/>
  <c r="E239" i="4"/>
  <c r="H239" i="4" s="1"/>
  <c r="E251" i="4"/>
  <c r="H251" i="4" s="1"/>
  <c r="E355" i="4"/>
  <c r="H355" i="4" s="1"/>
  <c r="E215" i="4"/>
  <c r="H215" i="4" s="1"/>
  <c r="E227" i="4"/>
  <c r="H227" i="4" s="1"/>
  <c r="E367" i="4"/>
  <c r="H367" i="4" s="1"/>
  <c r="E19" i="4"/>
  <c r="H19" i="4" s="1"/>
  <c r="E35" i="4"/>
  <c r="H35" i="4" s="1"/>
  <c r="E51" i="4"/>
  <c r="H51" i="4" s="1"/>
  <c r="E67" i="4"/>
  <c r="H67" i="4" s="1"/>
  <c r="E83" i="4"/>
  <c r="H83" i="4" s="1"/>
  <c r="E99" i="4"/>
  <c r="H99" i="4" s="1"/>
  <c r="E115" i="4"/>
  <c r="H115" i="4" s="1"/>
  <c r="E131" i="4"/>
  <c r="H131" i="4" s="1"/>
  <c r="E147" i="4"/>
  <c r="H147" i="4" s="1"/>
  <c r="E163" i="4"/>
  <c r="H163" i="4" s="1"/>
  <c r="E191" i="4"/>
  <c r="H191" i="4" s="1"/>
  <c r="E203" i="4"/>
  <c r="H203" i="4" s="1"/>
  <c r="E255" i="4"/>
  <c r="H255" i="4" s="1"/>
  <c r="E420" i="4"/>
  <c r="H420" i="4" s="1"/>
  <c r="E11" i="4"/>
  <c r="H11" i="4" s="1"/>
  <c r="E39" i="4"/>
  <c r="H39" i="4" s="1"/>
  <c r="E62" i="4"/>
  <c r="H62" i="4" s="1"/>
  <c r="E118" i="4"/>
  <c r="H118" i="4" s="1"/>
  <c r="E139" i="4"/>
  <c r="H139" i="4" s="1"/>
  <c r="E167" i="4"/>
  <c r="H167" i="4" s="1"/>
  <c r="E231" i="4"/>
  <c r="H231" i="4" s="1"/>
  <c r="E55" i="4"/>
  <c r="H55" i="4" s="1"/>
  <c r="E155" i="4"/>
  <c r="H155" i="4" s="1"/>
  <c r="E222" i="4"/>
  <c r="H222" i="4" s="1"/>
  <c r="E30" i="4"/>
  <c r="H30" i="4" s="1"/>
  <c r="E57" i="4"/>
  <c r="H57" i="4" s="1"/>
  <c r="E107" i="4"/>
  <c r="H107" i="4" s="1"/>
  <c r="E158" i="4"/>
  <c r="H158" i="4" s="1"/>
  <c r="E206" i="4"/>
  <c r="H206" i="4" s="1"/>
  <c r="E223" i="4"/>
  <c r="H223" i="4" s="1"/>
  <c r="E59" i="4"/>
  <c r="H59" i="4" s="1"/>
  <c r="E110" i="4"/>
  <c r="H110" i="4" s="1"/>
  <c r="E166" i="4"/>
  <c r="H166" i="4" s="1"/>
  <c r="E225" i="4"/>
  <c r="H225" i="4" s="1"/>
  <c r="E411" i="4"/>
  <c r="H411" i="4" s="1"/>
  <c r="E14" i="4"/>
  <c r="H14" i="4" s="1"/>
  <c r="E91" i="4"/>
  <c r="H91" i="4" s="1"/>
  <c r="E119" i="4"/>
  <c r="H119" i="4" s="1"/>
  <c r="E182" i="4"/>
  <c r="H182" i="4" s="1"/>
  <c r="E38" i="4"/>
  <c r="H38" i="4" s="1"/>
  <c r="E87" i="4"/>
  <c r="H87" i="4" s="1"/>
  <c r="E137" i="4"/>
  <c r="H137" i="4" s="1"/>
  <c r="E207" i="4"/>
  <c r="H207" i="4" s="1"/>
  <c r="E247" i="4"/>
  <c r="H247" i="4" s="1"/>
  <c r="E460" i="4"/>
  <c r="H460" i="4" s="1"/>
  <c r="E43" i="4"/>
  <c r="H43" i="4" s="1"/>
  <c r="E71" i="4"/>
  <c r="H71" i="4" s="1"/>
  <c r="E171" i="4"/>
  <c r="H171" i="4" s="1"/>
  <c r="E211" i="4"/>
  <c r="H211" i="4" s="1"/>
  <c r="E475" i="4"/>
  <c r="H475" i="4" s="1"/>
  <c r="E46" i="4"/>
  <c r="H46" i="4" s="1"/>
  <c r="E123" i="4"/>
  <c r="H123" i="4" s="1"/>
  <c r="E151" i="4"/>
  <c r="H151" i="4" s="1"/>
  <c r="E195" i="4"/>
  <c r="H195" i="4" s="1"/>
  <c r="E235" i="4"/>
  <c r="H235" i="4" s="1"/>
  <c r="E198" i="4"/>
  <c r="H198" i="4" s="1"/>
  <c r="E243" i="4"/>
  <c r="H243" i="4" s="1"/>
  <c r="E86" i="4"/>
  <c r="H86" i="4" s="1"/>
  <c r="E135" i="4"/>
  <c r="H135" i="4" s="1"/>
  <c r="E246" i="4"/>
  <c r="H246" i="4" s="1"/>
  <c r="E507" i="4"/>
  <c r="H507" i="4" s="1"/>
  <c r="E54" i="4"/>
  <c r="H54" i="4" s="1"/>
  <c r="E75" i="4"/>
  <c r="H75" i="4" s="1"/>
  <c r="E103" i="4"/>
  <c r="H103" i="4" s="1"/>
  <c r="E126" i="4"/>
  <c r="H126" i="4" s="1"/>
  <c r="E179" i="4"/>
  <c r="H179" i="4" s="1"/>
  <c r="E219" i="4"/>
  <c r="H219" i="4" s="1"/>
  <c r="E238" i="4"/>
  <c r="H238" i="4" s="1"/>
  <c r="E259" i="4"/>
  <c r="H259" i="4" s="1"/>
  <c r="E27" i="4"/>
  <c r="H27" i="4" s="1"/>
  <c r="E78" i="4"/>
  <c r="H78" i="4" s="1"/>
  <c r="E134" i="4"/>
  <c r="H134" i="4" s="1"/>
  <c r="E199" i="4"/>
  <c r="H199" i="4" s="1"/>
  <c r="E185" i="4"/>
  <c r="H185" i="4" s="1"/>
  <c r="E138" i="4"/>
  <c r="H138" i="4" s="1"/>
  <c r="E169" i="4"/>
  <c r="H169" i="4" s="1"/>
  <c r="E90" i="4"/>
  <c r="H90" i="4" s="1"/>
  <c r="E50" i="4"/>
  <c r="H50" i="4" s="1"/>
  <c r="G24" i="4"/>
  <c r="E224" i="4"/>
  <c r="H224" i="4" s="1"/>
  <c r="E102" i="4"/>
  <c r="H102" i="4" s="1"/>
  <c r="E386" i="4"/>
  <c r="H386" i="4" s="1"/>
  <c r="E450" i="4"/>
  <c r="H450" i="4" s="1"/>
  <c r="E514" i="4"/>
  <c r="H514" i="4" s="1"/>
  <c r="E363" i="4"/>
  <c r="H363" i="4" s="1"/>
  <c r="E499" i="4"/>
  <c r="H499" i="4" s="1"/>
  <c r="E428" i="4"/>
  <c r="H428" i="4" s="1"/>
  <c r="E32" i="4"/>
  <c r="H32" i="4" s="1"/>
  <c r="E96" i="4"/>
  <c r="H96" i="4" s="1"/>
  <c r="E160" i="4"/>
  <c r="H160" i="4" s="1"/>
  <c r="E92" i="4"/>
  <c r="H92" i="4" s="1"/>
  <c r="E140" i="4"/>
  <c r="H140" i="4" s="1"/>
  <c r="E196" i="4"/>
  <c r="H196" i="4" s="1"/>
  <c r="E21" i="4"/>
  <c r="H21" i="4" s="1"/>
  <c r="E85" i="4"/>
  <c r="H85" i="4" s="1"/>
  <c r="E149" i="4"/>
  <c r="H149" i="4" s="1"/>
  <c r="E213" i="4"/>
  <c r="H213" i="4" s="1"/>
  <c r="E326" i="4"/>
  <c r="H326" i="4" s="1"/>
  <c r="E390" i="4"/>
  <c r="H390" i="4" s="1"/>
  <c r="E454" i="4"/>
  <c r="H454" i="4" s="1"/>
  <c r="E518" i="4"/>
  <c r="H518" i="4" s="1"/>
  <c r="E186" i="4"/>
  <c r="H186" i="4" s="1"/>
  <c r="E204" i="4"/>
  <c r="H204" i="4" s="1"/>
  <c r="E244" i="4"/>
  <c r="H244" i="4" s="1"/>
  <c r="E65" i="4"/>
  <c r="H65" i="4" s="1"/>
  <c r="E58" i="4"/>
  <c r="H58" i="4" s="1"/>
  <c r="E193" i="4"/>
  <c r="H193" i="4" s="1"/>
  <c r="E230" i="4"/>
  <c r="H230" i="4" s="1"/>
  <c r="E242" i="4"/>
  <c r="H242" i="4" s="1"/>
  <c r="E174" i="4"/>
  <c r="H174" i="4" s="1"/>
  <c r="E81" i="4"/>
  <c r="H81" i="4" s="1"/>
  <c r="E122" i="4"/>
  <c r="H122" i="4" s="1"/>
  <c r="E33" i="4"/>
  <c r="H33" i="4" s="1"/>
  <c r="E73" i="4"/>
  <c r="H73" i="4" s="1"/>
  <c r="E257" i="4"/>
  <c r="H257" i="4" s="1"/>
  <c r="E162" i="4"/>
  <c r="H162" i="4" s="1"/>
  <c r="E233" i="4"/>
  <c r="H233" i="4" s="1"/>
  <c r="E146" i="4"/>
  <c r="H146" i="4" s="1"/>
  <c r="E218" i="4"/>
  <c r="H218" i="4" s="1"/>
  <c r="E241" i="4"/>
  <c r="H241" i="4" s="1"/>
  <c r="E66" i="4"/>
  <c r="H66" i="4" s="1"/>
  <c r="E201" i="4"/>
  <c r="H201" i="4" s="1"/>
  <c r="E250" i="4"/>
  <c r="H250" i="4" s="1"/>
  <c r="G285" i="4"/>
  <c r="E112" i="4"/>
  <c r="H112" i="4" s="1"/>
  <c r="E176" i="4"/>
  <c r="H176" i="4" s="1"/>
  <c r="G12" i="4"/>
  <c r="E52" i="4"/>
  <c r="H52" i="4" s="1"/>
  <c r="E156" i="4"/>
  <c r="H156" i="4" s="1"/>
  <c r="E69" i="4"/>
  <c r="H69" i="4" s="1"/>
  <c r="E133" i="4"/>
  <c r="H133" i="4" s="1"/>
  <c r="E197" i="4"/>
  <c r="H197" i="4" s="1"/>
  <c r="E277" i="4"/>
  <c r="H277" i="4" s="1"/>
  <c r="E310" i="4"/>
  <c r="H310" i="4" s="1"/>
  <c r="E374" i="4"/>
  <c r="H374" i="4" s="1"/>
  <c r="E438" i="4"/>
  <c r="H438" i="4" s="1"/>
  <c r="E502" i="4"/>
  <c r="H502" i="4" s="1"/>
  <c r="E249" i="4"/>
  <c r="H249" i="4" s="1"/>
  <c r="E220" i="4"/>
  <c r="H220" i="4" s="1"/>
  <c r="E217" i="4"/>
  <c r="H217" i="4" s="1"/>
  <c r="E74" i="4"/>
  <c r="H74" i="4" s="1"/>
  <c r="E178" i="4"/>
  <c r="H178" i="4" s="1"/>
  <c r="E97" i="4"/>
  <c r="H97" i="4" s="1"/>
  <c r="E190" i="4"/>
  <c r="H190" i="4" s="1"/>
  <c r="E258" i="4"/>
  <c r="H258" i="4" s="1"/>
  <c r="E113" i="4"/>
  <c r="H113" i="4" s="1"/>
  <c r="E130" i="4"/>
  <c r="H130" i="4" s="1"/>
  <c r="E240" i="4"/>
  <c r="H240" i="4" s="1"/>
  <c r="E105" i="4"/>
  <c r="H105" i="4" s="1"/>
  <c r="E26" i="4"/>
  <c r="H26" i="4" s="1"/>
  <c r="E94" i="4"/>
  <c r="H94" i="4" s="1"/>
  <c r="E254" i="4"/>
  <c r="H254" i="4" s="1"/>
  <c r="G186" i="4"/>
  <c r="E82" i="4"/>
  <c r="H82" i="4" s="1"/>
  <c r="E121" i="4"/>
  <c r="H121" i="4" s="1"/>
  <c r="E145" i="4"/>
  <c r="H145" i="4" s="1"/>
  <c r="E18" i="4"/>
  <c r="H18" i="4" s="1"/>
  <c r="E154" i="4"/>
  <c r="H154" i="4" s="1"/>
  <c r="E216" i="4"/>
  <c r="H216" i="4" s="1"/>
  <c r="E153" i="4"/>
  <c r="H153" i="4" s="1"/>
  <c r="J525" i="3"/>
  <c r="G526" i="3"/>
  <c r="G276" i="3"/>
  <c r="J276" i="3" s="1"/>
  <c r="G627" i="3"/>
  <c r="G284" i="3"/>
  <c r="E293" i="3"/>
  <c r="H293" i="3" s="1"/>
  <c r="E357" i="3"/>
  <c r="H357" i="3" s="1"/>
  <c r="E381" i="3"/>
  <c r="H381" i="3" s="1"/>
  <c r="E421" i="3"/>
  <c r="H421" i="3" s="1"/>
  <c r="E461" i="3"/>
  <c r="H461" i="3" s="1"/>
  <c r="E163" i="3"/>
  <c r="H163" i="3" s="1"/>
  <c r="E235" i="3"/>
  <c r="H235" i="3" s="1"/>
  <c r="E590" i="3"/>
  <c r="H590" i="3" s="1"/>
  <c r="E614" i="3"/>
  <c r="H614" i="3" s="1"/>
  <c r="E678" i="3"/>
  <c r="H678" i="3" s="1"/>
  <c r="E742" i="3"/>
  <c r="H742" i="3" s="1"/>
  <c r="E342" i="3"/>
  <c r="H342" i="3" s="1"/>
  <c r="E390" i="3"/>
  <c r="H390" i="3" s="1"/>
  <c r="E438" i="3"/>
  <c r="H438" i="3" s="1"/>
  <c r="E462" i="3"/>
  <c r="H462" i="3" s="1"/>
  <c r="E12" i="3"/>
  <c r="H12" i="3" s="1"/>
  <c r="E148" i="3"/>
  <c r="H148" i="3" s="1"/>
  <c r="E220" i="3"/>
  <c r="H220" i="3" s="1"/>
  <c r="E575" i="3"/>
  <c r="H575" i="3" s="1"/>
  <c r="E623" i="3"/>
  <c r="H623" i="3" s="1"/>
  <c r="E767" i="3"/>
  <c r="H767" i="3" s="1"/>
  <c r="E447" i="3"/>
  <c r="H447" i="3" s="1"/>
  <c r="E471" i="3"/>
  <c r="H471" i="3" s="1"/>
  <c r="E495" i="3"/>
  <c r="H495" i="3" s="1"/>
  <c r="E519" i="3"/>
  <c r="H519" i="3" s="1"/>
  <c r="E132" i="3"/>
  <c r="H132" i="3" s="1"/>
  <c r="E237" i="3"/>
  <c r="H237" i="3" s="1"/>
  <c r="E592" i="3"/>
  <c r="H592" i="3" s="1"/>
  <c r="E448" i="3"/>
  <c r="H448" i="3" s="1"/>
  <c r="E417" i="3"/>
  <c r="H417" i="3" s="1"/>
  <c r="E89" i="3"/>
  <c r="H89" i="3" s="1"/>
  <c r="E171" i="3"/>
  <c r="H171" i="3" s="1"/>
  <c r="E243" i="3"/>
  <c r="H243" i="3" s="1"/>
  <c r="E574" i="3"/>
  <c r="H574" i="3" s="1"/>
  <c r="E39" i="3"/>
  <c r="H39" i="3" s="1"/>
  <c r="E156" i="3"/>
  <c r="H156" i="3" s="1"/>
  <c r="E550" i="3"/>
  <c r="H550" i="3" s="1"/>
  <c r="E599" i="3"/>
  <c r="H599" i="3" s="1"/>
  <c r="E647" i="3"/>
  <c r="H647" i="3" s="1"/>
  <c r="E671" i="3"/>
  <c r="H671" i="3" s="1"/>
  <c r="E303" i="3"/>
  <c r="H303" i="3" s="1"/>
  <c r="E327" i="3"/>
  <c r="H327" i="3" s="1"/>
  <c r="E351" i="3"/>
  <c r="H351" i="3" s="1"/>
  <c r="E399" i="3"/>
  <c r="H399" i="3" s="1"/>
  <c r="E423" i="3"/>
  <c r="H423" i="3" s="1"/>
  <c r="E157" i="3"/>
  <c r="H157" i="3" s="1"/>
  <c r="E253" i="3"/>
  <c r="H253" i="3" s="1"/>
  <c r="E656" i="3"/>
  <c r="H656" i="3" s="1"/>
  <c r="E512" i="3"/>
  <c r="H512" i="3" s="1"/>
  <c r="E47" i="3"/>
  <c r="H47" i="3" s="1"/>
  <c r="E449" i="3"/>
  <c r="H449" i="3" s="1"/>
  <c r="E297" i="3"/>
  <c r="H297" i="3" s="1"/>
  <c r="E600" i="3"/>
  <c r="H600" i="3" s="1"/>
  <c r="G656" i="3"/>
  <c r="J656" i="3" s="1"/>
  <c r="E720" i="3"/>
  <c r="H720" i="3" s="1"/>
  <c r="E296" i="3"/>
  <c r="H296" i="3" s="1"/>
  <c r="E464" i="3"/>
  <c r="H464" i="3" s="1"/>
  <c r="E641" i="3"/>
  <c r="H641" i="3" s="1"/>
  <c r="G645" i="3"/>
  <c r="E341" i="3"/>
  <c r="H341" i="3" s="1"/>
  <c r="E389" i="3"/>
  <c r="H389" i="3" s="1"/>
  <c r="E405" i="3"/>
  <c r="H405" i="3" s="1"/>
  <c r="E493" i="3"/>
  <c r="H493" i="3" s="1"/>
  <c r="E38" i="3"/>
  <c r="H38" i="3" s="1"/>
  <c r="E187" i="3"/>
  <c r="H187" i="3" s="1"/>
  <c r="E598" i="3"/>
  <c r="H598" i="3" s="1"/>
  <c r="E662" i="3"/>
  <c r="H662" i="3" s="1"/>
  <c r="E726" i="3"/>
  <c r="H726" i="3" s="1"/>
  <c r="E302" i="3"/>
  <c r="H302" i="3" s="1"/>
  <c r="E374" i="3"/>
  <c r="H374" i="3" s="1"/>
  <c r="E494" i="3"/>
  <c r="H494" i="3" s="1"/>
  <c r="E518" i="3"/>
  <c r="H518" i="3" s="1"/>
  <c r="E85" i="3"/>
  <c r="H85" i="3" s="1"/>
  <c r="E180" i="3"/>
  <c r="H180" i="3" s="1"/>
  <c r="E244" i="3"/>
  <c r="H244" i="3" s="1"/>
  <c r="E559" i="3"/>
  <c r="H559" i="3" s="1"/>
  <c r="E631" i="3"/>
  <c r="H631" i="3" s="1"/>
  <c r="E703" i="3"/>
  <c r="H703" i="3" s="1"/>
  <c r="E751" i="3"/>
  <c r="H751" i="3" s="1"/>
  <c r="E383" i="3"/>
  <c r="H383" i="3" s="1"/>
  <c r="E431" i="3"/>
  <c r="H431" i="3" s="1"/>
  <c r="E455" i="3"/>
  <c r="H455" i="3" s="1"/>
  <c r="E479" i="3"/>
  <c r="H479" i="3" s="1"/>
  <c r="E503" i="3"/>
  <c r="H503" i="3" s="1"/>
  <c r="E13" i="3"/>
  <c r="H13" i="3" s="1"/>
  <c r="E173" i="3"/>
  <c r="H173" i="3" s="1"/>
  <c r="E360" i="3"/>
  <c r="H360" i="3" s="1"/>
  <c r="E408" i="3"/>
  <c r="H408" i="3" s="1"/>
  <c r="E111" i="3"/>
  <c r="H111" i="3" s="1"/>
  <c r="E335" i="3"/>
  <c r="H335" i="3" s="1"/>
  <c r="E407" i="3"/>
  <c r="H407" i="3" s="1"/>
  <c r="E68" i="3"/>
  <c r="H68" i="3" s="1"/>
  <c r="E189" i="3"/>
  <c r="H189" i="3" s="1"/>
  <c r="E560" i="3"/>
  <c r="H560" i="3" s="1"/>
  <c r="E616" i="3"/>
  <c r="H616" i="3" s="1"/>
  <c r="E424" i="3"/>
  <c r="H424" i="3" s="1"/>
  <c r="E577" i="3"/>
  <c r="H577" i="3" s="1"/>
  <c r="E681" i="3"/>
  <c r="H681" i="3" s="1"/>
  <c r="E693" i="3"/>
  <c r="H693" i="3" s="1"/>
  <c r="E285" i="3"/>
  <c r="H285" i="3" s="1"/>
  <c r="G517" i="3"/>
  <c r="E120" i="3"/>
  <c r="H120" i="3" s="1"/>
  <c r="E211" i="3"/>
  <c r="H211" i="3" s="1"/>
  <c r="E566" i="3"/>
  <c r="H566" i="3" s="1"/>
  <c r="E630" i="3"/>
  <c r="H630" i="3" s="1"/>
  <c r="E646" i="3"/>
  <c r="H646" i="3" s="1"/>
  <c r="E710" i="3"/>
  <c r="H710" i="3" s="1"/>
  <c r="E774" i="3"/>
  <c r="H774" i="3" s="1"/>
  <c r="E286" i="3"/>
  <c r="H286" i="3" s="1"/>
  <c r="E334" i="3"/>
  <c r="H334" i="3" s="1"/>
  <c r="E358" i="3"/>
  <c r="H358" i="3" s="1"/>
  <c r="E382" i="3"/>
  <c r="H382" i="3" s="1"/>
  <c r="E454" i="3"/>
  <c r="H454" i="3" s="1"/>
  <c r="E478" i="3"/>
  <c r="H478" i="3" s="1"/>
  <c r="E502" i="3"/>
  <c r="H502" i="3" s="1"/>
  <c r="E103" i="3"/>
  <c r="H103" i="3" s="1"/>
  <c r="E196" i="3"/>
  <c r="H196" i="3" s="1"/>
  <c r="E260" i="3"/>
  <c r="H260" i="3" s="1"/>
  <c r="G559" i="3"/>
  <c r="J559" i="3" s="1"/>
  <c r="E639" i="3"/>
  <c r="H639" i="3" s="1"/>
  <c r="E687" i="3"/>
  <c r="H687" i="3" s="1"/>
  <c r="E287" i="3"/>
  <c r="H287" i="3" s="1"/>
  <c r="E311" i="3"/>
  <c r="H311" i="3" s="1"/>
  <c r="E77" i="3"/>
  <c r="H77" i="3" s="1"/>
  <c r="E197" i="3"/>
  <c r="H197" i="3" s="1"/>
  <c r="E624" i="3"/>
  <c r="H624" i="3" s="1"/>
  <c r="E680" i="3"/>
  <c r="H680" i="3" s="1"/>
  <c r="E368" i="3"/>
  <c r="H368" i="3" s="1"/>
  <c r="E488" i="3"/>
  <c r="H488" i="3" s="1"/>
  <c r="E175" i="3"/>
  <c r="H175" i="3" s="1"/>
  <c r="G747" i="3"/>
  <c r="G230" i="3"/>
  <c r="J230" i="3" s="1"/>
  <c r="E114" i="3"/>
  <c r="H114" i="3" s="1"/>
  <c r="E182" i="3"/>
  <c r="H182" i="3" s="1"/>
  <c r="E246" i="3"/>
  <c r="H246" i="3" s="1"/>
  <c r="E50" i="3"/>
  <c r="H50" i="3" s="1"/>
  <c r="E124" i="3"/>
  <c r="H124" i="3" s="1"/>
  <c r="E190" i="3"/>
  <c r="H190" i="3" s="1"/>
  <c r="E254" i="3"/>
  <c r="H254" i="3" s="1"/>
  <c r="E60" i="3"/>
  <c r="H60" i="3" s="1"/>
  <c r="E133" i="3"/>
  <c r="H133" i="3" s="1"/>
  <c r="E198" i="3"/>
  <c r="H198" i="3" s="1"/>
  <c r="E69" i="3"/>
  <c r="H69" i="3" s="1"/>
  <c r="E142" i="3"/>
  <c r="H142" i="3" s="1"/>
  <c r="E206" i="3"/>
  <c r="H206" i="3" s="1"/>
  <c r="E78" i="3"/>
  <c r="H78" i="3" s="1"/>
  <c r="E150" i="3"/>
  <c r="H150" i="3" s="1"/>
  <c r="E214" i="3"/>
  <c r="H214" i="3" s="1"/>
  <c r="E14" i="3"/>
  <c r="H14" i="3" s="1"/>
  <c r="E87" i="3"/>
  <c r="H87" i="3" s="1"/>
  <c r="E158" i="3"/>
  <c r="H158" i="3" s="1"/>
  <c r="E222" i="3"/>
  <c r="H222" i="3" s="1"/>
  <c r="E23" i="3"/>
  <c r="H23" i="3" s="1"/>
  <c r="E96" i="3"/>
  <c r="H96" i="3" s="1"/>
  <c r="E166" i="3"/>
  <c r="H166" i="3" s="1"/>
  <c r="E230" i="3"/>
  <c r="H230" i="3" s="1"/>
  <c r="E32" i="3"/>
  <c r="H32" i="3" s="1"/>
  <c r="E174" i="3"/>
  <c r="H174" i="3" s="1"/>
  <c r="E238" i="3"/>
  <c r="H238" i="3" s="1"/>
  <c r="E126" i="3"/>
  <c r="H126" i="3" s="1"/>
  <c r="E62" i="3"/>
  <c r="H62" i="3" s="1"/>
  <c r="E57" i="3"/>
  <c r="H57" i="3" s="1"/>
  <c r="E49" i="3"/>
  <c r="H49" i="3" s="1"/>
  <c r="E202" i="3"/>
  <c r="H202" i="3" s="1"/>
  <c r="E138" i="3"/>
  <c r="H138" i="3" s="1"/>
  <c r="E74" i="3"/>
  <c r="H74" i="3" s="1"/>
  <c r="E113" i="3"/>
  <c r="H113" i="3" s="1"/>
  <c r="E401" i="3"/>
  <c r="H401" i="3" s="1"/>
  <c r="E321" i="3"/>
  <c r="H321" i="3" s="1"/>
  <c r="G777" i="3"/>
  <c r="E761" i="3"/>
  <c r="H761" i="3" s="1"/>
  <c r="E737" i="3"/>
  <c r="H737" i="3" s="1"/>
  <c r="E697" i="3"/>
  <c r="H697" i="3" s="1"/>
  <c r="E673" i="3"/>
  <c r="H673" i="3" s="1"/>
  <c r="E633" i="3"/>
  <c r="H633" i="3" s="1"/>
  <c r="E609" i="3"/>
  <c r="H609" i="3" s="1"/>
  <c r="E569" i="3"/>
  <c r="H569" i="3" s="1"/>
  <c r="E532" i="3"/>
  <c r="H532" i="3" s="1"/>
  <c r="E217" i="3"/>
  <c r="H217" i="3" s="1"/>
  <c r="E145" i="3"/>
  <c r="H145" i="3" s="1"/>
  <c r="E505" i="3"/>
  <c r="H505" i="3" s="1"/>
  <c r="E25" i="3"/>
  <c r="H25" i="3" s="1"/>
  <c r="E191" i="3"/>
  <c r="H191" i="3" s="1"/>
  <c r="E127" i="3"/>
  <c r="H127" i="3" s="1"/>
  <c r="E63" i="3"/>
  <c r="H63" i="3" s="1"/>
  <c r="E480" i="3"/>
  <c r="H480" i="3" s="1"/>
  <c r="E416" i="3"/>
  <c r="H416" i="3" s="1"/>
  <c r="E352" i="3"/>
  <c r="H352" i="3" s="1"/>
  <c r="E328" i="3"/>
  <c r="H328" i="3" s="1"/>
  <c r="E304" i="3"/>
  <c r="H304" i="3" s="1"/>
  <c r="E288" i="3"/>
  <c r="H288" i="3" s="1"/>
  <c r="E531" i="3"/>
  <c r="H531" i="3" s="1"/>
  <c r="E205" i="3"/>
  <c r="H205" i="3" s="1"/>
  <c r="E141" i="3"/>
  <c r="H141" i="3" s="1"/>
  <c r="E31" i="3"/>
  <c r="H31" i="3" s="1"/>
  <c r="E105" i="3"/>
  <c r="H105" i="3" s="1"/>
  <c r="E118" i="3"/>
  <c r="H118" i="3" s="1"/>
  <c r="E54" i="3"/>
  <c r="H54" i="3" s="1"/>
  <c r="E81" i="3"/>
  <c r="H81" i="3" s="1"/>
  <c r="E194" i="3"/>
  <c r="H194" i="3" s="1"/>
  <c r="E130" i="3"/>
  <c r="H130" i="3" s="1"/>
  <c r="E66" i="3"/>
  <c r="H66" i="3" s="1"/>
  <c r="E73" i="3"/>
  <c r="H73" i="3" s="1"/>
  <c r="E369" i="3"/>
  <c r="H369" i="3" s="1"/>
  <c r="E289" i="3"/>
  <c r="H289" i="3" s="1"/>
  <c r="E433" i="3"/>
  <c r="H433" i="3" s="1"/>
  <c r="E255" i="3"/>
  <c r="H255" i="3" s="1"/>
  <c r="E183" i="3"/>
  <c r="H183" i="3" s="1"/>
  <c r="E119" i="3"/>
  <c r="H119" i="3" s="1"/>
  <c r="E55" i="3"/>
  <c r="H55" i="3" s="1"/>
  <c r="E520" i="3"/>
  <c r="H520" i="3" s="1"/>
  <c r="E496" i="3"/>
  <c r="H496" i="3" s="1"/>
  <c r="E456" i="3"/>
  <c r="H456" i="3" s="1"/>
  <c r="E392" i="3"/>
  <c r="H392" i="3" s="1"/>
  <c r="G279" i="3"/>
  <c r="J279" i="3" s="1"/>
  <c r="E728" i="3"/>
  <c r="H728" i="3" s="1"/>
  <c r="E712" i="3"/>
  <c r="H712" i="3" s="1"/>
  <c r="E664" i="3"/>
  <c r="H664" i="3" s="1"/>
  <c r="E648" i="3"/>
  <c r="H648" i="3" s="1"/>
  <c r="E584" i="3"/>
  <c r="H584" i="3" s="1"/>
  <c r="E261" i="3"/>
  <c r="H261" i="3" s="1"/>
  <c r="E110" i="3"/>
  <c r="H110" i="3" s="1"/>
  <c r="E46" i="3"/>
  <c r="H46" i="3" s="1"/>
  <c r="E125" i="3"/>
  <c r="H125" i="3" s="1"/>
  <c r="E61" i="3"/>
  <c r="H61" i="3" s="1"/>
  <c r="E116" i="3"/>
  <c r="H116" i="3" s="1"/>
  <c r="E44" i="3"/>
  <c r="H44" i="3" s="1"/>
  <c r="E97" i="3"/>
  <c r="H97" i="3" s="1"/>
  <c r="E250" i="3"/>
  <c r="H250" i="3" s="1"/>
  <c r="E186" i="3"/>
  <c r="H186" i="3" s="1"/>
  <c r="E122" i="3"/>
  <c r="H122" i="3" s="1"/>
  <c r="E58" i="3"/>
  <c r="H58" i="3" s="1"/>
  <c r="E441" i="3"/>
  <c r="H441" i="3" s="1"/>
  <c r="E393" i="3"/>
  <c r="H393" i="3" s="1"/>
  <c r="E345" i="3"/>
  <c r="H345" i="3" s="1"/>
  <c r="E777" i="3"/>
  <c r="H777" i="3" s="1"/>
  <c r="E753" i="3"/>
  <c r="H753" i="3" s="1"/>
  <c r="E713" i="3"/>
  <c r="H713" i="3" s="1"/>
  <c r="E689" i="3"/>
  <c r="H689" i="3" s="1"/>
  <c r="E649" i="3"/>
  <c r="H649" i="3" s="1"/>
  <c r="E585" i="3"/>
  <c r="H585" i="3" s="1"/>
  <c r="E561" i="3"/>
  <c r="H561" i="3" s="1"/>
  <c r="E201" i="3"/>
  <c r="H201" i="3" s="1"/>
  <c r="E185" i="3"/>
  <c r="H185" i="3" s="1"/>
  <c r="E102" i="3"/>
  <c r="H102" i="3" s="1"/>
  <c r="E117" i="3"/>
  <c r="H117" i="3" s="1"/>
  <c r="E53" i="3"/>
  <c r="H53" i="3" s="1"/>
  <c r="E108" i="3"/>
  <c r="H108" i="3" s="1"/>
  <c r="E161" i="3"/>
  <c r="H161" i="3" s="1"/>
  <c r="E313" i="3"/>
  <c r="H313" i="3" s="1"/>
  <c r="E729" i="3"/>
  <c r="H729" i="3" s="1"/>
  <c r="E665" i="3"/>
  <c r="H665" i="3" s="1"/>
  <c r="E601" i="3"/>
  <c r="H601" i="3" s="1"/>
  <c r="E121" i="3"/>
  <c r="H121" i="3" s="1"/>
  <c r="E17" i="3"/>
  <c r="H17" i="3" s="1"/>
  <c r="E489" i="3"/>
  <c r="H489" i="3" s="1"/>
  <c r="E177" i="3"/>
  <c r="H177" i="3" s="1"/>
  <c r="G488" i="3"/>
  <c r="J488" i="3" s="1"/>
  <c r="E472" i="3"/>
  <c r="H472" i="3" s="1"/>
  <c r="E344" i="3"/>
  <c r="H344" i="3" s="1"/>
  <c r="E279" i="3"/>
  <c r="H279" i="3" s="1"/>
  <c r="E768" i="3"/>
  <c r="H768" i="3" s="1"/>
  <c r="E704" i="3"/>
  <c r="H704" i="3" s="1"/>
  <c r="E640" i="3"/>
  <c r="H640" i="3" s="1"/>
  <c r="G551" i="3"/>
  <c r="J551" i="3" s="1"/>
  <c r="E245" i="3"/>
  <c r="H245" i="3" s="1"/>
  <c r="E181" i="3"/>
  <c r="H181" i="3" s="1"/>
  <c r="E95" i="3"/>
  <c r="H95" i="3" s="1"/>
  <c r="E487" i="3"/>
  <c r="H487" i="3" s="1"/>
  <c r="E359" i="3"/>
  <c r="H359" i="3" s="1"/>
  <c r="E295" i="3"/>
  <c r="H295" i="3" s="1"/>
  <c r="G759" i="3"/>
  <c r="J759" i="3" s="1"/>
  <c r="E743" i="3"/>
  <c r="H743" i="3" s="1"/>
  <c r="E719" i="3"/>
  <c r="H719" i="3" s="1"/>
  <c r="E679" i="3"/>
  <c r="H679" i="3" s="1"/>
  <c r="E655" i="3"/>
  <c r="H655" i="3" s="1"/>
  <c r="E615" i="3"/>
  <c r="H615" i="3" s="1"/>
  <c r="E591" i="3"/>
  <c r="H591" i="3" s="1"/>
  <c r="E164" i="3"/>
  <c r="H164" i="3" s="1"/>
  <c r="E76" i="3"/>
  <c r="H76" i="3" s="1"/>
  <c r="E510" i="3"/>
  <c r="H510" i="3" s="1"/>
  <c r="E470" i="3"/>
  <c r="H470" i="3" s="1"/>
  <c r="E446" i="3"/>
  <c r="H446" i="3" s="1"/>
  <c r="E30" i="3"/>
  <c r="H30" i="3" s="1"/>
  <c r="E109" i="3"/>
  <c r="H109" i="3" s="1"/>
  <c r="E45" i="3"/>
  <c r="H45" i="3" s="1"/>
  <c r="E100" i="3"/>
  <c r="H100" i="3" s="1"/>
  <c r="E34" i="3"/>
  <c r="H34" i="3" s="1"/>
  <c r="E137" i="3"/>
  <c r="H137" i="3" s="1"/>
  <c r="E33" i="3"/>
  <c r="H33" i="3" s="1"/>
  <c r="E497" i="3"/>
  <c r="H497" i="3" s="1"/>
  <c r="E361" i="3"/>
  <c r="H361" i="3" s="1"/>
  <c r="E280" i="3"/>
  <c r="H280" i="3" s="1"/>
  <c r="E257" i="3"/>
  <c r="H257" i="3" s="1"/>
  <c r="E409" i="3"/>
  <c r="H409" i="3" s="1"/>
  <c r="E65" i="3"/>
  <c r="H65" i="3" s="1"/>
  <c r="E513" i="3"/>
  <c r="H513" i="3" s="1"/>
  <c r="E223" i="3"/>
  <c r="H223" i="3" s="1"/>
  <c r="E159" i="3"/>
  <c r="H159" i="3" s="1"/>
  <c r="E22" i="3"/>
  <c r="H22" i="3" s="1"/>
  <c r="E101" i="3"/>
  <c r="H101" i="3" s="1"/>
  <c r="E92" i="3"/>
  <c r="H92" i="3" s="1"/>
  <c r="E20" i="3"/>
  <c r="H20" i="3" s="1"/>
  <c r="G260" i="3"/>
  <c r="E249" i="3"/>
  <c r="H249" i="3" s="1"/>
  <c r="E98" i="3"/>
  <c r="H98" i="3" s="1"/>
  <c r="E26" i="3"/>
  <c r="H26" i="3" s="1"/>
  <c r="E233" i="3"/>
  <c r="H233" i="3" s="1"/>
  <c r="E425" i="3"/>
  <c r="H425" i="3" s="1"/>
  <c r="E337" i="3"/>
  <c r="H337" i="3" s="1"/>
  <c r="E769" i="3"/>
  <c r="H769" i="3" s="1"/>
  <c r="E705" i="3"/>
  <c r="H705" i="3" s="1"/>
  <c r="E473" i="3"/>
  <c r="H473" i="3" s="1"/>
  <c r="G241" i="3"/>
  <c r="J241" i="3" s="1"/>
  <c r="E93" i="3"/>
  <c r="H93" i="3" s="1"/>
  <c r="E84" i="3"/>
  <c r="H84" i="3" s="1"/>
  <c r="G12" i="3"/>
  <c r="J12" i="3" s="1"/>
  <c r="E203" i="3"/>
  <c r="H203" i="3" s="1"/>
  <c r="E218" i="3"/>
  <c r="H218" i="3" s="1"/>
  <c r="E154" i="3"/>
  <c r="H154" i="3" s="1"/>
  <c r="E90" i="3"/>
  <c r="H90" i="3" s="1"/>
  <c r="E18" i="3"/>
  <c r="H18" i="3" s="1"/>
  <c r="E193" i="3"/>
  <c r="H193" i="3" s="1"/>
  <c r="E377" i="3"/>
  <c r="H377" i="3" s="1"/>
  <c r="E305" i="3"/>
  <c r="H305" i="3" s="1"/>
  <c r="G697" i="3"/>
  <c r="E552" i="3"/>
  <c r="H552" i="3" s="1"/>
  <c r="E457" i="3"/>
  <c r="H457" i="3" s="1"/>
  <c r="E225" i="3"/>
  <c r="H225" i="3" s="1"/>
  <c r="E207" i="3"/>
  <c r="H207" i="3" s="1"/>
  <c r="E143" i="3"/>
  <c r="H143" i="3" s="1"/>
  <c r="E79" i="3"/>
  <c r="H79" i="3" s="1"/>
  <c r="E15" i="3"/>
  <c r="H15" i="3" s="1"/>
  <c r="E400" i="3"/>
  <c r="H400" i="3" s="1"/>
  <c r="E336" i="3"/>
  <c r="H336" i="3" s="1"/>
  <c r="E312" i="3"/>
  <c r="H312" i="3" s="1"/>
  <c r="E736" i="3"/>
  <c r="H736" i="3" s="1"/>
  <c r="E672" i="3"/>
  <c r="H672" i="3" s="1"/>
  <c r="E608" i="3"/>
  <c r="H608" i="3" s="1"/>
  <c r="E134" i="3"/>
  <c r="H134" i="3" s="1"/>
  <c r="E70" i="3"/>
  <c r="H70" i="3" s="1"/>
  <c r="E241" i="3"/>
  <c r="H241" i="3" s="1"/>
  <c r="E21" i="3"/>
  <c r="H21" i="3" s="1"/>
  <c r="E52" i="3"/>
  <c r="H52" i="3" s="1"/>
  <c r="E210" i="3"/>
  <c r="H210" i="3" s="1"/>
  <c r="E146" i="3"/>
  <c r="H146" i="3" s="1"/>
  <c r="E82" i="3"/>
  <c r="H82" i="3" s="1"/>
  <c r="E465" i="3"/>
  <c r="H465" i="3" s="1"/>
  <c r="E353" i="3"/>
  <c r="H353" i="3" s="1"/>
  <c r="E721" i="3"/>
  <c r="H721" i="3" s="1"/>
  <c r="E657" i="3"/>
  <c r="H657" i="3" s="1"/>
  <c r="E593" i="3"/>
  <c r="H593" i="3" s="1"/>
  <c r="E169" i="3"/>
  <c r="H169" i="3" s="1"/>
  <c r="E385" i="3"/>
  <c r="H385" i="3" s="1"/>
  <c r="E209" i="3"/>
  <c r="H209" i="3" s="1"/>
  <c r="E129" i="3"/>
  <c r="H129" i="3" s="1"/>
  <c r="E481" i="3"/>
  <c r="H481" i="3" s="1"/>
  <c r="E329" i="3"/>
  <c r="H329" i="3" s="1"/>
  <c r="E199" i="3"/>
  <c r="H199" i="3" s="1"/>
  <c r="E135" i="3"/>
  <c r="H135" i="3" s="1"/>
  <c r="E71" i="3"/>
  <c r="H71" i="3" s="1"/>
  <c r="E41" i="3"/>
  <c r="H41" i="3" s="1"/>
  <c r="E504" i="3"/>
  <c r="H504" i="3" s="1"/>
  <c r="E440" i="3"/>
  <c r="H440" i="3" s="1"/>
  <c r="E376" i="3"/>
  <c r="H376" i="3" s="1"/>
  <c r="E760" i="3"/>
  <c r="H760" i="3" s="1"/>
  <c r="E696" i="3"/>
  <c r="H696" i="3" s="1"/>
  <c r="E632" i="3"/>
  <c r="H632" i="3" s="1"/>
  <c r="E568" i="3"/>
  <c r="H568" i="3" s="1"/>
  <c r="E213" i="3"/>
  <c r="H213" i="3" s="1"/>
  <c r="E149" i="3"/>
  <c r="H149" i="3" s="1"/>
  <c r="E40" i="3"/>
  <c r="H40" i="3" s="1"/>
  <c r="E147" i="3"/>
  <c r="H147" i="3" s="1"/>
  <c r="E219" i="3"/>
  <c r="H219" i="3" s="1"/>
  <c r="E310" i="3"/>
  <c r="H310" i="3" s="1"/>
  <c r="E406" i="3"/>
  <c r="H406" i="3" s="1"/>
  <c r="E112" i="3"/>
  <c r="H112" i="3" s="1"/>
  <c r="E204" i="3"/>
  <c r="H204" i="3" s="1"/>
  <c r="E530" i="3"/>
  <c r="H530" i="3" s="1"/>
  <c r="E567" i="3"/>
  <c r="H567" i="3" s="1"/>
  <c r="E663" i="3"/>
  <c r="H663" i="3" s="1"/>
  <c r="E759" i="3"/>
  <c r="H759" i="3" s="1"/>
  <c r="E319" i="3"/>
  <c r="H319" i="3" s="1"/>
  <c r="E343" i="3"/>
  <c r="H343" i="3" s="1"/>
  <c r="E367" i="3"/>
  <c r="H367" i="3" s="1"/>
  <c r="E391" i="3"/>
  <c r="H391" i="3" s="1"/>
  <c r="E415" i="3"/>
  <c r="H415" i="3" s="1"/>
  <c r="E439" i="3"/>
  <c r="H439" i="3" s="1"/>
  <c r="E463" i="3"/>
  <c r="H463" i="3" s="1"/>
  <c r="E511" i="3"/>
  <c r="H511" i="3" s="1"/>
  <c r="E86" i="3"/>
  <c r="H86" i="3" s="1"/>
  <c r="E221" i="3"/>
  <c r="H221" i="3" s="1"/>
  <c r="E576" i="3"/>
  <c r="H576" i="3" s="1"/>
  <c r="E688" i="3"/>
  <c r="H688" i="3" s="1"/>
  <c r="E744" i="3"/>
  <c r="H744" i="3" s="1"/>
  <c r="E320" i="3"/>
  <c r="H320" i="3" s="1"/>
  <c r="E432" i="3"/>
  <c r="H432" i="3" s="1"/>
  <c r="E153" i="3"/>
  <c r="H153" i="3" s="1"/>
  <c r="E617" i="3"/>
  <c r="H617" i="3" s="1"/>
  <c r="F523" i="5" l="1"/>
  <c r="I523" i="5" s="1"/>
  <c r="F644" i="5"/>
  <c r="I644" i="5" s="1"/>
  <c r="F621" i="5"/>
  <c r="I621" i="5" s="1"/>
  <c r="F584" i="5"/>
  <c r="I584" i="5" s="1"/>
  <c r="F547" i="5"/>
  <c r="I547" i="5" s="1"/>
  <c r="F341" i="5"/>
  <c r="I341" i="5" s="1"/>
  <c r="F470" i="5"/>
  <c r="I470" i="5" s="1"/>
  <c r="F401" i="5"/>
  <c r="I401" i="5" s="1"/>
  <c r="F359" i="5"/>
  <c r="I359" i="5" s="1"/>
  <c r="F432" i="5"/>
  <c r="I432" i="5" s="1"/>
  <c r="F388" i="5"/>
  <c r="I388" i="5" s="1"/>
  <c r="F343" i="5"/>
  <c r="I343" i="5" s="1"/>
  <c r="F386" i="5"/>
  <c r="I386" i="5" s="1"/>
  <c r="F501" i="5"/>
  <c r="I501" i="5" s="1"/>
  <c r="F383" i="5"/>
  <c r="I383" i="5" s="1"/>
  <c r="F313" i="5"/>
  <c r="I313" i="5" s="1"/>
  <c r="F355" i="5"/>
  <c r="I355" i="5" s="1"/>
  <c r="F304" i="5"/>
  <c r="I304" i="5" s="1"/>
  <c r="F390" i="5"/>
  <c r="I390" i="5" s="1"/>
  <c r="F451" i="5"/>
  <c r="I451" i="5" s="1"/>
  <c r="F295" i="5"/>
  <c r="I295" i="5" s="1"/>
  <c r="F328" i="5"/>
  <c r="I328" i="5" s="1"/>
  <c r="F367" i="5"/>
  <c r="I367" i="5" s="1"/>
  <c r="F385" i="5"/>
  <c r="I385" i="5" s="1"/>
  <c r="F468" i="5"/>
  <c r="I468" i="5" s="1"/>
  <c r="F457" i="5"/>
  <c r="I457" i="5" s="1"/>
  <c r="F513" i="5"/>
  <c r="I513" i="5" s="1"/>
  <c r="F365" i="5"/>
  <c r="I365" i="5" s="1"/>
  <c r="F398" i="5"/>
  <c r="I398" i="5" s="1"/>
  <c r="F512" i="5"/>
  <c r="I512" i="5" s="1"/>
  <c r="F490" i="5"/>
  <c r="I490" i="5" s="1"/>
  <c r="F106" i="5"/>
  <c r="I106" i="5" s="1"/>
  <c r="F134" i="5"/>
  <c r="I134" i="5" s="1"/>
  <c r="F195" i="5"/>
  <c r="I195" i="5" s="1"/>
  <c r="F158" i="5"/>
  <c r="I158" i="5" s="1"/>
  <c r="F180" i="5"/>
  <c r="I180" i="5" s="1"/>
  <c r="F219" i="5"/>
  <c r="I219" i="5" s="1"/>
  <c r="F247" i="5"/>
  <c r="I247" i="5" s="1"/>
  <c r="F66" i="5"/>
  <c r="I66" i="5" s="1"/>
  <c r="F40" i="5"/>
  <c r="I40" i="5" s="1"/>
  <c r="F236" i="5"/>
  <c r="I236" i="5" s="1"/>
  <c r="F41" i="5"/>
  <c r="I41" i="5" s="1"/>
  <c r="F139" i="5"/>
  <c r="I139" i="5" s="1"/>
  <c r="F253" i="5"/>
  <c r="I253" i="5" s="1"/>
  <c r="F26" i="5"/>
  <c r="I26" i="5" s="1"/>
  <c r="F95" i="5"/>
  <c r="I95" i="5" s="1"/>
  <c r="F227" i="5"/>
  <c r="I227" i="5" s="1"/>
  <c r="F256" i="5"/>
  <c r="I256" i="5" s="1"/>
  <c r="F51" i="5"/>
  <c r="I51" i="5" s="1"/>
  <c r="F187" i="5"/>
  <c r="I187" i="5" s="1"/>
  <c r="F121" i="5"/>
  <c r="I121" i="5" s="1"/>
  <c r="F132" i="5"/>
  <c r="I132" i="5" s="1"/>
  <c r="F185" i="5"/>
  <c r="I185" i="5" s="1"/>
  <c r="F244" i="5"/>
  <c r="I244" i="5" s="1"/>
  <c r="F223" i="5"/>
  <c r="I223" i="5" s="1"/>
  <c r="F578" i="5"/>
  <c r="I578" i="5" s="1"/>
  <c r="F369" i="5"/>
  <c r="I369" i="5" s="1"/>
  <c r="F418" i="5"/>
  <c r="I418" i="5" s="1"/>
  <c r="F399" i="5"/>
  <c r="I399" i="5" s="1"/>
  <c r="F462" i="5"/>
  <c r="I462" i="5" s="1"/>
  <c r="F86" i="5"/>
  <c r="I86" i="5" s="1"/>
  <c r="F175" i="5"/>
  <c r="I175" i="5" s="1"/>
  <c r="F218" i="5"/>
  <c r="I218" i="5" s="1"/>
  <c r="F202" i="5"/>
  <c r="I202" i="5" s="1"/>
  <c r="F60" i="5"/>
  <c r="I60" i="5" s="1"/>
  <c r="F603" i="5"/>
  <c r="I603" i="5" s="1"/>
  <c r="F534" i="5"/>
  <c r="I534" i="5" s="1"/>
  <c r="F681" i="5"/>
  <c r="I681" i="5" s="1"/>
  <c r="F373" i="5"/>
  <c r="I373" i="5" s="1"/>
  <c r="F439" i="5"/>
  <c r="I439" i="5" s="1"/>
  <c r="F331" i="5"/>
  <c r="I331" i="5" s="1"/>
  <c r="F493" i="5"/>
  <c r="I493" i="5" s="1"/>
  <c r="F520" i="5"/>
  <c r="I520" i="5" s="1"/>
  <c r="F444" i="5"/>
  <c r="I444" i="5" s="1"/>
  <c r="F354" i="5"/>
  <c r="I354" i="5" s="1"/>
  <c r="F311" i="5"/>
  <c r="I311" i="5" s="1"/>
  <c r="F285" i="5"/>
  <c r="I285" i="5" s="1"/>
  <c r="F384" i="5"/>
  <c r="I384" i="5" s="1"/>
  <c r="F345" i="5"/>
  <c r="I345" i="5" s="1"/>
  <c r="F403" i="5"/>
  <c r="I403" i="5" s="1"/>
  <c r="F284" i="5"/>
  <c r="I284" i="5" s="1"/>
  <c r="F478" i="5"/>
  <c r="I478" i="5" s="1"/>
  <c r="F420" i="5"/>
  <c r="I420" i="5" s="1"/>
  <c r="F402" i="5"/>
  <c r="I402" i="5" s="1"/>
  <c r="F308" i="5"/>
  <c r="I308" i="5" s="1"/>
  <c r="F455" i="5"/>
  <c r="I455" i="5" s="1"/>
  <c r="F417" i="5"/>
  <c r="I417" i="5" s="1"/>
  <c r="F438" i="5"/>
  <c r="I438" i="5" s="1"/>
  <c r="F443" i="5"/>
  <c r="I443" i="5" s="1"/>
  <c r="F408" i="5"/>
  <c r="I408" i="5" s="1"/>
  <c r="F397" i="5"/>
  <c r="I397" i="5" s="1"/>
  <c r="F446" i="5"/>
  <c r="I446" i="5" s="1"/>
  <c r="F297" i="5"/>
  <c r="I297" i="5" s="1"/>
  <c r="F339" i="5"/>
  <c r="I339" i="5" s="1"/>
  <c r="F170" i="5"/>
  <c r="I170" i="5" s="1"/>
  <c r="F31" i="5"/>
  <c r="I31" i="5" s="1"/>
  <c r="F259" i="5"/>
  <c r="I259" i="5" s="1"/>
  <c r="F206" i="5"/>
  <c r="I206" i="5" s="1"/>
  <c r="F54" i="5"/>
  <c r="I54" i="5" s="1"/>
  <c r="F92" i="5"/>
  <c r="I92" i="5" s="1"/>
  <c r="F65" i="5"/>
  <c r="I65" i="5" s="1"/>
  <c r="F122" i="5"/>
  <c r="I122" i="5" s="1"/>
  <c r="F96" i="5"/>
  <c r="I96" i="5" s="1"/>
  <c r="F29" i="5"/>
  <c r="I29" i="5" s="1"/>
  <c r="F137" i="5"/>
  <c r="I137" i="5" s="1"/>
  <c r="F203" i="5"/>
  <c r="I203" i="5" s="1"/>
  <c r="F222" i="5"/>
  <c r="I222" i="5" s="1"/>
  <c r="F138" i="5"/>
  <c r="I138" i="5" s="1"/>
  <c r="F56" i="5"/>
  <c r="I56" i="5" s="1"/>
  <c r="F12" i="5"/>
  <c r="I12" i="5" s="1"/>
  <c r="F73" i="5"/>
  <c r="I73" i="5" s="1"/>
  <c r="F91" i="5"/>
  <c r="I91" i="5" s="1"/>
  <c r="F251" i="5"/>
  <c r="I251" i="5" s="1"/>
  <c r="F177" i="5"/>
  <c r="I177" i="5" s="1"/>
  <c r="F20" i="5"/>
  <c r="I20" i="5" s="1"/>
  <c r="F209" i="5"/>
  <c r="I209" i="5" s="1"/>
  <c r="F24" i="5"/>
  <c r="I24" i="5" s="1"/>
  <c r="F69" i="5"/>
  <c r="I69" i="5" s="1"/>
  <c r="F201" i="5"/>
  <c r="I201" i="5" s="1"/>
  <c r="F277" i="5"/>
  <c r="I277" i="5" s="1"/>
  <c r="F481" i="5"/>
  <c r="I481" i="5" s="1"/>
  <c r="F50" i="5"/>
  <c r="I50" i="5" s="1"/>
  <c r="F155" i="5"/>
  <c r="I155" i="5" s="1"/>
  <c r="F232" i="5"/>
  <c r="I232" i="5" s="1"/>
  <c r="F190" i="5"/>
  <c r="I190" i="5" s="1"/>
  <c r="F81" i="5"/>
  <c r="I81" i="5" s="1"/>
  <c r="F579" i="5"/>
  <c r="I579" i="5" s="1"/>
  <c r="F450" i="5"/>
  <c r="I450" i="5" s="1"/>
  <c r="F702" i="5"/>
  <c r="I702" i="5" s="1"/>
  <c r="F780" i="5"/>
  <c r="I780" i="5" s="1"/>
  <c r="F436" i="5"/>
  <c r="I436" i="5" s="1"/>
  <c r="F529" i="5"/>
  <c r="I529" i="5" s="1"/>
  <c r="F291" i="5"/>
  <c r="I291" i="5" s="1"/>
  <c r="F405" i="5"/>
  <c r="I405" i="5" s="1"/>
  <c r="F463" i="5"/>
  <c r="I463" i="5" s="1"/>
  <c r="F459" i="5"/>
  <c r="I459" i="5" s="1"/>
  <c r="F286" i="5"/>
  <c r="I286" i="5" s="1"/>
  <c r="F441" i="5"/>
  <c r="I441" i="5" s="1"/>
  <c r="F484" i="5"/>
  <c r="I484" i="5" s="1"/>
  <c r="F375" i="5"/>
  <c r="I375" i="5" s="1"/>
  <c r="F396" i="5"/>
  <c r="I396" i="5" s="1"/>
  <c r="F317" i="5"/>
  <c r="I317" i="5" s="1"/>
  <c r="F366" i="5"/>
  <c r="I366" i="5" s="1"/>
  <c r="F377" i="5"/>
  <c r="I377" i="5" s="1"/>
  <c r="F483" i="5"/>
  <c r="I483" i="5" s="1"/>
  <c r="F380" i="5"/>
  <c r="I380" i="5" s="1"/>
  <c r="F471" i="5"/>
  <c r="I471" i="5" s="1"/>
  <c r="F465" i="5"/>
  <c r="I465" i="5" s="1"/>
  <c r="F293" i="5"/>
  <c r="I293" i="5" s="1"/>
  <c r="F426" i="5"/>
  <c r="I426" i="5" s="1"/>
  <c r="F440" i="5"/>
  <c r="I440" i="5" s="1"/>
  <c r="F395" i="5"/>
  <c r="I395" i="5" s="1"/>
  <c r="F306" i="5"/>
  <c r="I306" i="5" s="1"/>
  <c r="F466" i="5"/>
  <c r="I466" i="5" s="1"/>
  <c r="F314" i="5"/>
  <c r="I314" i="5" s="1"/>
  <c r="F429" i="5"/>
  <c r="I429" i="5" s="1"/>
  <c r="F486" i="5"/>
  <c r="I486" i="5" s="1"/>
  <c r="F329" i="5"/>
  <c r="I329" i="5" s="1"/>
  <c r="F419" i="5"/>
  <c r="I419" i="5" s="1"/>
  <c r="F87" i="5"/>
  <c r="I87" i="5" s="1"/>
  <c r="F172" i="5"/>
  <c r="I172" i="5" s="1"/>
  <c r="F76" i="5"/>
  <c r="I76" i="5" s="1"/>
  <c r="F238" i="5"/>
  <c r="I238" i="5" s="1"/>
  <c r="F142" i="5"/>
  <c r="I142" i="5" s="1"/>
  <c r="F164" i="5"/>
  <c r="I164" i="5" s="1"/>
  <c r="F89" i="5"/>
  <c r="I89" i="5" s="1"/>
  <c r="F119" i="5"/>
  <c r="I119" i="5" s="1"/>
  <c r="F160" i="5"/>
  <c r="I160" i="5" s="1"/>
  <c r="F93" i="5"/>
  <c r="I93" i="5" s="1"/>
  <c r="F13" i="5"/>
  <c r="I13" i="5" s="1"/>
  <c r="F213" i="5"/>
  <c r="I213" i="5" s="1"/>
  <c r="F254" i="5"/>
  <c r="I254" i="5" s="1"/>
  <c r="F43" i="5"/>
  <c r="I43" i="5" s="1"/>
  <c r="F104" i="5"/>
  <c r="I104" i="5" s="1"/>
  <c r="F124" i="5"/>
  <c r="I124" i="5" s="1"/>
  <c r="F225" i="5"/>
  <c r="I225" i="5" s="1"/>
  <c r="F125" i="5"/>
  <c r="I125" i="5" s="1"/>
  <c r="F28" i="5"/>
  <c r="I28" i="5" s="1"/>
  <c r="F148" i="5"/>
  <c r="I148" i="5" s="1"/>
  <c r="F245" i="5"/>
  <c r="I245" i="5" s="1"/>
  <c r="F72" i="5"/>
  <c r="I72" i="5" s="1"/>
  <c r="F173" i="5"/>
  <c r="I173" i="5" s="1"/>
  <c r="F511" i="5"/>
  <c r="I511" i="5" s="1"/>
  <c r="F307" i="5"/>
  <c r="I307" i="5" s="1"/>
  <c r="F353" i="5"/>
  <c r="I353" i="5" s="1"/>
  <c r="F424" i="5"/>
  <c r="I424" i="5" s="1"/>
  <c r="F221" i="5"/>
  <c r="I221" i="5" s="1"/>
  <c r="F63" i="5"/>
  <c r="I63" i="5" s="1"/>
  <c r="F145" i="5"/>
  <c r="I145" i="5" s="1"/>
  <c r="F33" i="5"/>
  <c r="I33" i="5" s="1"/>
  <c r="F302" i="5"/>
  <c r="I302" i="5" s="1"/>
  <c r="F766" i="5"/>
  <c r="I766" i="5" s="1"/>
  <c r="F570" i="5"/>
  <c r="I570" i="5" s="1"/>
  <c r="F575" i="5"/>
  <c r="I575" i="5" s="1"/>
  <c r="F563" i="5"/>
  <c r="I563" i="5" s="1"/>
  <c r="F346" i="5"/>
  <c r="I346" i="5" s="1"/>
  <c r="F437" i="5"/>
  <c r="I437" i="5" s="1"/>
  <c r="F487" i="5"/>
  <c r="I487" i="5" s="1"/>
  <c r="F474" i="5"/>
  <c r="I474" i="5" s="1"/>
  <c r="F372" i="5"/>
  <c r="I372" i="5" s="1"/>
  <c r="F379" i="5"/>
  <c r="I379" i="5" s="1"/>
  <c r="F257" i="5"/>
  <c r="I257" i="5" s="1"/>
  <c r="F521" i="5"/>
  <c r="I521" i="5" s="1"/>
  <c r="F473" i="5"/>
  <c r="I473" i="5" s="1"/>
  <c r="F349" i="5"/>
  <c r="I349" i="5" s="1"/>
  <c r="F430" i="5"/>
  <c r="I430" i="5" s="1"/>
  <c r="F409" i="5"/>
  <c r="I409" i="5" s="1"/>
  <c r="F517" i="5"/>
  <c r="I517" i="5" s="1"/>
  <c r="F318" i="5"/>
  <c r="I318" i="5" s="1"/>
  <c r="F495" i="5"/>
  <c r="I495" i="5" s="1"/>
  <c r="F191" i="5"/>
  <c r="I191" i="5" s="1"/>
  <c r="F325" i="5"/>
  <c r="I325" i="5" s="1"/>
  <c r="F310" i="5"/>
  <c r="I310" i="5" s="1"/>
  <c r="F464" i="5"/>
  <c r="I464" i="5" s="1"/>
  <c r="F475" i="5"/>
  <c r="I475" i="5" s="1"/>
  <c r="F423" i="5"/>
  <c r="I423" i="5" s="1"/>
  <c r="F499" i="5"/>
  <c r="I499" i="5" s="1"/>
  <c r="F368" i="5"/>
  <c r="I368" i="5" s="1"/>
  <c r="F461" i="5"/>
  <c r="I461" i="5" s="1"/>
  <c r="F431" i="5"/>
  <c r="I431" i="5" s="1"/>
  <c r="F361" i="5"/>
  <c r="I361" i="5" s="1"/>
  <c r="F67" i="5"/>
  <c r="I67" i="5" s="1"/>
  <c r="F32" i="5"/>
  <c r="I32" i="5" s="1"/>
  <c r="F156" i="5"/>
  <c r="I156" i="5" s="1"/>
  <c r="F161" i="5"/>
  <c r="I161" i="5" s="1"/>
  <c r="F47" i="5"/>
  <c r="I47" i="5" s="1"/>
  <c r="F21" i="5"/>
  <c r="I21" i="5" s="1"/>
  <c r="F113" i="5"/>
  <c r="I113" i="5" s="1"/>
  <c r="F107" i="5"/>
  <c r="I107" i="5" s="1"/>
  <c r="F192" i="5"/>
  <c r="I192" i="5" s="1"/>
  <c r="F181" i="5"/>
  <c r="I181" i="5" s="1"/>
  <c r="F62" i="5"/>
  <c r="I62" i="5" s="1"/>
  <c r="F37" i="5"/>
  <c r="I37" i="5" s="1"/>
  <c r="F207" i="5"/>
  <c r="I207" i="5" s="1"/>
  <c r="F83" i="5"/>
  <c r="I83" i="5" s="1"/>
  <c r="F136" i="5"/>
  <c r="I136" i="5" s="1"/>
  <c r="F252" i="5"/>
  <c r="I252" i="5" s="1"/>
  <c r="F34" i="5"/>
  <c r="I34" i="5" s="1"/>
  <c r="F38" i="5"/>
  <c r="I38" i="5" s="1"/>
  <c r="F189" i="5"/>
  <c r="I189" i="5" s="1"/>
  <c r="F68" i="5"/>
  <c r="I68" i="5" s="1"/>
  <c r="F36" i="5"/>
  <c r="I36" i="5" s="1"/>
  <c r="F196" i="5"/>
  <c r="I196" i="5" s="1"/>
  <c r="F186" i="5"/>
  <c r="I186" i="5" s="1"/>
  <c r="F151" i="5"/>
  <c r="I151" i="5" s="1"/>
  <c r="F250" i="5"/>
  <c r="I250" i="5" s="1"/>
  <c r="F456" i="5"/>
  <c r="I456" i="5" s="1"/>
  <c r="F453" i="5"/>
  <c r="I453" i="5" s="1"/>
  <c r="F363" i="5"/>
  <c r="I363" i="5" s="1"/>
  <c r="F210" i="5"/>
  <c r="I210" i="5" s="1"/>
  <c r="F224" i="5"/>
  <c r="I224" i="5" s="1"/>
  <c r="F229" i="5"/>
  <c r="I229" i="5" s="1"/>
  <c r="F11" i="5"/>
  <c r="F143" i="5"/>
  <c r="I143" i="5" s="1"/>
  <c r="F550" i="5"/>
  <c r="I550" i="5" s="1"/>
  <c r="F622" i="5"/>
  <c r="I622" i="5" s="1"/>
  <c r="F559" i="5"/>
  <c r="I559" i="5" s="1"/>
  <c r="F568" i="5"/>
  <c r="I568" i="5" s="1"/>
  <c r="F754" i="5"/>
  <c r="I754" i="5" s="1"/>
  <c r="F348" i="5"/>
  <c r="I348" i="5" s="1"/>
  <c r="F362" i="5"/>
  <c r="I362" i="5" s="1"/>
  <c r="F496" i="5"/>
  <c r="I496" i="5" s="1"/>
  <c r="F387" i="5"/>
  <c r="I387" i="5" s="1"/>
  <c r="F352" i="5"/>
  <c r="I352" i="5" s="1"/>
  <c r="F434" i="5"/>
  <c r="I434" i="5" s="1"/>
  <c r="F322" i="5"/>
  <c r="I322" i="5" s="1"/>
  <c r="F278" i="5"/>
  <c r="I278" i="5" s="1"/>
  <c r="F312" i="5"/>
  <c r="I312" i="5" s="1"/>
  <c r="F381" i="5"/>
  <c r="I381" i="5" s="1"/>
  <c r="F287" i="5"/>
  <c r="I287" i="5" s="1"/>
  <c r="F427" i="5"/>
  <c r="I427" i="5" s="1"/>
  <c r="F211" i="5"/>
  <c r="I211" i="5" s="1"/>
  <c r="F298" i="5"/>
  <c r="I298" i="5" s="1"/>
  <c r="F504" i="5"/>
  <c r="I504" i="5" s="1"/>
  <c r="F344" i="5"/>
  <c r="I344" i="5" s="1"/>
  <c r="F357" i="5"/>
  <c r="I357" i="5" s="1"/>
  <c r="F374" i="5"/>
  <c r="I374" i="5" s="1"/>
  <c r="F505" i="5"/>
  <c r="I505" i="5" s="1"/>
  <c r="F506" i="5"/>
  <c r="I506" i="5" s="1"/>
  <c r="F350" i="5"/>
  <c r="I350" i="5" s="1"/>
  <c r="F452" i="5"/>
  <c r="I452" i="5" s="1"/>
  <c r="F316" i="5"/>
  <c r="I316" i="5" s="1"/>
  <c r="F360" i="5"/>
  <c r="I360" i="5" s="1"/>
  <c r="F479" i="5"/>
  <c r="I479" i="5" s="1"/>
  <c r="F393" i="5"/>
  <c r="I393" i="5" s="1"/>
  <c r="F131" i="5"/>
  <c r="I131" i="5" s="1"/>
  <c r="F80" i="5"/>
  <c r="I80" i="5" s="1"/>
  <c r="F220" i="5"/>
  <c r="I220" i="5" s="1"/>
  <c r="F248" i="5"/>
  <c r="I248" i="5" s="1"/>
  <c r="F88" i="5"/>
  <c r="I88" i="5" s="1"/>
  <c r="F85" i="5"/>
  <c r="I85" i="5" s="1"/>
  <c r="F169" i="5"/>
  <c r="I169" i="5" s="1"/>
  <c r="F216" i="5"/>
  <c r="I216" i="5" s="1"/>
  <c r="F194" i="5"/>
  <c r="I194" i="5" s="1"/>
  <c r="F214" i="5"/>
  <c r="I214" i="5" s="1"/>
  <c r="F102" i="5"/>
  <c r="I102" i="5" s="1"/>
  <c r="F101" i="5"/>
  <c r="I101" i="5" s="1"/>
  <c r="F25" i="5"/>
  <c r="I25" i="5" s="1"/>
  <c r="F115" i="5"/>
  <c r="I115" i="5" s="1"/>
  <c r="F168" i="5"/>
  <c r="I168" i="5" s="1"/>
  <c r="F45" i="5"/>
  <c r="I45" i="5" s="1"/>
  <c r="F82" i="5"/>
  <c r="I82" i="5" s="1"/>
  <c r="F110" i="5"/>
  <c r="I110" i="5" s="1"/>
  <c r="F198" i="5"/>
  <c r="I198" i="5" s="1"/>
  <c r="F188" i="5"/>
  <c r="I188" i="5" s="1"/>
  <c r="F52" i="5"/>
  <c r="I52" i="5" s="1"/>
  <c r="F46" i="5"/>
  <c r="I46" i="5" s="1"/>
  <c r="F153" i="5"/>
  <c r="I153" i="5" s="1"/>
  <c r="F296" i="5"/>
  <c r="I296" i="5" s="1"/>
  <c r="F404" i="5"/>
  <c r="I404" i="5" s="1"/>
  <c r="F75" i="5"/>
  <c r="I75" i="5" s="1"/>
  <c r="F44" i="5"/>
  <c r="I44" i="5" s="1"/>
  <c r="F636" i="5"/>
  <c r="I636" i="5" s="1"/>
  <c r="F606" i="5"/>
  <c r="I606" i="5" s="1"/>
  <c r="F614" i="5"/>
  <c r="I614" i="5" s="1"/>
  <c r="F74" i="5"/>
  <c r="I74" i="5" s="1"/>
  <c r="F485" i="5"/>
  <c r="I485" i="5" s="1"/>
  <c r="F320" i="5"/>
  <c r="I320" i="5" s="1"/>
  <c r="F305" i="5"/>
  <c r="I305" i="5" s="1"/>
  <c r="F435" i="5"/>
  <c r="I435" i="5" s="1"/>
  <c r="F454" i="5"/>
  <c r="I454" i="5" s="1"/>
  <c r="F458" i="5"/>
  <c r="I458" i="5" s="1"/>
  <c r="F407" i="5"/>
  <c r="I407" i="5" s="1"/>
  <c r="F364" i="5"/>
  <c r="I364" i="5" s="1"/>
  <c r="F378" i="5"/>
  <c r="I378" i="5" s="1"/>
  <c r="F413" i="5"/>
  <c r="I413" i="5" s="1"/>
  <c r="F351" i="5"/>
  <c r="I351" i="5" s="1"/>
  <c r="F507" i="5"/>
  <c r="I507" i="5" s="1"/>
  <c r="F237" i="5"/>
  <c r="I237" i="5" s="1"/>
  <c r="F394" i="5"/>
  <c r="I394" i="5" s="1"/>
  <c r="F449" i="5"/>
  <c r="I449" i="5" s="1"/>
  <c r="F281" i="5"/>
  <c r="I281" i="5" s="1"/>
  <c r="F389" i="5"/>
  <c r="I389" i="5" s="1"/>
  <c r="F414" i="5"/>
  <c r="I414" i="5" s="1"/>
  <c r="F289" i="5"/>
  <c r="I289" i="5" s="1"/>
  <c r="F323" i="5"/>
  <c r="I323" i="5" s="1"/>
  <c r="F319" i="5"/>
  <c r="I319" i="5" s="1"/>
  <c r="F492" i="5"/>
  <c r="I492" i="5" s="1"/>
  <c r="F469" i="5"/>
  <c r="I469" i="5" s="1"/>
  <c r="F330" i="5"/>
  <c r="I330" i="5" s="1"/>
  <c r="F503" i="5"/>
  <c r="I503" i="5" s="1"/>
  <c r="F425" i="5"/>
  <c r="I425" i="5" s="1"/>
  <c r="F166" i="5"/>
  <c r="I166" i="5" s="1"/>
  <c r="F120" i="5"/>
  <c r="I120" i="5" s="1"/>
  <c r="F133" i="5"/>
  <c r="I133" i="5" s="1"/>
  <c r="F17" i="5"/>
  <c r="I17" i="5" s="1"/>
  <c r="F234" i="5"/>
  <c r="I234" i="5" s="1"/>
  <c r="F157" i="5"/>
  <c r="I157" i="5" s="1"/>
  <c r="F193" i="5"/>
  <c r="I193" i="5" s="1"/>
  <c r="F94" i="5"/>
  <c r="I94" i="5" s="1"/>
  <c r="F179" i="5"/>
  <c r="I179" i="5" s="1"/>
  <c r="F246" i="5"/>
  <c r="I246" i="5" s="1"/>
  <c r="F79" i="5"/>
  <c r="I79" i="5" s="1"/>
  <c r="F141" i="5"/>
  <c r="I141" i="5" s="1"/>
  <c r="F49" i="5"/>
  <c r="I49" i="5" s="1"/>
  <c r="F77" i="5"/>
  <c r="I77" i="5" s="1"/>
  <c r="F200" i="5"/>
  <c r="I200" i="5" s="1"/>
  <c r="F109" i="5"/>
  <c r="I109" i="5" s="1"/>
  <c r="F146" i="5"/>
  <c r="I146" i="5" s="1"/>
  <c r="F111" i="5"/>
  <c r="I111" i="5" s="1"/>
  <c r="F167" i="5"/>
  <c r="I167" i="5" s="1"/>
  <c r="F84" i="5"/>
  <c r="I84" i="5" s="1"/>
  <c r="F174" i="5"/>
  <c r="I174" i="5" s="1"/>
  <c r="F126" i="5"/>
  <c r="I126" i="5" s="1"/>
  <c r="F171" i="5"/>
  <c r="I171" i="5" s="1"/>
  <c r="F255" i="5"/>
  <c r="I255" i="5" s="1"/>
  <c r="F61" i="5"/>
  <c r="I61" i="5" s="1"/>
  <c r="F412" i="5"/>
  <c r="I412" i="5" s="1"/>
  <c r="F370" i="5"/>
  <c r="I370" i="5" s="1"/>
  <c r="F442" i="5"/>
  <c r="I442" i="5" s="1"/>
  <c r="F447" i="5"/>
  <c r="I447" i="5" s="1"/>
  <c r="F108" i="5"/>
  <c r="I108" i="5" s="1"/>
  <c r="F116" i="5"/>
  <c r="I116" i="5" s="1"/>
  <c r="F617" i="5"/>
  <c r="I617" i="5" s="1"/>
  <c r="F666" i="5"/>
  <c r="I666" i="5" s="1"/>
  <c r="F598" i="5"/>
  <c r="I598" i="5" s="1"/>
  <c r="F226" i="5"/>
  <c r="I226" i="5" s="1"/>
  <c r="F276" i="5"/>
  <c r="I276" i="5" s="1"/>
  <c r="F382" i="5"/>
  <c r="I382" i="5" s="1"/>
  <c r="F337" i="5"/>
  <c r="I337" i="5" s="1"/>
  <c r="F515" i="5"/>
  <c r="I515" i="5" s="1"/>
  <c r="F494" i="5"/>
  <c r="I494" i="5" s="1"/>
  <c r="F498" i="5"/>
  <c r="I498" i="5" s="1"/>
  <c r="F332" i="5"/>
  <c r="I332" i="5" s="1"/>
  <c r="F290" i="5"/>
  <c r="I290" i="5" s="1"/>
  <c r="F294" i="5"/>
  <c r="I294" i="5" s="1"/>
  <c r="F445" i="5"/>
  <c r="I445" i="5" s="1"/>
  <c r="F415" i="5"/>
  <c r="I415" i="5" s="1"/>
  <c r="F482" i="5"/>
  <c r="I482" i="5" s="1"/>
  <c r="F334" i="5"/>
  <c r="I334" i="5" s="1"/>
  <c r="F416" i="5"/>
  <c r="I416" i="5" s="1"/>
  <c r="F347" i="5"/>
  <c r="I347" i="5" s="1"/>
  <c r="F410" i="5"/>
  <c r="I410" i="5" s="1"/>
  <c r="F421" i="5"/>
  <c r="I421" i="5" s="1"/>
  <c r="F502" i="5"/>
  <c r="I502" i="5" s="1"/>
  <c r="F321" i="5"/>
  <c r="I321" i="5" s="1"/>
  <c r="F371" i="5"/>
  <c r="I371" i="5" s="1"/>
  <c r="F342" i="5"/>
  <c r="I342" i="5" s="1"/>
  <c r="F516" i="5"/>
  <c r="I516" i="5" s="1"/>
  <c r="F301" i="5"/>
  <c r="I301" i="5" s="1"/>
  <c r="F288" i="5"/>
  <c r="I288" i="5" s="1"/>
  <c r="F428" i="5"/>
  <c r="I428" i="5" s="1"/>
  <c r="F273" i="5"/>
  <c r="F14" i="5"/>
  <c r="I14" i="5" s="1"/>
  <c r="F152" i="5"/>
  <c r="I152" i="5" s="1"/>
  <c r="F197" i="5"/>
  <c r="I197" i="5" s="1"/>
  <c r="F105" i="5"/>
  <c r="I105" i="5" s="1"/>
  <c r="F258" i="5"/>
  <c r="I258" i="5" s="1"/>
  <c r="F233" i="5"/>
  <c r="I233" i="5" s="1"/>
  <c r="F249" i="5"/>
  <c r="I249" i="5" s="1"/>
  <c r="F150" i="5"/>
  <c r="I150" i="5" s="1"/>
  <c r="F243" i="5"/>
  <c r="I243" i="5" s="1"/>
  <c r="F159" i="5"/>
  <c r="I159" i="5" s="1"/>
  <c r="F48" i="5"/>
  <c r="I48" i="5" s="1"/>
  <c r="F205" i="5"/>
  <c r="I205" i="5" s="1"/>
  <c r="F97" i="5"/>
  <c r="I97" i="5" s="1"/>
  <c r="F30" i="5"/>
  <c r="I30" i="5" s="1"/>
  <c r="F199" i="5"/>
  <c r="I199" i="5" s="1"/>
  <c r="F165" i="5"/>
  <c r="I165" i="5" s="1"/>
  <c r="F39" i="5"/>
  <c r="I39" i="5" s="1"/>
  <c r="F64" i="5"/>
  <c r="I64" i="5" s="1"/>
  <c r="F240" i="5"/>
  <c r="I240" i="5" s="1"/>
  <c r="F100" i="5"/>
  <c r="I100" i="5" s="1"/>
  <c r="F57" i="5"/>
  <c r="I57" i="5" s="1"/>
  <c r="F15" i="5"/>
  <c r="I15" i="5" s="1"/>
  <c r="F235" i="5"/>
  <c r="I235" i="5" s="1"/>
  <c r="F713" i="5"/>
  <c r="I713" i="5" s="1"/>
  <c r="F309" i="5"/>
  <c r="I309" i="5" s="1"/>
  <c r="F522" i="5"/>
  <c r="I522" i="5" s="1"/>
  <c r="F480" i="5"/>
  <c r="I480" i="5" s="1"/>
  <c r="F303" i="5"/>
  <c r="I303" i="5" s="1"/>
  <c r="F333" i="5"/>
  <c r="I333" i="5" s="1"/>
  <c r="F70" i="5"/>
  <c r="I70" i="5" s="1"/>
  <c r="F406" i="5"/>
  <c r="I406" i="5" s="1"/>
  <c r="F326" i="5"/>
  <c r="I326" i="5" s="1"/>
  <c r="F217" i="5"/>
  <c r="I217" i="5" s="1"/>
  <c r="F163" i="5"/>
  <c r="I163" i="5" s="1"/>
  <c r="G530" i="5"/>
  <c r="J530" i="5" s="1"/>
  <c r="G784" i="5"/>
  <c r="J784" i="5" s="1"/>
  <c r="G755" i="5"/>
  <c r="J755" i="5" s="1"/>
  <c r="F684" i="5"/>
  <c r="I684" i="5" s="1"/>
  <c r="F16" i="5"/>
  <c r="I16" i="5" s="1"/>
  <c r="F204" i="5"/>
  <c r="I204" i="5" s="1"/>
  <c r="F324" i="5"/>
  <c r="I324" i="5" s="1"/>
  <c r="F619" i="5"/>
  <c r="I619" i="5" s="1"/>
  <c r="F762" i="5"/>
  <c r="I762" i="5" s="1"/>
  <c r="F745" i="5"/>
  <c r="I745" i="5" s="1"/>
  <c r="F755" i="5"/>
  <c r="I755" i="5" s="1"/>
  <c r="F592" i="5"/>
  <c r="I592" i="5" s="1"/>
  <c r="F768" i="5"/>
  <c r="I768" i="5" s="1"/>
  <c r="F552" i="5"/>
  <c r="I552" i="5" s="1"/>
  <c r="F564" i="5"/>
  <c r="I564" i="5" s="1"/>
  <c r="F663" i="5"/>
  <c r="I663" i="5" s="1"/>
  <c r="F472" i="5"/>
  <c r="I472" i="5" s="1"/>
  <c r="F595" i="5"/>
  <c r="I595" i="5" s="1"/>
  <c r="F613" i="5"/>
  <c r="I613" i="5" s="1"/>
  <c r="F335" i="5"/>
  <c r="I335" i="5" s="1"/>
  <c r="F610" i="5"/>
  <c r="I610" i="5" s="1"/>
  <c r="F573" i="5"/>
  <c r="I573" i="5" s="1"/>
  <c r="F623" i="5"/>
  <c r="I623" i="5" s="1"/>
  <c r="F746" i="5"/>
  <c r="I746" i="5" s="1"/>
  <c r="F509" i="5"/>
  <c r="I509" i="5" s="1"/>
  <c r="F643" i="5"/>
  <c r="I643" i="5" s="1"/>
  <c r="F725" i="5"/>
  <c r="I725" i="5" s="1"/>
  <c r="F750" i="5"/>
  <c r="I750" i="5" s="1"/>
  <c r="F723" i="5"/>
  <c r="I723" i="5" s="1"/>
  <c r="F668" i="5"/>
  <c r="I668" i="5" s="1"/>
  <c r="F712" i="5"/>
  <c r="I712" i="5" s="1"/>
  <c r="F705" i="5"/>
  <c r="I705" i="5" s="1"/>
  <c r="F682" i="5"/>
  <c r="I682" i="5" s="1"/>
  <c r="F127" i="5"/>
  <c r="I127" i="5" s="1"/>
  <c r="F756" i="5"/>
  <c r="I756" i="5" s="1"/>
  <c r="F144" i="5"/>
  <c r="I144" i="5" s="1"/>
  <c r="F433" i="5"/>
  <c r="I433" i="5" s="1"/>
  <c r="F639" i="5"/>
  <c r="I639" i="5" s="1"/>
  <c r="F103" i="5"/>
  <c r="I103" i="5" s="1"/>
  <c r="F777" i="5"/>
  <c r="I777" i="5" s="1"/>
  <c r="F182" i="5"/>
  <c r="I182" i="5" s="1"/>
  <c r="G785" i="5"/>
  <c r="J785" i="5" s="1"/>
  <c r="F208" i="5"/>
  <c r="I208" i="5" s="1"/>
  <c r="F392" i="5"/>
  <c r="I392" i="5" s="1"/>
  <c r="F651" i="5"/>
  <c r="I651" i="5" s="1"/>
  <c r="F704" i="5"/>
  <c r="I704" i="5" s="1"/>
  <c r="F602" i="5"/>
  <c r="I602" i="5" s="1"/>
  <c r="F626" i="5"/>
  <c r="I626" i="5" s="1"/>
  <c r="F589" i="5"/>
  <c r="I589" i="5" s="1"/>
  <c r="F591" i="5"/>
  <c r="I591" i="5" s="1"/>
  <c r="F601" i="5"/>
  <c r="I601" i="5" s="1"/>
  <c r="F612" i="5"/>
  <c r="I612" i="5" s="1"/>
  <c r="F727" i="5"/>
  <c r="I727" i="5" s="1"/>
  <c r="F411" i="5"/>
  <c r="I411" i="5" s="1"/>
  <c r="F635" i="5"/>
  <c r="I635" i="5" s="1"/>
  <c r="F749" i="5"/>
  <c r="I749" i="5" s="1"/>
  <c r="F338" i="5"/>
  <c r="I338" i="5" s="1"/>
  <c r="F600" i="5"/>
  <c r="I600" i="5" s="1"/>
  <c r="F653" i="5"/>
  <c r="I653" i="5" s="1"/>
  <c r="F647" i="5"/>
  <c r="I647" i="5" s="1"/>
  <c r="F731" i="5"/>
  <c r="I731" i="5" s="1"/>
  <c r="F665" i="5"/>
  <c r="I665" i="5" s="1"/>
  <c r="F629" i="5"/>
  <c r="I629" i="5" s="1"/>
  <c r="F757" i="5"/>
  <c r="I757" i="5" s="1"/>
  <c r="F176" i="5"/>
  <c r="I176" i="5" s="1"/>
  <c r="F640" i="5"/>
  <c r="I640" i="5" s="1"/>
  <c r="F674" i="5"/>
  <c r="I674" i="5" s="1"/>
  <c r="F607" i="5"/>
  <c r="I607" i="5" s="1"/>
  <c r="F753" i="5"/>
  <c r="I753" i="5" s="1"/>
  <c r="F574" i="5"/>
  <c r="I574" i="5" s="1"/>
  <c r="F19" i="5"/>
  <c r="I19" i="5" s="1"/>
  <c r="F699" i="5"/>
  <c r="I699" i="5" s="1"/>
  <c r="F118" i="5"/>
  <c r="I118" i="5" s="1"/>
  <c r="F558" i="5"/>
  <c r="I558" i="5" s="1"/>
  <c r="F400" i="5"/>
  <c r="I400" i="5" s="1"/>
  <c r="F664" i="5"/>
  <c r="I664" i="5" s="1"/>
  <c r="F114" i="5"/>
  <c r="I114" i="5" s="1"/>
  <c r="F59" i="5"/>
  <c r="I59" i="5" s="1"/>
  <c r="F565" i="5"/>
  <c r="I565" i="5" s="1"/>
  <c r="F212" i="5"/>
  <c r="I212" i="5" s="1"/>
  <c r="F741" i="5"/>
  <c r="I741" i="5" s="1"/>
  <c r="F292" i="5"/>
  <c r="I292" i="5" s="1"/>
  <c r="F694" i="5"/>
  <c r="I694" i="5" s="1"/>
  <c r="F634" i="5"/>
  <c r="I634" i="5" s="1"/>
  <c r="F698" i="5"/>
  <c r="I698" i="5" s="1"/>
  <c r="F672" i="5"/>
  <c r="I672" i="5" s="1"/>
  <c r="F637" i="5"/>
  <c r="I637" i="5" s="1"/>
  <c r="F679" i="5"/>
  <c r="I679" i="5" s="1"/>
  <c r="F624" i="5"/>
  <c r="I624" i="5" s="1"/>
  <c r="F652" i="5"/>
  <c r="I652" i="5" s="1"/>
  <c r="F576" i="5"/>
  <c r="I576" i="5" s="1"/>
  <c r="F476" i="5"/>
  <c r="I476" i="5" s="1"/>
  <c r="F667" i="5"/>
  <c r="I667" i="5" s="1"/>
  <c r="F599" i="5"/>
  <c r="I599" i="5" s="1"/>
  <c r="F327" i="5"/>
  <c r="I327" i="5" s="1"/>
  <c r="F710" i="5"/>
  <c r="I710" i="5" s="1"/>
  <c r="F685" i="5"/>
  <c r="I685" i="5" s="1"/>
  <c r="F711" i="5"/>
  <c r="I711" i="5" s="1"/>
  <c r="F734" i="5"/>
  <c r="I734" i="5" s="1"/>
  <c r="F577" i="5"/>
  <c r="I577" i="5" s="1"/>
  <c r="F628" i="5"/>
  <c r="I628" i="5" s="1"/>
  <c r="F590" i="5"/>
  <c r="I590" i="5" s="1"/>
  <c r="F147" i="5"/>
  <c r="I147" i="5" s="1"/>
  <c r="F742" i="5"/>
  <c r="I742" i="5" s="1"/>
  <c r="F581" i="5"/>
  <c r="I581" i="5" s="1"/>
  <c r="F695" i="5"/>
  <c r="I695" i="5" s="1"/>
  <c r="F641" i="5"/>
  <c r="I641" i="5" s="1"/>
  <c r="F721" i="5"/>
  <c r="I721" i="5" s="1"/>
  <c r="F706" i="5"/>
  <c r="I706" i="5" s="1"/>
  <c r="F178" i="5"/>
  <c r="I178" i="5" s="1"/>
  <c r="F585" i="5"/>
  <c r="I585" i="5" s="1"/>
  <c r="F228" i="5"/>
  <c r="I228" i="5" s="1"/>
  <c r="F760" i="5"/>
  <c r="I760" i="5" s="1"/>
  <c r="F78" i="5"/>
  <c r="I78" i="5" s="1"/>
  <c r="F117" i="5"/>
  <c r="I117" i="5" s="1"/>
  <c r="F71" i="5"/>
  <c r="I71" i="5" s="1"/>
  <c r="F625" i="5"/>
  <c r="I625" i="5" s="1"/>
  <c r="F35" i="5"/>
  <c r="I35" i="5" s="1"/>
  <c r="F739" i="5"/>
  <c r="I739" i="5" s="1"/>
  <c r="F535" i="5"/>
  <c r="I535" i="5" s="1"/>
  <c r="F567" i="5"/>
  <c r="I567" i="5" s="1"/>
  <c r="F778" i="5"/>
  <c r="I778" i="5" s="1"/>
  <c r="F774" i="5"/>
  <c r="I774" i="5" s="1"/>
  <c r="F669" i="5"/>
  <c r="I669" i="5" s="1"/>
  <c r="F743" i="5"/>
  <c r="I743" i="5" s="1"/>
  <c r="F553" i="5"/>
  <c r="I553" i="5" s="1"/>
  <c r="F724" i="5"/>
  <c r="I724" i="5" s="1"/>
  <c r="F728" i="5"/>
  <c r="I728" i="5" s="1"/>
  <c r="F620" i="5"/>
  <c r="I620" i="5" s="1"/>
  <c r="F555" i="5"/>
  <c r="I555" i="5" s="1"/>
  <c r="F687" i="5"/>
  <c r="I687" i="5" s="1"/>
  <c r="F491" i="5"/>
  <c r="I491" i="5" s="1"/>
  <c r="F554" i="5"/>
  <c r="I554" i="5" s="1"/>
  <c r="F717" i="5"/>
  <c r="I717" i="5" s="1"/>
  <c r="F775" i="5"/>
  <c r="I775" i="5" s="1"/>
  <c r="F356" i="5"/>
  <c r="I356" i="5" s="1"/>
  <c r="F707" i="5"/>
  <c r="I707" i="5" s="1"/>
  <c r="F740" i="5"/>
  <c r="I740" i="5" s="1"/>
  <c r="F583" i="5"/>
  <c r="I583" i="5" s="1"/>
  <c r="F215" i="5"/>
  <c r="I215" i="5" s="1"/>
  <c r="F683" i="5"/>
  <c r="I683" i="5" s="1"/>
  <c r="F661" i="5"/>
  <c r="I661" i="5" s="1"/>
  <c r="F759" i="5"/>
  <c r="I759" i="5" s="1"/>
  <c r="F737" i="5"/>
  <c r="I737" i="5" s="1"/>
  <c r="F593" i="5"/>
  <c r="I593" i="5" s="1"/>
  <c r="F467" i="5"/>
  <c r="I467" i="5" s="1"/>
  <c r="F58" i="5"/>
  <c r="I58" i="5" s="1"/>
  <c r="F596" i="5"/>
  <c r="I596" i="5" s="1"/>
  <c r="F162" i="5"/>
  <c r="I162" i="5" s="1"/>
  <c r="F123" i="5"/>
  <c r="I123" i="5" s="1"/>
  <c r="F336" i="5"/>
  <c r="I336" i="5" s="1"/>
  <c r="F98" i="5"/>
  <c r="I98" i="5" s="1"/>
  <c r="F55" i="5"/>
  <c r="I55" i="5" s="1"/>
  <c r="F594" i="5"/>
  <c r="I594" i="5" s="1"/>
  <c r="F586" i="5"/>
  <c r="I586" i="5" s="1"/>
  <c r="F676" i="5"/>
  <c r="I676" i="5" s="1"/>
  <c r="F655" i="5"/>
  <c r="I655" i="5" s="1"/>
  <c r="F779" i="5"/>
  <c r="I779" i="5" s="1"/>
  <c r="F571" i="5"/>
  <c r="I571" i="5" s="1"/>
  <c r="F733" i="5"/>
  <c r="I733" i="5" s="1"/>
  <c r="F696" i="5"/>
  <c r="I696" i="5" s="1"/>
  <c r="F531" i="5"/>
  <c r="I531" i="5" s="1"/>
  <c r="F645" i="5"/>
  <c r="I645" i="5" s="1"/>
  <c r="F633" i="5"/>
  <c r="I633" i="5" s="1"/>
  <c r="F785" i="5"/>
  <c r="I785" i="5" s="1"/>
  <c r="F572" i="5"/>
  <c r="I572" i="5" s="1"/>
  <c r="F650" i="5"/>
  <c r="I650" i="5" s="1"/>
  <c r="F500" i="5"/>
  <c r="I500" i="5" s="1"/>
  <c r="F675" i="5"/>
  <c r="I675" i="5" s="1"/>
  <c r="F530" i="5"/>
  <c r="I530" i="5" s="1"/>
  <c r="F608" i="5"/>
  <c r="I608" i="5" s="1"/>
  <c r="F477" i="5"/>
  <c r="I477" i="5" s="1"/>
  <c r="F562" i="5"/>
  <c r="I562" i="5" s="1"/>
  <c r="F772" i="5"/>
  <c r="I772" i="5" s="1"/>
  <c r="F671" i="5"/>
  <c r="I671" i="5" s="1"/>
  <c r="F422" i="5"/>
  <c r="I422" i="5" s="1"/>
  <c r="F688" i="5"/>
  <c r="I688" i="5" s="1"/>
  <c r="F693" i="5"/>
  <c r="I693" i="5" s="1"/>
  <c r="F656" i="5"/>
  <c r="I656" i="5" s="1"/>
  <c r="F569" i="5"/>
  <c r="I569" i="5" s="1"/>
  <c r="F508" i="5"/>
  <c r="I508" i="5" s="1"/>
  <c r="F448" i="5"/>
  <c r="I448" i="5" s="1"/>
  <c r="F587" i="5"/>
  <c r="I587" i="5" s="1"/>
  <c r="F315" i="5"/>
  <c r="I315" i="5" s="1"/>
  <c r="F42" i="5"/>
  <c r="I42" i="5" s="1"/>
  <c r="F716" i="5"/>
  <c r="I716" i="5" s="1"/>
  <c r="F154" i="5"/>
  <c r="I154" i="5" s="1"/>
  <c r="F99" i="5"/>
  <c r="I99" i="5" s="1"/>
  <c r="F533" i="5"/>
  <c r="I533" i="5" s="1"/>
  <c r="F638" i="5"/>
  <c r="I638" i="5" s="1"/>
  <c r="F460" i="5"/>
  <c r="I460" i="5" s="1"/>
  <c r="F53" i="5"/>
  <c r="I53" i="5" s="1"/>
  <c r="F771" i="5"/>
  <c r="I771" i="5" s="1"/>
  <c r="F90" i="5"/>
  <c r="I90" i="5" s="1"/>
  <c r="F597" i="5"/>
  <c r="I597" i="5" s="1"/>
  <c r="F784" i="5"/>
  <c r="I784" i="5" s="1"/>
  <c r="F708" i="5"/>
  <c r="I708" i="5" s="1"/>
  <c r="F719" i="5"/>
  <c r="I719" i="5" s="1"/>
  <c r="F722" i="5"/>
  <c r="I722" i="5" s="1"/>
  <c r="F691" i="5"/>
  <c r="I691" i="5" s="1"/>
  <c r="F773" i="5"/>
  <c r="I773" i="5" s="1"/>
  <c r="F689" i="5"/>
  <c r="I689" i="5" s="1"/>
  <c r="F720" i="5"/>
  <c r="I720" i="5" s="1"/>
  <c r="F677" i="5"/>
  <c r="I677" i="5" s="1"/>
  <c r="F730" i="5"/>
  <c r="I730" i="5" s="1"/>
  <c r="F646" i="5"/>
  <c r="I646" i="5" s="1"/>
  <c r="F692" i="5"/>
  <c r="I692" i="5" s="1"/>
  <c r="F738" i="5"/>
  <c r="I738" i="5" s="1"/>
  <c r="F642" i="5"/>
  <c r="I642" i="5" s="1"/>
  <c r="F632" i="5"/>
  <c r="I632" i="5" s="1"/>
  <c r="F566" i="5"/>
  <c r="I566" i="5" s="1"/>
  <c r="H22" i="7" s="1"/>
  <c r="F776" i="5"/>
  <c r="I776" i="5" s="1"/>
  <c r="F358" i="5"/>
  <c r="I358" i="5" s="1"/>
  <c r="F618" i="5"/>
  <c r="I618" i="5" s="1"/>
  <c r="F736" i="5"/>
  <c r="I736" i="5" s="1"/>
  <c r="F735" i="5"/>
  <c r="I735" i="5" s="1"/>
  <c r="F514" i="5"/>
  <c r="I514" i="5" s="1"/>
  <c r="F673" i="5"/>
  <c r="I673" i="5" s="1"/>
  <c r="F765" i="5"/>
  <c r="I765" i="5" s="1"/>
  <c r="F690" i="5"/>
  <c r="I690" i="5" s="1"/>
  <c r="F769" i="5"/>
  <c r="I769" i="5" s="1"/>
  <c r="F376" i="5"/>
  <c r="I376" i="5" s="1"/>
  <c r="F703" i="5"/>
  <c r="I703" i="5" s="1"/>
  <c r="F497" i="5"/>
  <c r="I497" i="5" s="1"/>
  <c r="F714" i="5"/>
  <c r="I714" i="5" s="1"/>
  <c r="F551" i="5"/>
  <c r="I551" i="5" s="1"/>
  <c r="F18" i="5"/>
  <c r="I18" i="5" s="1"/>
  <c r="F135" i="5"/>
  <c r="I135" i="5" s="1"/>
  <c r="F149" i="5"/>
  <c r="I149" i="5" s="1"/>
  <c r="F616" i="5"/>
  <c r="I616" i="5" s="1"/>
  <c r="F697" i="5"/>
  <c r="I697" i="5" s="1"/>
  <c r="F340" i="5"/>
  <c r="I340" i="5" s="1"/>
  <c r="F27" i="5"/>
  <c r="I27" i="5" s="1"/>
  <c r="F770" i="5"/>
  <c r="I770" i="5" s="1"/>
  <c r="F140" i="5"/>
  <c r="I140" i="5" s="1"/>
  <c r="F758" i="5"/>
  <c r="I758" i="5" s="1"/>
  <c r="F748" i="5"/>
  <c r="I748" i="5" s="1"/>
  <c r="F783" i="5"/>
  <c r="I783" i="5" s="1"/>
  <c r="F532" i="5"/>
  <c r="I532" i="5" s="1"/>
  <c r="F744" i="5"/>
  <c r="I744" i="5" s="1"/>
  <c r="F678" i="5"/>
  <c r="I678" i="5" s="1"/>
  <c r="F761" i="5"/>
  <c r="I761" i="5" s="1"/>
  <c r="F627" i="5"/>
  <c r="I627" i="5" s="1"/>
  <c r="F709" i="5"/>
  <c r="I709" i="5" s="1"/>
  <c r="F715" i="5"/>
  <c r="I715" i="5" s="1"/>
  <c r="F670" i="5"/>
  <c r="I670" i="5" s="1"/>
  <c r="F680" i="5"/>
  <c r="I680" i="5" s="1"/>
  <c r="F718" i="5"/>
  <c r="I718" i="5" s="1"/>
  <c r="F609" i="5"/>
  <c r="I609" i="5" s="1"/>
  <c r="F732" i="5"/>
  <c r="I732" i="5" s="1"/>
  <c r="F588" i="5"/>
  <c r="I588" i="5" s="1"/>
  <c r="F657" i="5"/>
  <c r="I657" i="5" s="1"/>
  <c r="F391" i="5"/>
  <c r="I391" i="5" s="1"/>
  <c r="F726" i="5"/>
  <c r="I726" i="5" s="1"/>
  <c r="F654" i="5"/>
  <c r="I654" i="5" s="1"/>
  <c r="F729" i="5"/>
  <c r="I729" i="5" s="1"/>
  <c r="F686" i="5"/>
  <c r="I686" i="5" s="1"/>
  <c r="F580" i="5"/>
  <c r="I580" i="5" s="1"/>
  <c r="F611" i="5"/>
  <c r="I611" i="5" s="1"/>
  <c r="F747" i="5"/>
  <c r="I747" i="5" s="1"/>
  <c r="F662" i="5"/>
  <c r="I662" i="5" s="1"/>
  <c r="F615" i="5"/>
  <c r="I615" i="5" s="1"/>
  <c r="F239" i="5"/>
  <c r="I239" i="5" s="1"/>
  <c r="F582" i="5"/>
  <c r="I582" i="5" s="1"/>
  <c r="F510" i="5"/>
  <c r="I510" i="5" s="1"/>
  <c r="F767" i="5"/>
  <c r="I767" i="5" s="1"/>
  <c r="F130" i="5"/>
  <c r="I130" i="5" s="1"/>
  <c r="F112" i="5"/>
  <c r="I112" i="5" s="1"/>
  <c r="I21" i="7"/>
  <c r="G20" i="7"/>
  <c r="I22" i="7"/>
  <c r="I20" i="7"/>
  <c r="G277" i="4"/>
  <c r="G17" i="7"/>
  <c r="G19" i="7"/>
  <c r="J531" i="4"/>
  <c r="J273" i="4"/>
  <c r="G654" i="4"/>
  <c r="G565" i="4"/>
  <c r="H273" i="4"/>
  <c r="G18" i="7" s="1"/>
  <c r="I18" i="7"/>
  <c r="I19" i="7"/>
  <c r="I17" i="7"/>
  <c r="H5" i="4"/>
  <c r="F363" i="4" s="1"/>
  <c r="I363" i="4" s="1"/>
  <c r="G231" i="3"/>
  <c r="J231" i="3" s="1"/>
  <c r="G657" i="3"/>
  <c r="G560" i="3"/>
  <c r="J560" i="3" s="1"/>
  <c r="G14" i="7"/>
  <c r="G561" i="3"/>
  <c r="J561" i="3" s="1"/>
  <c r="G16" i="7"/>
  <c r="J21" i="7"/>
  <c r="I14" i="7"/>
  <c r="H5" i="3"/>
  <c r="F352" i="3" s="1"/>
  <c r="I352" i="3" s="1"/>
  <c r="G13" i="3"/>
  <c r="J13" i="3" s="1"/>
  <c r="I16" i="7"/>
  <c r="J273" i="3"/>
  <c r="H273" i="3"/>
  <c r="G15" i="7" s="1"/>
  <c r="I15" i="7"/>
  <c r="H273" i="5"/>
  <c r="G21" i="7" s="1"/>
  <c r="J273" i="5"/>
  <c r="I11" i="5"/>
  <c r="H529" i="5"/>
  <c r="G22" i="7" s="1"/>
  <c r="B7" i="5"/>
  <c r="I273" i="5"/>
  <c r="G551" i="5"/>
  <c r="G651" i="5"/>
  <c r="G633" i="5"/>
  <c r="G704" i="5"/>
  <c r="G608" i="5"/>
  <c r="G662" i="5"/>
  <c r="G559" i="5"/>
  <c r="J559" i="5" s="1"/>
  <c r="G766" i="5"/>
  <c r="G531" i="5"/>
  <c r="G563" i="5"/>
  <c r="G12" i="5"/>
  <c r="J12" i="5" s="1"/>
  <c r="G277" i="5"/>
  <c r="G492" i="5"/>
  <c r="G285" i="5"/>
  <c r="G244" i="5"/>
  <c r="G186" i="5"/>
  <c r="J186" i="5" s="1"/>
  <c r="G233" i="5"/>
  <c r="J233" i="5" s="1"/>
  <c r="G303" i="5"/>
  <c r="G521" i="5"/>
  <c r="G131" i="5"/>
  <c r="G25" i="5"/>
  <c r="J634" i="4"/>
  <c r="G635" i="4"/>
  <c r="J532" i="4"/>
  <c r="G533" i="4"/>
  <c r="J552" i="4"/>
  <c r="G553" i="4"/>
  <c r="J558" i="4"/>
  <c r="G559" i="4"/>
  <c r="J186" i="4"/>
  <c r="G187" i="4"/>
  <c r="J756" i="4"/>
  <c r="G757" i="4"/>
  <c r="J608" i="4"/>
  <c r="G609" i="4"/>
  <c r="J285" i="4"/>
  <c r="G286" i="4"/>
  <c r="J12" i="4"/>
  <c r="G13" i="4"/>
  <c r="J24" i="4"/>
  <c r="G25" i="4"/>
  <c r="J663" i="4"/>
  <c r="G664" i="4"/>
  <c r="J706" i="4"/>
  <c r="G707" i="4"/>
  <c r="J768" i="4"/>
  <c r="G769" i="4"/>
  <c r="J304" i="4"/>
  <c r="G305" i="4"/>
  <c r="J284" i="3"/>
  <c r="G285" i="3"/>
  <c r="G14" i="3"/>
  <c r="J627" i="3"/>
  <c r="G628" i="3"/>
  <c r="J657" i="3"/>
  <c r="G658" i="3"/>
  <c r="J645" i="3"/>
  <c r="G646" i="3"/>
  <c r="J260" i="3"/>
  <c r="G261" i="3"/>
  <c r="J261" i="3" s="1"/>
  <c r="G232" i="3"/>
  <c r="G489" i="3"/>
  <c r="G280" i="3"/>
  <c r="G760" i="3"/>
  <c r="J777" i="3"/>
  <c r="G778" i="3"/>
  <c r="J517" i="3"/>
  <c r="G518" i="3"/>
  <c r="J526" i="3"/>
  <c r="G527" i="3"/>
  <c r="J697" i="3"/>
  <c r="G698" i="3"/>
  <c r="G242" i="3"/>
  <c r="G552" i="3"/>
  <c r="G562" i="3"/>
  <c r="J747" i="3"/>
  <c r="G748" i="3"/>
  <c r="H20" i="7" l="1"/>
  <c r="G756" i="5"/>
  <c r="J22" i="7"/>
  <c r="H21" i="7"/>
  <c r="J20" i="7"/>
  <c r="G278" i="4"/>
  <c r="J277" i="4"/>
  <c r="F13" i="4"/>
  <c r="I13" i="4" s="1"/>
  <c r="F413" i="4"/>
  <c r="I413" i="4" s="1"/>
  <c r="F209" i="4"/>
  <c r="I209" i="4" s="1"/>
  <c r="F203" i="4"/>
  <c r="I203" i="4" s="1"/>
  <c r="F168" i="4"/>
  <c r="I168" i="4" s="1"/>
  <c r="F172" i="4"/>
  <c r="I172" i="4" s="1"/>
  <c r="F547" i="4"/>
  <c r="I547" i="4" s="1"/>
  <c r="F761" i="4"/>
  <c r="I761" i="4" s="1"/>
  <c r="F600" i="4"/>
  <c r="I600" i="4" s="1"/>
  <c r="F243" i="4"/>
  <c r="I243" i="4" s="1"/>
  <c r="F202" i="4"/>
  <c r="I202" i="4" s="1"/>
  <c r="F332" i="4"/>
  <c r="I332" i="4" s="1"/>
  <c r="F107" i="4"/>
  <c r="I107" i="4" s="1"/>
  <c r="F81" i="4"/>
  <c r="I81" i="4" s="1"/>
  <c r="F108" i="4"/>
  <c r="I108" i="4" s="1"/>
  <c r="F407" i="4"/>
  <c r="I407" i="4" s="1"/>
  <c r="F44" i="4"/>
  <c r="I44" i="4" s="1"/>
  <c r="F566" i="4"/>
  <c r="I566" i="4" s="1"/>
  <c r="F485" i="4"/>
  <c r="I485" i="4" s="1"/>
  <c r="F408" i="4"/>
  <c r="I408" i="4" s="1"/>
  <c r="F161" i="4"/>
  <c r="I161" i="4" s="1"/>
  <c r="F96" i="4"/>
  <c r="I96" i="4" s="1"/>
  <c r="F327" i="4"/>
  <c r="I327" i="4" s="1"/>
  <c r="F128" i="4"/>
  <c r="I128" i="4" s="1"/>
  <c r="F492" i="4"/>
  <c r="I492" i="4" s="1"/>
  <c r="F404" i="4"/>
  <c r="I404" i="4" s="1"/>
  <c r="F178" i="4"/>
  <c r="I178" i="4" s="1"/>
  <c r="F524" i="4"/>
  <c r="I524" i="4" s="1"/>
  <c r="F394" i="4"/>
  <c r="I394" i="4" s="1"/>
  <c r="F591" i="4"/>
  <c r="I591" i="4" s="1"/>
  <c r="F706" i="4"/>
  <c r="I706" i="4" s="1"/>
  <c r="F138" i="4"/>
  <c r="I138" i="4" s="1"/>
  <c r="F729" i="4"/>
  <c r="I729" i="4" s="1"/>
  <c r="F326" i="4"/>
  <c r="I326" i="4" s="1"/>
  <c r="F409" i="4"/>
  <c r="I409" i="4" s="1"/>
  <c r="F94" i="4"/>
  <c r="I94" i="4" s="1"/>
  <c r="F375" i="4"/>
  <c r="I375" i="4" s="1"/>
  <c r="F428" i="4"/>
  <c r="I428" i="4" s="1"/>
  <c r="F114" i="4"/>
  <c r="I114" i="4" s="1"/>
  <c r="F242" i="4"/>
  <c r="I242" i="4" s="1"/>
  <c r="F215" i="4"/>
  <c r="I215" i="4" s="1"/>
  <c r="F482" i="4"/>
  <c r="I482" i="4" s="1"/>
  <c r="F218" i="4"/>
  <c r="I218" i="4" s="1"/>
  <c r="F63" i="4"/>
  <c r="I63" i="4" s="1"/>
  <c r="F226" i="4"/>
  <c r="I226" i="4" s="1"/>
  <c r="F373" i="4"/>
  <c r="I373" i="4" s="1"/>
  <c r="F329" i="4"/>
  <c r="I329" i="4" s="1"/>
  <c r="F334" i="4"/>
  <c r="I334" i="4" s="1"/>
  <c r="F127" i="4"/>
  <c r="I127" i="4" s="1"/>
  <c r="F472" i="4"/>
  <c r="I472" i="4" s="1"/>
  <c r="F129" i="4"/>
  <c r="I129" i="4" s="1"/>
  <c r="F448" i="4"/>
  <c r="I448" i="4" s="1"/>
  <c r="F69" i="4"/>
  <c r="I69" i="4" s="1"/>
  <c r="F39" i="4"/>
  <c r="I39" i="4" s="1"/>
  <c r="F29" i="4"/>
  <c r="I29" i="4" s="1"/>
  <c r="F504" i="4"/>
  <c r="I504" i="4" s="1"/>
  <c r="F206" i="4"/>
  <c r="I206" i="4" s="1"/>
  <c r="F187" i="4"/>
  <c r="I187" i="4" s="1"/>
  <c r="F106" i="4"/>
  <c r="I106" i="4" s="1"/>
  <c r="F750" i="4"/>
  <c r="I750" i="4" s="1"/>
  <c r="F579" i="4"/>
  <c r="I579" i="4" s="1"/>
  <c r="F420" i="4"/>
  <c r="I420" i="4" s="1"/>
  <c r="F248" i="4"/>
  <c r="I248" i="4" s="1"/>
  <c r="F49" i="4"/>
  <c r="I49" i="4" s="1"/>
  <c r="F587" i="4"/>
  <c r="I587" i="4" s="1"/>
  <c r="F511" i="4"/>
  <c r="I511" i="4" s="1"/>
  <c r="F41" i="4"/>
  <c r="I41" i="4" s="1"/>
  <c r="F568" i="4"/>
  <c r="I568" i="4" s="1"/>
  <c r="F120" i="4"/>
  <c r="I120" i="4" s="1"/>
  <c r="F780" i="4"/>
  <c r="I780" i="4" s="1"/>
  <c r="F690" i="4"/>
  <c r="I690" i="4" s="1"/>
  <c r="F685" i="4"/>
  <c r="I685" i="4" s="1"/>
  <c r="F581" i="4"/>
  <c r="I581" i="4" s="1"/>
  <c r="F757" i="4"/>
  <c r="I757" i="4" s="1"/>
  <c r="F745" i="4"/>
  <c r="I745" i="4" s="1"/>
  <c r="F201" i="4"/>
  <c r="I201" i="4" s="1"/>
  <c r="F284" i="4"/>
  <c r="I284" i="4" s="1"/>
  <c r="F246" i="4"/>
  <c r="I246" i="4" s="1"/>
  <c r="F344" i="4"/>
  <c r="I344" i="4" s="1"/>
  <c r="F235" i="4"/>
  <c r="I235" i="4" s="1"/>
  <c r="F336" i="4"/>
  <c r="I336" i="4" s="1"/>
  <c r="F28" i="4"/>
  <c r="I28" i="4" s="1"/>
  <c r="F560" i="4"/>
  <c r="I560" i="4" s="1"/>
  <c r="F683" i="4"/>
  <c r="I683" i="4" s="1"/>
  <c r="F517" i="4"/>
  <c r="I517" i="4" s="1"/>
  <c r="F708" i="4"/>
  <c r="I708" i="4" s="1"/>
  <c r="F139" i="4"/>
  <c r="I139" i="4" s="1"/>
  <c r="F310" i="4"/>
  <c r="I310" i="4" s="1"/>
  <c r="F87" i="4"/>
  <c r="I87" i="4" s="1"/>
  <c r="F89" i="4"/>
  <c r="I89" i="4" s="1"/>
  <c r="F32" i="4"/>
  <c r="I32" i="4" s="1"/>
  <c r="F360" i="4"/>
  <c r="I360" i="4" s="1"/>
  <c r="F163" i="4"/>
  <c r="I163" i="4" s="1"/>
  <c r="F679" i="4"/>
  <c r="I679" i="4" s="1"/>
  <c r="F60" i="4"/>
  <c r="I60" i="4" s="1"/>
  <c r="F410" i="4"/>
  <c r="I410" i="4" s="1"/>
  <c r="F115" i="4"/>
  <c r="I115" i="4" s="1"/>
  <c r="F118" i="4"/>
  <c r="I118" i="4" s="1"/>
  <c r="F335" i="4"/>
  <c r="I335" i="4" s="1"/>
  <c r="F392" i="4"/>
  <c r="I392" i="4" s="1"/>
  <c r="F664" i="4"/>
  <c r="I664" i="4" s="1"/>
  <c r="F602" i="4"/>
  <c r="I602" i="4" s="1"/>
  <c r="F478" i="4"/>
  <c r="I478" i="4" s="1"/>
  <c r="F588" i="4"/>
  <c r="I588" i="4" s="1"/>
  <c r="F100" i="4"/>
  <c r="I100" i="4" s="1"/>
  <c r="F384" i="4"/>
  <c r="I384" i="4" s="1"/>
  <c r="F82" i="4"/>
  <c r="I82" i="4" s="1"/>
  <c r="F254" i="4"/>
  <c r="I254" i="4" s="1"/>
  <c r="F27" i="4"/>
  <c r="I27" i="4" s="1"/>
  <c r="F164" i="4"/>
  <c r="I164" i="4" s="1"/>
  <c r="F432" i="4"/>
  <c r="I432" i="4" s="1"/>
  <c r="F137" i="4"/>
  <c r="I137" i="4" s="1"/>
  <c r="F471" i="4"/>
  <c r="I471" i="4" s="1"/>
  <c r="F470" i="4"/>
  <c r="I470" i="4" s="1"/>
  <c r="F97" i="4"/>
  <c r="I97" i="4" s="1"/>
  <c r="F57" i="4"/>
  <c r="I57" i="4" s="1"/>
  <c r="F759" i="4"/>
  <c r="I759" i="4" s="1"/>
  <c r="F583" i="4"/>
  <c r="I583" i="4" s="1"/>
  <c r="F740" i="4"/>
  <c r="I740" i="4" s="1"/>
  <c r="F424" i="4"/>
  <c r="I424" i="4" s="1"/>
  <c r="F177" i="4"/>
  <c r="I177" i="4" s="1"/>
  <c r="F711" i="4"/>
  <c r="I711" i="4" s="1"/>
  <c r="F709" i="4"/>
  <c r="I709" i="4" s="1"/>
  <c r="F298" i="4"/>
  <c r="I298" i="4" s="1"/>
  <c r="F592" i="4"/>
  <c r="I592" i="4" s="1"/>
  <c r="F738" i="4"/>
  <c r="I738" i="4" s="1"/>
  <c r="F294" i="4"/>
  <c r="I294" i="4" s="1"/>
  <c r="F452" i="4"/>
  <c r="I452" i="4" s="1"/>
  <c r="F525" i="4"/>
  <c r="I525" i="4" s="1"/>
  <c r="F746" i="4"/>
  <c r="I746" i="4" s="1"/>
  <c r="F323" i="4"/>
  <c r="I323" i="4" s="1"/>
  <c r="F341" i="4"/>
  <c r="I341" i="4" s="1"/>
  <c r="F559" i="4"/>
  <c r="I559" i="4" s="1"/>
  <c r="F693" i="4"/>
  <c r="I693" i="4" s="1"/>
  <c r="F717" i="4"/>
  <c r="I717" i="4" s="1"/>
  <c r="F225" i="4"/>
  <c r="I225" i="4" s="1"/>
  <c r="F374" i="4"/>
  <c r="I374" i="4" s="1"/>
  <c r="F406" i="4"/>
  <c r="I406" i="4" s="1"/>
  <c r="F91" i="4"/>
  <c r="I91" i="4" s="1"/>
  <c r="F400" i="4"/>
  <c r="I400" i="4" s="1"/>
  <c r="F554" i="4"/>
  <c r="I554" i="4" s="1"/>
  <c r="F637" i="4"/>
  <c r="I637" i="4" s="1"/>
  <c r="F159" i="4"/>
  <c r="I159" i="4" s="1"/>
  <c r="F318" i="4"/>
  <c r="I318" i="4" s="1"/>
  <c r="F356" i="4"/>
  <c r="I356" i="4" s="1"/>
  <c r="F752" i="4"/>
  <c r="I752" i="4" s="1"/>
  <c r="F382" i="4"/>
  <c r="I382" i="4" s="1"/>
  <c r="F640" i="4"/>
  <c r="I640" i="4" s="1"/>
  <c r="F93" i="4"/>
  <c r="I93" i="4" s="1"/>
  <c r="F222" i="4"/>
  <c r="I222" i="4" s="1"/>
  <c r="F437" i="4"/>
  <c r="I437" i="4" s="1"/>
  <c r="F349" i="4"/>
  <c r="I349" i="4" s="1"/>
  <c r="F513" i="4"/>
  <c r="I513" i="4" s="1"/>
  <c r="F743" i="4"/>
  <c r="I743" i="4" s="1"/>
  <c r="F121" i="4"/>
  <c r="I121" i="4" s="1"/>
  <c r="F198" i="4"/>
  <c r="I198" i="4" s="1"/>
  <c r="F299" i="4"/>
  <c r="I299" i="4" s="1"/>
  <c r="F105" i="4"/>
  <c r="I105" i="4" s="1"/>
  <c r="F684" i="4"/>
  <c r="I684" i="4" s="1"/>
  <c r="F531" i="4"/>
  <c r="F577" i="4"/>
  <c r="I577" i="4" s="1"/>
  <c r="F251" i="4"/>
  <c r="I251" i="4" s="1"/>
  <c r="F727" i="4"/>
  <c r="I727" i="4" s="1"/>
  <c r="F552" i="4"/>
  <c r="I552" i="4" s="1"/>
  <c r="F322" i="4"/>
  <c r="I322" i="4" s="1"/>
  <c r="F370" i="4"/>
  <c r="I370" i="4" s="1"/>
  <c r="F45" i="4"/>
  <c r="I45" i="4" s="1"/>
  <c r="F83" i="4"/>
  <c r="I83" i="4" s="1"/>
  <c r="F78" i="4"/>
  <c r="I78" i="4" s="1"/>
  <c r="F140" i="4"/>
  <c r="I140" i="4" s="1"/>
  <c r="F304" i="4"/>
  <c r="I304" i="4" s="1"/>
  <c r="F776" i="4"/>
  <c r="I776" i="4" s="1"/>
  <c r="F212" i="4"/>
  <c r="I212" i="4" s="1"/>
  <c r="F24" i="4"/>
  <c r="I24" i="4" s="1"/>
  <c r="F368" i="4"/>
  <c r="I368" i="4" s="1"/>
  <c r="F578" i="4"/>
  <c r="I578" i="4" s="1"/>
  <c r="F211" i="4"/>
  <c r="I211" i="4" s="1"/>
  <c r="F74" i="4"/>
  <c r="I74" i="4" s="1"/>
  <c r="F506" i="4"/>
  <c r="I506" i="4" s="1"/>
  <c r="F103" i="4"/>
  <c r="I103" i="4" s="1"/>
  <c r="F489" i="4"/>
  <c r="I489" i="4" s="1"/>
  <c r="F214" i="4"/>
  <c r="I214" i="4" s="1"/>
  <c r="F627" i="4"/>
  <c r="I627" i="4" s="1"/>
  <c r="F347" i="4"/>
  <c r="I347" i="4" s="1"/>
  <c r="F495" i="4"/>
  <c r="I495" i="4" s="1"/>
  <c r="F569" i="4"/>
  <c r="I569" i="4" s="1"/>
  <c r="F764" i="4"/>
  <c r="I764" i="4" s="1"/>
  <c r="F362" i="4"/>
  <c r="I362" i="4" s="1"/>
  <c r="F774" i="4"/>
  <c r="I774" i="4" s="1"/>
  <c r="F572" i="4"/>
  <c r="I572" i="4" s="1"/>
  <c r="F582" i="4"/>
  <c r="I582" i="4" s="1"/>
  <c r="F434" i="4"/>
  <c r="I434" i="4" s="1"/>
  <c r="F558" i="4"/>
  <c r="I558" i="4" s="1"/>
  <c r="F620" i="4"/>
  <c r="I620" i="4" s="1"/>
  <c r="F34" i="4"/>
  <c r="I34" i="4" s="1"/>
  <c r="F417" i="4"/>
  <c r="I417" i="4" s="1"/>
  <c r="F388" i="4"/>
  <c r="I388" i="4" s="1"/>
  <c r="F696" i="4"/>
  <c r="I696" i="4" s="1"/>
  <c r="F505" i="4"/>
  <c r="I505" i="4" s="1"/>
  <c r="F484" i="4"/>
  <c r="I484" i="4" s="1"/>
  <c r="F715" i="4"/>
  <c r="I715" i="4" s="1"/>
  <c r="F433" i="4"/>
  <c r="I433" i="4" s="1"/>
  <c r="F234" i="4"/>
  <c r="I234" i="4" s="1"/>
  <c r="F497" i="4"/>
  <c r="I497" i="4" s="1"/>
  <c r="F240" i="4"/>
  <c r="I240" i="4" s="1"/>
  <c r="F64" i="4"/>
  <c r="I64" i="4" s="1"/>
  <c r="F297" i="4"/>
  <c r="I297" i="4" s="1"/>
  <c r="F561" i="4"/>
  <c r="I561" i="4" s="1"/>
  <c r="F62" i="4"/>
  <c r="I62" i="4" s="1"/>
  <c r="F324" i="4"/>
  <c r="I324" i="4" s="1"/>
  <c r="F342" i="4"/>
  <c r="I342" i="4" s="1"/>
  <c r="F59" i="4"/>
  <c r="I59" i="4" s="1"/>
  <c r="F135" i="4"/>
  <c r="I135" i="4" s="1"/>
  <c r="F217" i="4"/>
  <c r="I217" i="4" s="1"/>
  <c r="F216" i="4"/>
  <c r="I216" i="4" s="1"/>
  <c r="F731" i="4"/>
  <c r="I731" i="4" s="1"/>
  <c r="F642" i="4"/>
  <c r="I642" i="4" s="1"/>
  <c r="F514" i="4"/>
  <c r="I514" i="4" s="1"/>
  <c r="F15" i="4"/>
  <c r="I15" i="4" s="1"/>
  <c r="F166" i="4"/>
  <c r="I166" i="4" s="1"/>
  <c r="F165" i="4"/>
  <c r="I165" i="4" s="1"/>
  <c r="F749" i="4"/>
  <c r="I749" i="4" s="1"/>
  <c r="F65" i="4"/>
  <c r="I65" i="4" s="1"/>
  <c r="F189" i="4"/>
  <c r="I189" i="4" s="1"/>
  <c r="F84" i="4"/>
  <c r="I84" i="4" s="1"/>
  <c r="F309" i="4"/>
  <c r="I309" i="4" s="1"/>
  <c r="F192" i="4"/>
  <c r="I192" i="4" s="1"/>
  <c r="F465" i="4"/>
  <c r="I465" i="4" s="1"/>
  <c r="F460" i="4"/>
  <c r="I460" i="4" s="1"/>
  <c r="F36" i="4"/>
  <c r="I36" i="4" s="1"/>
  <c r="F227" i="4"/>
  <c r="I227" i="4" s="1"/>
  <c r="F219" i="4"/>
  <c r="I219" i="4" s="1"/>
  <c r="F151" i="4"/>
  <c r="I151" i="4" s="1"/>
  <c r="F98" i="4"/>
  <c r="I98" i="4" s="1"/>
  <c r="F61" i="4"/>
  <c r="I61" i="4" s="1"/>
  <c r="F625" i="4"/>
  <c r="I625" i="4" s="1"/>
  <c r="F26" i="4"/>
  <c r="I26" i="4" s="1"/>
  <c r="F51" i="4"/>
  <c r="I51" i="4" s="1"/>
  <c r="F670" i="4"/>
  <c r="I670" i="4" s="1"/>
  <c r="F446" i="4"/>
  <c r="I446" i="4" s="1"/>
  <c r="F224" i="4"/>
  <c r="I224" i="4" s="1"/>
  <c r="F639" i="4"/>
  <c r="I639" i="4" s="1"/>
  <c r="F457" i="4"/>
  <c r="I457" i="4" s="1"/>
  <c r="F464" i="4"/>
  <c r="I464" i="4" s="1"/>
  <c r="F641" i="4"/>
  <c r="I641" i="4" s="1"/>
  <c r="F672" i="4"/>
  <c r="I672" i="4" s="1"/>
  <c r="F261" i="4"/>
  <c r="I261" i="4" s="1"/>
  <c r="F575" i="4"/>
  <c r="I575" i="4" s="1"/>
  <c r="F787" i="4"/>
  <c r="I787" i="4" s="1"/>
  <c r="F389" i="4"/>
  <c r="I389" i="4" s="1"/>
  <c r="F47" i="4"/>
  <c r="I47" i="4" s="1"/>
  <c r="F123" i="4"/>
  <c r="I123" i="4" s="1"/>
  <c r="F695" i="4"/>
  <c r="I695" i="4" s="1"/>
  <c r="F617" i="4"/>
  <c r="I617" i="4" s="1"/>
  <c r="F21" i="4"/>
  <c r="I21" i="4" s="1"/>
  <c r="F338" i="4"/>
  <c r="I338" i="4" s="1"/>
  <c r="F333" i="4"/>
  <c r="I333" i="4" s="1"/>
  <c r="F599" i="4"/>
  <c r="I599" i="4" s="1"/>
  <c r="F313" i="4"/>
  <c r="I313" i="4" s="1"/>
  <c r="F444" i="4"/>
  <c r="I444" i="4" s="1"/>
  <c r="F652" i="4"/>
  <c r="I652" i="4" s="1"/>
  <c r="F449" i="4"/>
  <c r="I449" i="4" s="1"/>
  <c r="F771" i="4"/>
  <c r="I771" i="4" s="1"/>
  <c r="F755" i="4"/>
  <c r="I755" i="4" s="1"/>
  <c r="F112" i="4"/>
  <c r="I112" i="4" s="1"/>
  <c r="F237" i="4"/>
  <c r="I237" i="4" s="1"/>
  <c r="F700" i="4"/>
  <c r="I700" i="4" s="1"/>
  <c r="F315" i="4"/>
  <c r="I315" i="4" s="1"/>
  <c r="F501" i="4"/>
  <c r="I501" i="4" s="1"/>
  <c r="F704" i="4"/>
  <c r="I704" i="4" s="1"/>
  <c r="F122" i="4"/>
  <c r="I122" i="4" s="1"/>
  <c r="F116" i="4"/>
  <c r="I116" i="4" s="1"/>
  <c r="F257" i="4"/>
  <c r="I257" i="4" s="1"/>
  <c r="F147" i="4"/>
  <c r="I147" i="4" s="1"/>
  <c r="F287" i="4"/>
  <c r="I287" i="4" s="1"/>
  <c r="F477" i="4"/>
  <c r="I477" i="4" s="1"/>
  <c r="F359" i="4"/>
  <c r="I359" i="4" s="1"/>
  <c r="F762" i="4"/>
  <c r="I762" i="4" s="1"/>
  <c r="F132" i="4"/>
  <c r="I132" i="4" s="1"/>
  <c r="F480" i="4"/>
  <c r="I480" i="4" s="1"/>
  <c r="F133" i="4"/>
  <c r="I133" i="4" s="1"/>
  <c r="F699" i="4"/>
  <c r="I699" i="4" s="1"/>
  <c r="F626" i="4"/>
  <c r="I626" i="4" s="1"/>
  <c r="F381" i="4"/>
  <c r="I381" i="4" s="1"/>
  <c r="F486" i="4"/>
  <c r="I486" i="4" s="1"/>
  <c r="F358" i="4"/>
  <c r="I358" i="4" s="1"/>
  <c r="F751" i="4"/>
  <c r="I751" i="4" s="1"/>
  <c r="F516" i="4"/>
  <c r="I516" i="4" s="1"/>
  <c r="F181" i="4"/>
  <c r="I181" i="4" s="1"/>
  <c r="F589" i="4"/>
  <c r="I589" i="4" s="1"/>
  <c r="F411" i="4"/>
  <c r="I411" i="4" s="1"/>
  <c r="F773" i="4"/>
  <c r="I773" i="4" s="1"/>
  <c r="F608" i="4"/>
  <c r="I608" i="4" s="1"/>
  <c r="F86" i="4"/>
  <c r="I86" i="4" s="1"/>
  <c r="F473" i="4"/>
  <c r="I473" i="4" s="1"/>
  <c r="F686" i="4"/>
  <c r="I686" i="4" s="1"/>
  <c r="F430" i="4"/>
  <c r="I430" i="4" s="1"/>
  <c r="F18" i="4"/>
  <c r="I18" i="4" s="1"/>
  <c r="F772" i="4"/>
  <c r="I772" i="4" s="1"/>
  <c r="F37" i="4"/>
  <c r="I37" i="4" s="1"/>
  <c r="F101" i="4"/>
  <c r="I101" i="4" s="1"/>
  <c r="F499" i="4"/>
  <c r="I499" i="4" s="1"/>
  <c r="F157" i="4"/>
  <c r="I157" i="4" s="1"/>
  <c r="F144" i="4"/>
  <c r="I144" i="4" s="1"/>
  <c r="F85" i="4"/>
  <c r="I85" i="4" s="1"/>
  <c r="F509" i="4"/>
  <c r="I509" i="4" s="1"/>
  <c r="F710" i="4"/>
  <c r="I710" i="4" s="1"/>
  <c r="F303" i="4"/>
  <c r="I303" i="4" s="1"/>
  <c r="F593" i="4"/>
  <c r="I593" i="4" s="1"/>
  <c r="F716" i="4"/>
  <c r="I716" i="4" s="1"/>
  <c r="F102" i="4"/>
  <c r="I102" i="4" s="1"/>
  <c r="F361" i="4"/>
  <c r="I361" i="4" s="1"/>
  <c r="F714" i="4"/>
  <c r="I714" i="4" s="1"/>
  <c r="F488" i="4"/>
  <c r="I488" i="4" s="1"/>
  <c r="F439" i="4"/>
  <c r="I439" i="4" s="1"/>
  <c r="F615" i="4"/>
  <c r="I615" i="4" s="1"/>
  <c r="F95" i="4"/>
  <c r="I95" i="4" s="1"/>
  <c r="F519" i="4"/>
  <c r="I519" i="4" s="1"/>
  <c r="F150" i="4"/>
  <c r="I150" i="4" s="1"/>
  <c r="F245" i="4"/>
  <c r="I245" i="4" s="1"/>
  <c r="F451" i="4"/>
  <c r="I451" i="4" s="1"/>
  <c r="F17" i="4"/>
  <c r="I17" i="4" s="1"/>
  <c r="F343" i="4"/>
  <c r="I343" i="4" s="1"/>
  <c r="F604" i="4"/>
  <c r="I604" i="4" s="1"/>
  <c r="F656" i="4"/>
  <c r="I656" i="4" s="1"/>
  <c r="F676" i="4"/>
  <c r="I676" i="4" s="1"/>
  <c r="F616" i="4"/>
  <c r="I616" i="4" s="1"/>
  <c r="F390" i="4"/>
  <c r="I390" i="4" s="1"/>
  <c r="F674" i="4"/>
  <c r="I674" i="4" s="1"/>
  <c r="F339" i="4"/>
  <c r="I339" i="4" s="1"/>
  <c r="F321" i="4"/>
  <c r="I321" i="4" s="1"/>
  <c r="F306" i="4"/>
  <c r="I306" i="4" s="1"/>
  <c r="F414" i="4"/>
  <c r="I414" i="4" s="1"/>
  <c r="F167" i="4"/>
  <c r="I167" i="4" s="1"/>
  <c r="F230" i="4"/>
  <c r="I230" i="4" s="1"/>
  <c r="F290" i="4"/>
  <c r="I290" i="4" s="1"/>
  <c r="F782" i="4"/>
  <c r="I782" i="4" s="1"/>
  <c r="F126" i="4"/>
  <c r="I126" i="4" s="1"/>
  <c r="F345" i="4"/>
  <c r="I345" i="4" s="1"/>
  <c r="F348" i="4"/>
  <c r="I348" i="4" s="1"/>
  <c r="F231" i="4"/>
  <c r="I231" i="4" s="1"/>
  <c r="F285" i="4"/>
  <c r="I285" i="4" s="1"/>
  <c r="F467" i="4"/>
  <c r="I467" i="4" s="1"/>
  <c r="F353" i="4"/>
  <c r="I353" i="4" s="1"/>
  <c r="F232" i="4"/>
  <c r="I232" i="4" s="1"/>
  <c r="F387" i="4"/>
  <c r="I387" i="4" s="1"/>
  <c r="F532" i="4"/>
  <c r="I532" i="4" s="1"/>
  <c r="F609" i="4"/>
  <c r="I609" i="4" s="1"/>
  <c r="F276" i="4"/>
  <c r="I276" i="4" s="1"/>
  <c r="F288" i="4"/>
  <c r="I288" i="4" s="1"/>
  <c r="F67" i="4"/>
  <c r="I67" i="4" s="1"/>
  <c r="F193" i="4"/>
  <c r="I193" i="4" s="1"/>
  <c r="F786" i="4"/>
  <c r="I786" i="4" s="1"/>
  <c r="F580" i="4"/>
  <c r="I580" i="4" s="1"/>
  <c r="F649" i="4"/>
  <c r="I649" i="4" s="1"/>
  <c r="F770" i="4"/>
  <c r="I770" i="4" s="1"/>
  <c r="F402" i="4"/>
  <c r="I402" i="4" s="1"/>
  <c r="F494" i="4"/>
  <c r="I494" i="4" s="1"/>
  <c r="F697" i="4"/>
  <c r="I697" i="4" s="1"/>
  <c r="F630" i="4"/>
  <c r="I630" i="4" s="1"/>
  <c r="F286" i="4"/>
  <c r="I286" i="4" s="1"/>
  <c r="F367" i="4"/>
  <c r="I367" i="4" s="1"/>
  <c r="F149" i="4"/>
  <c r="I149" i="4" s="1"/>
  <c r="F628" i="4"/>
  <c r="I628" i="4" s="1"/>
  <c r="F619" i="4"/>
  <c r="I619" i="4" s="1"/>
  <c r="F419" i="4"/>
  <c r="I419" i="4" s="1"/>
  <c r="F490" i="4"/>
  <c r="I490" i="4" s="1"/>
  <c r="F72" i="4"/>
  <c r="I72" i="4" s="1"/>
  <c r="F677" i="4"/>
  <c r="I677" i="4" s="1"/>
  <c r="F635" i="4"/>
  <c r="I635" i="4" s="1"/>
  <c r="F445" i="4"/>
  <c r="I445" i="4" s="1"/>
  <c r="F119" i="4"/>
  <c r="I119" i="4" s="1"/>
  <c r="F687" i="4"/>
  <c r="I687" i="4" s="1"/>
  <c r="F340" i="4"/>
  <c r="I340" i="4" s="1"/>
  <c r="F667" i="4"/>
  <c r="I667" i="4" s="1"/>
  <c r="F551" i="4"/>
  <c r="I551" i="4" s="1"/>
  <c r="F781" i="4"/>
  <c r="I781" i="4" s="1"/>
  <c r="F453" i="4"/>
  <c r="I453" i="4" s="1"/>
  <c r="F481" i="4"/>
  <c r="I481" i="4" s="1"/>
  <c r="F50" i="4"/>
  <c r="I50" i="4" s="1"/>
  <c r="F777" i="4"/>
  <c r="I777" i="4" s="1"/>
  <c r="F668" i="4"/>
  <c r="I668" i="4" s="1"/>
  <c r="F476" i="4"/>
  <c r="I476" i="4" s="1"/>
  <c r="F255" i="4"/>
  <c r="I255" i="4" s="1"/>
  <c r="F199" i="4"/>
  <c r="I199" i="4" s="1"/>
  <c r="F16" i="4"/>
  <c r="I16" i="4" s="1"/>
  <c r="F468" i="4"/>
  <c r="I468" i="4" s="1"/>
  <c r="F380" i="4"/>
  <c r="I380" i="4" s="1"/>
  <c r="F316" i="4"/>
  <c r="I316" i="4" s="1"/>
  <c r="F293" i="4"/>
  <c r="I293" i="4" s="1"/>
  <c r="F20" i="4"/>
  <c r="I20" i="4" s="1"/>
  <c r="F760" i="4"/>
  <c r="I760" i="4" s="1"/>
  <c r="F455" i="4"/>
  <c r="I455" i="4" s="1"/>
  <c r="F12" i="4"/>
  <c r="I12" i="4" s="1"/>
  <c r="F320" i="4"/>
  <c r="I320" i="4" s="1"/>
  <c r="F364" i="4"/>
  <c r="I364" i="4" s="1"/>
  <c r="F357" i="4"/>
  <c r="I357" i="4" s="1"/>
  <c r="F158" i="4"/>
  <c r="I158" i="4" s="1"/>
  <c r="F435" i="4"/>
  <c r="I435" i="4" s="1"/>
  <c r="F487" i="4"/>
  <c r="I487" i="4" s="1"/>
  <c r="F124" i="4"/>
  <c r="I124" i="4" s="1"/>
  <c r="F396" i="4"/>
  <c r="I396" i="4" s="1"/>
  <c r="F99" i="4"/>
  <c r="I99" i="4" s="1"/>
  <c r="J565" i="4"/>
  <c r="G566" i="4"/>
  <c r="F188" i="4"/>
  <c r="I188" i="4" s="1"/>
  <c r="F671" i="4"/>
  <c r="I671" i="4" s="1"/>
  <c r="F365" i="4"/>
  <c r="I365" i="4" s="1"/>
  <c r="F739" i="4"/>
  <c r="I739" i="4" s="1"/>
  <c r="F769" i="4"/>
  <c r="I769" i="4" s="1"/>
  <c r="F277" i="4"/>
  <c r="I277" i="4" s="1"/>
  <c r="F55" i="4"/>
  <c r="I55" i="4" s="1"/>
  <c r="F33" i="4"/>
  <c r="I33" i="4" s="1"/>
  <c r="F737" i="4"/>
  <c r="I737" i="4" s="1"/>
  <c r="F758" i="4"/>
  <c r="I758" i="4" s="1"/>
  <c r="F317" i="4"/>
  <c r="I317" i="4" s="1"/>
  <c r="F447" i="4"/>
  <c r="I447" i="4" s="1"/>
  <c r="F462" i="4"/>
  <c r="I462" i="4" s="1"/>
  <c r="F629" i="4"/>
  <c r="I629" i="4" s="1"/>
  <c r="F555" i="4"/>
  <c r="I555" i="4" s="1"/>
  <c r="F483" i="4"/>
  <c r="I483" i="4" s="1"/>
  <c r="F111" i="4"/>
  <c r="I111" i="4" s="1"/>
  <c r="F675" i="4"/>
  <c r="I675" i="4" s="1"/>
  <c r="F584" i="4"/>
  <c r="I584" i="4" s="1"/>
  <c r="F688" i="4"/>
  <c r="I688" i="4" s="1"/>
  <c r="F307" i="4"/>
  <c r="I307" i="4" s="1"/>
  <c r="F43" i="4"/>
  <c r="I43" i="4" s="1"/>
  <c r="F673" i="4"/>
  <c r="I673" i="4" s="1"/>
  <c r="F319" i="4"/>
  <c r="I319" i="4" s="1"/>
  <c r="F644" i="4"/>
  <c r="I644" i="4" s="1"/>
  <c r="F678" i="4"/>
  <c r="I678" i="4" s="1"/>
  <c r="F694" i="4"/>
  <c r="I694" i="4" s="1"/>
  <c r="F443" i="4"/>
  <c r="I443" i="4" s="1"/>
  <c r="F498" i="4"/>
  <c r="I498" i="4" s="1"/>
  <c r="F145" i="4"/>
  <c r="I145" i="4" s="1"/>
  <c r="F533" i="4"/>
  <c r="I533" i="4" s="1"/>
  <c r="F576" i="4"/>
  <c r="I576" i="4" s="1"/>
  <c r="F508" i="4"/>
  <c r="I508" i="4" s="1"/>
  <c r="F510" i="4"/>
  <c r="I510" i="4" s="1"/>
  <c r="F185" i="4"/>
  <c r="I185" i="4" s="1"/>
  <c r="F174" i="4"/>
  <c r="I174" i="4" s="1"/>
  <c r="F512" i="4"/>
  <c r="I512" i="4" s="1"/>
  <c r="F179" i="4"/>
  <c r="I179" i="4" s="1"/>
  <c r="F88" i="4"/>
  <c r="I88" i="4" s="1"/>
  <c r="F312" i="4"/>
  <c r="I312" i="4" s="1"/>
  <c r="F459" i="4"/>
  <c r="I459" i="4" s="1"/>
  <c r="F52" i="4"/>
  <c r="I52" i="4" s="1"/>
  <c r="F403" i="4"/>
  <c r="I403" i="4" s="1"/>
  <c r="F314" i="4"/>
  <c r="I314" i="4" s="1"/>
  <c r="F398" i="4"/>
  <c r="I398" i="4" s="1"/>
  <c r="F186" i="4"/>
  <c r="I186" i="4" s="1"/>
  <c r="F376" i="4"/>
  <c r="I376" i="4" s="1"/>
  <c r="F491" i="4"/>
  <c r="I491" i="4" s="1"/>
  <c r="F180" i="4"/>
  <c r="I180" i="4" s="1"/>
  <c r="F279" i="4"/>
  <c r="I279" i="4" s="1"/>
  <c r="F378" i="4"/>
  <c r="I378" i="4" s="1"/>
  <c r="F438" i="4"/>
  <c r="I438" i="4" s="1"/>
  <c r="F440" i="4"/>
  <c r="I440" i="4" s="1"/>
  <c r="F190" i="4"/>
  <c r="I190" i="4" s="1"/>
  <c r="J654" i="4"/>
  <c r="G655" i="4"/>
  <c r="F273" i="4"/>
  <c r="F11" i="4"/>
  <c r="F614" i="4"/>
  <c r="I614" i="4" s="1"/>
  <c r="F200" i="4"/>
  <c r="I200" i="4" s="1"/>
  <c r="F442" i="4"/>
  <c r="I442" i="4" s="1"/>
  <c r="F113" i="4"/>
  <c r="I113" i="4" s="1"/>
  <c r="F425" i="4"/>
  <c r="I425" i="4" s="1"/>
  <c r="F331" i="4"/>
  <c r="I331" i="4" s="1"/>
  <c r="F233" i="4"/>
  <c r="I233" i="4" s="1"/>
  <c r="F68" i="4"/>
  <c r="I68" i="4" s="1"/>
  <c r="F354" i="4"/>
  <c r="I354" i="4" s="1"/>
  <c r="F393" i="4"/>
  <c r="I393" i="4" s="1"/>
  <c r="F221" i="4"/>
  <c r="I221" i="4" s="1"/>
  <c r="F223" i="4"/>
  <c r="I223" i="4" s="1"/>
  <c r="F395" i="4"/>
  <c r="I395" i="4" s="1"/>
  <c r="F574" i="4"/>
  <c r="I574" i="4" s="1"/>
  <c r="F657" i="4"/>
  <c r="I657" i="4" s="1"/>
  <c r="F109" i="4"/>
  <c r="I109" i="4" s="1"/>
  <c r="F456" i="4"/>
  <c r="I456" i="4" s="1"/>
  <c r="F426" i="4"/>
  <c r="I426" i="4" s="1"/>
  <c r="F742" i="4"/>
  <c r="I742" i="4" s="1"/>
  <c r="F747" i="4"/>
  <c r="I747" i="4" s="1"/>
  <c r="F469" i="4"/>
  <c r="I469" i="4" s="1"/>
  <c r="F171" i="4"/>
  <c r="I171" i="4" s="1"/>
  <c r="F170" i="4"/>
  <c r="I170" i="4" s="1"/>
  <c r="F213" i="4"/>
  <c r="I213" i="4" s="1"/>
  <c r="F603" i="4"/>
  <c r="I603" i="4" s="1"/>
  <c r="F658" i="4"/>
  <c r="I658" i="4" s="1"/>
  <c r="F493" i="4"/>
  <c r="I493" i="4" s="1"/>
  <c r="F377" i="4"/>
  <c r="I377" i="4" s="1"/>
  <c r="F53" i="4"/>
  <c r="I53" i="4" s="1"/>
  <c r="F534" i="4"/>
  <c r="I534" i="4" s="1"/>
  <c r="F515" i="4"/>
  <c r="I515" i="4" s="1"/>
  <c r="F612" i="4"/>
  <c r="I612" i="4" s="1"/>
  <c r="F553" i="4"/>
  <c r="I553" i="4" s="1"/>
  <c r="F397" i="4"/>
  <c r="I397" i="4" s="1"/>
  <c r="F239" i="4"/>
  <c r="I239" i="4" s="1"/>
  <c r="F204" i="4"/>
  <c r="I204" i="4" s="1"/>
  <c r="F666" i="4"/>
  <c r="I666" i="4" s="1"/>
  <c r="F719" i="4"/>
  <c r="I719" i="4" s="1"/>
  <c r="F405" i="4"/>
  <c r="I405" i="4" s="1"/>
  <c r="F328" i="4"/>
  <c r="I328" i="4" s="1"/>
  <c r="F210" i="4"/>
  <c r="I210" i="4" s="1"/>
  <c r="F775" i="4"/>
  <c r="I775" i="4" s="1"/>
  <c r="F636" i="4"/>
  <c r="I636" i="4" s="1"/>
  <c r="F292" i="4"/>
  <c r="I292" i="4" s="1"/>
  <c r="F131" i="4"/>
  <c r="I131" i="4" s="1"/>
  <c r="F723" i="4"/>
  <c r="I723" i="4" s="1"/>
  <c r="F669" i="4"/>
  <c r="I669" i="4" s="1"/>
  <c r="F733" i="4"/>
  <c r="I733" i="4" s="1"/>
  <c r="F371" i="4"/>
  <c r="I371" i="4" s="1"/>
  <c r="F117" i="4"/>
  <c r="I117" i="4" s="1"/>
  <c r="F586" i="4"/>
  <c r="I586" i="4" s="1"/>
  <c r="F352" i="4"/>
  <c r="I352" i="4" s="1"/>
  <c r="F654" i="4"/>
  <c r="I654" i="4" s="1"/>
  <c r="F725" i="4"/>
  <c r="I725" i="4" s="1"/>
  <c r="F655" i="4"/>
  <c r="I655" i="4" s="1"/>
  <c r="F300" i="4"/>
  <c r="I300" i="4" s="1"/>
  <c r="F143" i="4"/>
  <c r="I143" i="4" s="1"/>
  <c r="F136" i="4"/>
  <c r="I136" i="4" s="1"/>
  <c r="F618" i="4"/>
  <c r="I618" i="4" s="1"/>
  <c r="F595" i="4"/>
  <c r="I595" i="4" s="1"/>
  <c r="F194" i="4"/>
  <c r="I194" i="4" s="1"/>
  <c r="F14" i="4"/>
  <c r="I14" i="4" s="1"/>
  <c r="F134" i="4"/>
  <c r="I134" i="4" s="1"/>
  <c r="F458" i="4"/>
  <c r="I458" i="4" s="1"/>
  <c r="F169" i="4"/>
  <c r="I169" i="4" s="1"/>
  <c r="F346" i="4"/>
  <c r="I346" i="4" s="1"/>
  <c r="F351" i="4"/>
  <c r="I351" i="4" s="1"/>
  <c r="F130" i="4"/>
  <c r="I130" i="4" s="1"/>
  <c r="F500" i="4"/>
  <c r="I500" i="4" s="1"/>
  <c r="F56" i="4"/>
  <c r="I56" i="4" s="1"/>
  <c r="F42" i="4"/>
  <c r="I42" i="4" s="1"/>
  <c r="F418" i="4"/>
  <c r="I418" i="4" s="1"/>
  <c r="F386" i="4"/>
  <c r="I386" i="4" s="1"/>
  <c r="F296" i="4"/>
  <c r="I296" i="4" s="1"/>
  <c r="F70" i="4"/>
  <c r="I70" i="4" s="1"/>
  <c r="F385" i="4"/>
  <c r="I385" i="4" s="1"/>
  <c r="F75" i="4"/>
  <c r="I75" i="4" s="1"/>
  <c r="F250" i="4"/>
  <c r="I250" i="4" s="1"/>
  <c r="F450" i="4"/>
  <c r="I450" i="4" s="1"/>
  <c r="F146" i="4"/>
  <c r="I146" i="4" s="1"/>
  <c r="F153" i="4"/>
  <c r="I153" i="4" s="1"/>
  <c r="F692" i="4"/>
  <c r="I692" i="4" s="1"/>
  <c r="F680" i="4"/>
  <c r="I680" i="4" s="1"/>
  <c r="F291" i="4"/>
  <c r="I291" i="4" s="1"/>
  <c r="F79" i="4"/>
  <c r="I79" i="4" s="1"/>
  <c r="F598" i="4"/>
  <c r="I598" i="4" s="1"/>
  <c r="F631" i="4"/>
  <c r="I631" i="4" s="1"/>
  <c r="F634" i="4"/>
  <c r="I634" i="4" s="1"/>
  <c r="F278" i="4"/>
  <c r="I278" i="4" s="1"/>
  <c r="F422" i="4"/>
  <c r="I422" i="4" s="1"/>
  <c r="F645" i="4"/>
  <c r="I645" i="4" s="1"/>
  <c r="F665" i="4"/>
  <c r="I665" i="4" s="1"/>
  <c r="F698" i="4"/>
  <c r="I698" i="4" s="1"/>
  <c r="F311" i="4"/>
  <c r="I311" i="4" s="1"/>
  <c r="F58" i="4"/>
  <c r="I58" i="4" s="1"/>
  <c r="F718" i="4"/>
  <c r="I718" i="4" s="1"/>
  <c r="F466" i="4"/>
  <c r="I466" i="4" s="1"/>
  <c r="F647" i="4"/>
  <c r="I647" i="4" s="1"/>
  <c r="F659" i="4"/>
  <c r="I659" i="4" s="1"/>
  <c r="F720" i="4"/>
  <c r="I720" i="4" s="1"/>
  <c r="F399" i="4"/>
  <c r="I399" i="4" s="1"/>
  <c r="F77" i="4"/>
  <c r="I77" i="4" s="1"/>
  <c r="F728" i="4"/>
  <c r="I728" i="4" s="1"/>
  <c r="F682" i="4"/>
  <c r="I682" i="4" s="1"/>
  <c r="F507" i="4"/>
  <c r="I507" i="4" s="1"/>
  <c r="F280" i="4"/>
  <c r="I280" i="4" s="1"/>
  <c r="F624" i="4"/>
  <c r="I624" i="4" s="1"/>
  <c r="F689" i="4"/>
  <c r="I689" i="4" s="1"/>
  <c r="F379" i="4"/>
  <c r="I379" i="4" s="1"/>
  <c r="F258" i="4"/>
  <c r="I258" i="4" s="1"/>
  <c r="F92" i="4"/>
  <c r="I92" i="4" s="1"/>
  <c r="F474" i="4"/>
  <c r="I474" i="4" s="1"/>
  <c r="F196" i="4"/>
  <c r="I196" i="4" s="1"/>
  <c r="F522" i="4"/>
  <c r="I522" i="4" s="1"/>
  <c r="F241" i="4"/>
  <c r="I241" i="4" s="1"/>
  <c r="F691" i="4"/>
  <c r="I691" i="4" s="1"/>
  <c r="F502" i="4"/>
  <c r="I502" i="4" s="1"/>
  <c r="F25" i="4"/>
  <c r="I25" i="4" s="1"/>
  <c r="F366" i="4"/>
  <c r="I366" i="4" s="1"/>
  <c r="F104" i="4"/>
  <c r="I104" i="4" s="1"/>
  <c r="F35" i="4"/>
  <c r="I35" i="4" s="1"/>
  <c r="F208" i="4"/>
  <c r="I208" i="4" s="1"/>
  <c r="F162" i="4"/>
  <c r="I162" i="4" s="1"/>
  <c r="F421" i="4"/>
  <c r="I421" i="4" s="1"/>
  <c r="F401" i="4"/>
  <c r="I401" i="4" s="1"/>
  <c r="F160" i="4"/>
  <c r="I160" i="4" s="1"/>
  <c r="F573" i="4"/>
  <c r="I573" i="4" s="1"/>
  <c r="F763" i="4"/>
  <c r="I763" i="4" s="1"/>
  <c r="F623" i="4"/>
  <c r="I623" i="4" s="1"/>
  <c r="F724" i="4"/>
  <c r="I724" i="4" s="1"/>
  <c r="F475" i="4"/>
  <c r="I475" i="4" s="1"/>
  <c r="F259" i="4"/>
  <c r="I259" i="4" s="1"/>
  <c r="F567" i="4"/>
  <c r="I567" i="4" s="1"/>
  <c r="F748" i="4"/>
  <c r="I748" i="4" s="1"/>
  <c r="F712" i="4"/>
  <c r="I712" i="4" s="1"/>
  <c r="F355" i="4"/>
  <c r="I355" i="4" s="1"/>
  <c r="F247" i="4"/>
  <c r="I247" i="4" s="1"/>
  <c r="F590" i="4"/>
  <c r="I590" i="4" s="1"/>
  <c r="F585" i="4"/>
  <c r="I585" i="4" s="1"/>
  <c r="F325" i="4"/>
  <c r="I325" i="4" s="1"/>
  <c r="F463" i="4"/>
  <c r="I463" i="4" s="1"/>
  <c r="F260" i="4"/>
  <c r="I260" i="4" s="1"/>
  <c r="F646" i="4"/>
  <c r="I646" i="4" s="1"/>
  <c r="F705" i="4"/>
  <c r="I705" i="4" s="1"/>
  <c r="F778" i="4"/>
  <c r="I778" i="4" s="1"/>
  <c r="F383" i="4"/>
  <c r="I383" i="4" s="1"/>
  <c r="F66" i="4"/>
  <c r="I66" i="4" s="1"/>
  <c r="F663" i="4"/>
  <c r="I663" i="4" s="1"/>
  <c r="F175" i="4"/>
  <c r="I175" i="4" s="1"/>
  <c r="F571" i="4"/>
  <c r="I571" i="4" s="1"/>
  <c r="F756" i="4"/>
  <c r="I756" i="4" s="1"/>
  <c r="F744" i="4"/>
  <c r="I744" i="4" s="1"/>
  <c r="F479" i="4"/>
  <c r="I479" i="4" s="1"/>
  <c r="F205" i="4"/>
  <c r="I205" i="4" s="1"/>
  <c r="F681" i="4"/>
  <c r="I681" i="4" s="1"/>
  <c r="F220" i="4"/>
  <c r="I220" i="4" s="1"/>
  <c r="F308" i="4"/>
  <c r="I308" i="4" s="1"/>
  <c r="F427" i="4"/>
  <c r="I427" i="4" s="1"/>
  <c r="F182" i="4"/>
  <c r="I182" i="4" s="1"/>
  <c r="F732" i="4"/>
  <c r="I732" i="4" s="1"/>
  <c r="F423" i="4"/>
  <c r="I423" i="4" s="1"/>
  <c r="F176" i="4"/>
  <c r="I176" i="4" s="1"/>
  <c r="F142" i="4"/>
  <c r="I142" i="4" s="1"/>
  <c r="F125" i="4"/>
  <c r="I125" i="4" s="1"/>
  <c r="F40" i="4"/>
  <c r="I40" i="4" s="1"/>
  <c r="F350" i="4"/>
  <c r="I350" i="4" s="1"/>
  <c r="F244" i="4"/>
  <c r="I244" i="4" s="1"/>
  <c r="F523" i="4"/>
  <c r="I523" i="4" s="1"/>
  <c r="F256" i="4"/>
  <c r="I256" i="4" s="1"/>
  <c r="F596" i="4"/>
  <c r="I596" i="4" s="1"/>
  <c r="F785" i="4"/>
  <c r="I785" i="4" s="1"/>
  <c r="F173" i="4"/>
  <c r="I173" i="4" s="1"/>
  <c r="F238" i="4"/>
  <c r="I238" i="4" s="1"/>
  <c r="F643" i="4"/>
  <c r="I643" i="4" s="1"/>
  <c r="F38" i="4"/>
  <c r="I38" i="4" s="1"/>
  <c r="F229" i="4"/>
  <c r="I229" i="4" s="1"/>
  <c r="F73" i="4"/>
  <c r="I73" i="4" s="1"/>
  <c r="F46" i="4"/>
  <c r="I46" i="4" s="1"/>
  <c r="F330" i="4"/>
  <c r="I330" i="4" s="1"/>
  <c r="F31" i="4"/>
  <c r="I31" i="4" s="1"/>
  <c r="F521" i="4"/>
  <c r="I521" i="4" s="1"/>
  <c r="F48" i="4"/>
  <c r="I48" i="4" s="1"/>
  <c r="F71" i="4"/>
  <c r="I71" i="4" s="1"/>
  <c r="F110" i="4"/>
  <c r="I110" i="4" s="1"/>
  <c r="F726" i="4"/>
  <c r="I726" i="4" s="1"/>
  <c r="F454" i="4"/>
  <c r="I454" i="4" s="1"/>
  <c r="F154" i="4"/>
  <c r="I154" i="4" s="1"/>
  <c r="F156" i="4"/>
  <c r="I156" i="4" s="1"/>
  <c r="F191" i="4"/>
  <c r="I191" i="4" s="1"/>
  <c r="F155" i="4"/>
  <c r="I155" i="4" s="1"/>
  <c r="F30" i="4"/>
  <c r="I30" i="4" s="1"/>
  <c r="F436" i="4"/>
  <c r="I436" i="4" s="1"/>
  <c r="F391" i="4"/>
  <c r="I391" i="4" s="1"/>
  <c r="F249" i="4"/>
  <c r="I249" i="4" s="1"/>
  <c r="F767" i="4"/>
  <c r="I767" i="4" s="1"/>
  <c r="F570" i="4"/>
  <c r="I570" i="4" s="1"/>
  <c r="F648" i="4"/>
  <c r="I648" i="4" s="1"/>
  <c r="F415" i="4"/>
  <c r="I415" i="4" s="1"/>
  <c r="F76" i="4"/>
  <c r="I76" i="4" s="1"/>
  <c r="F594" i="4"/>
  <c r="I594" i="4" s="1"/>
  <c r="F735" i="4"/>
  <c r="I735" i="4" s="1"/>
  <c r="F605" i="4"/>
  <c r="I605" i="4" s="1"/>
  <c r="F741" i="4"/>
  <c r="I741" i="4" s="1"/>
  <c r="F431" i="4"/>
  <c r="I431" i="4" s="1"/>
  <c r="F207" i="4"/>
  <c r="I207" i="4" s="1"/>
  <c r="F90" i="4"/>
  <c r="I90" i="4" s="1"/>
  <c r="F601" i="4"/>
  <c r="I601" i="4" s="1"/>
  <c r="F565" i="4"/>
  <c r="I565" i="4" s="1"/>
  <c r="F779" i="4"/>
  <c r="I779" i="4" s="1"/>
  <c r="F622" i="4"/>
  <c r="I622" i="4" s="1"/>
  <c r="F496" i="4"/>
  <c r="I496" i="4" s="1"/>
  <c r="F141" i="4"/>
  <c r="I141" i="4" s="1"/>
  <c r="F613" i="4"/>
  <c r="I613" i="4" s="1"/>
  <c r="F597" i="4"/>
  <c r="I597" i="4" s="1"/>
  <c r="F768" i="4"/>
  <c r="I768" i="4" s="1"/>
  <c r="F372" i="4"/>
  <c r="I372" i="4" s="1"/>
  <c r="F152" i="4"/>
  <c r="I152" i="4" s="1"/>
  <c r="F564" i="4"/>
  <c r="I564" i="4" s="1"/>
  <c r="F610" i="4"/>
  <c r="I610" i="4" s="1"/>
  <c r="F429" i="4"/>
  <c r="I429" i="4" s="1"/>
  <c r="F441" i="4"/>
  <c r="I441" i="4" s="1"/>
  <c r="F236" i="4"/>
  <c r="I236" i="4" s="1"/>
  <c r="F638" i="4"/>
  <c r="I638" i="4" s="1"/>
  <c r="F722" i="4"/>
  <c r="I722" i="4" s="1"/>
  <c r="F305" i="4"/>
  <c r="I305" i="4" s="1"/>
  <c r="F289" i="4"/>
  <c r="I289" i="4" s="1"/>
  <c r="F80" i="4"/>
  <c r="I80" i="4" s="1"/>
  <c r="F461" i="4"/>
  <c r="I461" i="4" s="1"/>
  <c r="F195" i="4"/>
  <c r="I195" i="4" s="1"/>
  <c r="F550" i="4"/>
  <c r="I550" i="4" s="1"/>
  <c r="F621" i="4"/>
  <c r="I621" i="4" s="1"/>
  <c r="F369" i="4"/>
  <c r="I369" i="4" s="1"/>
  <c r="F416" i="4"/>
  <c r="I416" i="4" s="1"/>
  <c r="F253" i="4"/>
  <c r="I253" i="4" s="1"/>
  <c r="F713" i="4"/>
  <c r="I713" i="4" s="1"/>
  <c r="F252" i="4"/>
  <c r="I252" i="4" s="1"/>
  <c r="F412" i="4"/>
  <c r="I412" i="4" s="1"/>
  <c r="F503" i="4"/>
  <c r="I503" i="4" s="1"/>
  <c r="F295" i="4"/>
  <c r="I295" i="4" s="1"/>
  <c r="F228" i="4"/>
  <c r="I228" i="4" s="1"/>
  <c r="F736" i="4"/>
  <c r="I736" i="4" s="1"/>
  <c r="F197" i="4"/>
  <c r="I197" i="4" s="1"/>
  <c r="F701" i="4"/>
  <c r="I701" i="4" s="1"/>
  <c r="F730" i="4"/>
  <c r="I730" i="4" s="1"/>
  <c r="F734" i="4"/>
  <c r="I734" i="4" s="1"/>
  <c r="F721" i="4"/>
  <c r="I721" i="4" s="1"/>
  <c r="F518" i="4"/>
  <c r="I518" i="4" s="1"/>
  <c r="F520" i="4"/>
  <c r="I520" i="4" s="1"/>
  <c r="F19" i="4"/>
  <c r="I19" i="4" s="1"/>
  <c r="F611" i="4"/>
  <c r="I611" i="4" s="1"/>
  <c r="F707" i="4"/>
  <c r="I707" i="4" s="1"/>
  <c r="F653" i="4"/>
  <c r="I653" i="4" s="1"/>
  <c r="F54" i="4"/>
  <c r="I54" i="4" s="1"/>
  <c r="F337" i="4"/>
  <c r="I337" i="4" s="1"/>
  <c r="F148" i="4"/>
  <c r="I148" i="4" s="1"/>
  <c r="F121" i="3"/>
  <c r="I121" i="3" s="1"/>
  <c r="F129" i="3"/>
  <c r="I129" i="3" s="1"/>
  <c r="F219" i="3"/>
  <c r="I219" i="3" s="1"/>
  <c r="F691" i="3"/>
  <c r="I691" i="3" s="1"/>
  <c r="F198" i="3"/>
  <c r="I198" i="3" s="1"/>
  <c r="F761" i="3"/>
  <c r="I761" i="3" s="1"/>
  <c r="F241" i="3"/>
  <c r="I241" i="3" s="1"/>
  <c r="F132" i="3"/>
  <c r="I132" i="3" s="1"/>
  <c r="F376" i="3"/>
  <c r="I376" i="3" s="1"/>
  <c r="F409" i="3"/>
  <c r="I409" i="3" s="1"/>
  <c r="F11" i="3"/>
  <c r="I11" i="3" s="1"/>
  <c r="F220" i="3"/>
  <c r="I220" i="3" s="1"/>
  <c r="F104" i="3"/>
  <c r="I104" i="3" s="1"/>
  <c r="F83" i="3"/>
  <c r="I83" i="3" s="1"/>
  <c r="F418" i="3"/>
  <c r="I418" i="3" s="1"/>
  <c r="F284" i="3"/>
  <c r="I284" i="3" s="1"/>
  <c r="F701" i="3"/>
  <c r="I701" i="3" s="1"/>
  <c r="F152" i="3"/>
  <c r="I152" i="3" s="1"/>
  <c r="F603" i="3"/>
  <c r="I603" i="3" s="1"/>
  <c r="F637" i="3"/>
  <c r="I637" i="3" s="1"/>
  <c r="F717" i="3"/>
  <c r="I717" i="3" s="1"/>
  <c r="F331" i="3"/>
  <c r="I331" i="3" s="1"/>
  <c r="F495" i="3"/>
  <c r="I495" i="3" s="1"/>
  <c r="F350" i="3"/>
  <c r="I350" i="3" s="1"/>
  <c r="F666" i="3"/>
  <c r="I666" i="3" s="1"/>
  <c r="F394" i="3"/>
  <c r="I394" i="3" s="1"/>
  <c r="F73" i="3"/>
  <c r="I73" i="3" s="1"/>
  <c r="F760" i="3"/>
  <c r="I760" i="3" s="1"/>
  <c r="F311" i="3"/>
  <c r="I311" i="3" s="1"/>
  <c r="F238" i="3"/>
  <c r="I238" i="3" s="1"/>
  <c r="F473" i="3"/>
  <c r="I473" i="3" s="1"/>
  <c r="F777" i="3"/>
  <c r="I777" i="3" s="1"/>
  <c r="F189" i="3"/>
  <c r="I189" i="3" s="1"/>
  <c r="F180" i="3"/>
  <c r="I180" i="3" s="1"/>
  <c r="F68" i="3"/>
  <c r="I68" i="3" s="1"/>
  <c r="F648" i="3"/>
  <c r="I648" i="3" s="1"/>
  <c r="F384" i="3"/>
  <c r="I384" i="3" s="1"/>
  <c r="F246" i="3"/>
  <c r="I246" i="3" s="1"/>
  <c r="F633" i="3"/>
  <c r="I633" i="3" s="1"/>
  <c r="F382" i="3"/>
  <c r="I382" i="3" s="1"/>
  <c r="F124" i="3"/>
  <c r="I124" i="3" s="1"/>
  <c r="F632" i="3"/>
  <c r="I632" i="3" s="1"/>
  <c r="F778" i="3"/>
  <c r="I778" i="3" s="1"/>
  <c r="F619" i="3"/>
  <c r="I619" i="3" s="1"/>
  <c r="F555" i="3"/>
  <c r="I555" i="3" s="1"/>
  <c r="F756" i="3"/>
  <c r="I756" i="3" s="1"/>
  <c r="F51" i="3"/>
  <c r="I51" i="3" s="1"/>
  <c r="F256" i="3"/>
  <c r="I256" i="3" s="1"/>
  <c r="F604" i="3"/>
  <c r="I604" i="3" s="1"/>
  <c r="F768" i="3"/>
  <c r="I768" i="3" s="1"/>
  <c r="F727" i="3"/>
  <c r="I727" i="3" s="1"/>
  <c r="F98" i="3"/>
  <c r="I98" i="3" s="1"/>
  <c r="F554" i="3"/>
  <c r="I554" i="3" s="1"/>
  <c r="F187" i="3"/>
  <c r="I187" i="3" s="1"/>
  <c r="F243" i="3"/>
  <c r="I243" i="3" s="1"/>
  <c r="F237" i="3"/>
  <c r="I237" i="3" s="1"/>
  <c r="F245" i="3"/>
  <c r="I245" i="3" s="1"/>
  <c r="F593" i="3"/>
  <c r="I593" i="3" s="1"/>
  <c r="F617" i="3"/>
  <c r="I617" i="3" s="1"/>
  <c r="F425" i="3"/>
  <c r="I425" i="3" s="1"/>
  <c r="F480" i="3"/>
  <c r="I480" i="3" s="1"/>
  <c r="F173" i="3"/>
  <c r="I173" i="3" s="1"/>
  <c r="F195" i="3"/>
  <c r="I195" i="3" s="1"/>
  <c r="F629" i="3"/>
  <c r="I629" i="3" s="1"/>
  <c r="F80" i="3"/>
  <c r="I80" i="3" s="1"/>
  <c r="F353" i="3"/>
  <c r="I353" i="3" s="1"/>
  <c r="F321" i="3"/>
  <c r="I321" i="3" s="1"/>
  <c r="F196" i="3"/>
  <c r="I196" i="3" s="1"/>
  <c r="F372" i="3"/>
  <c r="I372" i="3" s="1"/>
  <c r="F650" i="3"/>
  <c r="I650" i="3" s="1"/>
  <c r="F510" i="3"/>
  <c r="I510" i="3" s="1"/>
  <c r="F100" i="3"/>
  <c r="I100" i="3" s="1"/>
  <c r="F682" i="3"/>
  <c r="I682" i="3" s="1"/>
  <c r="F45" i="3"/>
  <c r="I45" i="3" s="1"/>
  <c r="F605" i="3"/>
  <c r="I605" i="3" s="1"/>
  <c r="F172" i="3"/>
  <c r="I172" i="3" s="1"/>
  <c r="F320" i="3"/>
  <c r="I320" i="3" s="1"/>
  <c r="F165" i="3"/>
  <c r="I165" i="3" s="1"/>
  <c r="F125" i="3"/>
  <c r="I125" i="3" s="1"/>
  <c r="F232" i="3"/>
  <c r="I232" i="3" s="1"/>
  <c r="F297" i="3"/>
  <c r="I297" i="3" s="1"/>
  <c r="F148" i="3"/>
  <c r="I148" i="3" s="1"/>
  <c r="F713" i="3"/>
  <c r="I713" i="3" s="1"/>
  <c r="F736" i="3"/>
  <c r="I736" i="3" s="1"/>
  <c r="F491" i="3"/>
  <c r="I491" i="3" s="1"/>
  <c r="F221" i="3"/>
  <c r="I221" i="3" s="1"/>
  <c r="F43" i="3"/>
  <c r="I43" i="3" s="1"/>
  <c r="F726" i="3"/>
  <c r="I726" i="3" s="1"/>
  <c r="F766" i="3"/>
  <c r="I766" i="3" s="1"/>
  <c r="F692" i="3"/>
  <c r="I692" i="3" s="1"/>
  <c r="F399" i="3"/>
  <c r="I399" i="3" s="1"/>
  <c r="F552" i="3"/>
  <c r="I552" i="3" s="1"/>
  <c r="F244" i="3"/>
  <c r="I244" i="3" s="1"/>
  <c r="F201" i="3"/>
  <c r="I201" i="3" s="1"/>
  <c r="F41" i="3"/>
  <c r="I41" i="3" s="1"/>
  <c r="F463" i="3"/>
  <c r="I463" i="3" s="1"/>
  <c r="F166" i="3"/>
  <c r="I166" i="3" s="1"/>
  <c r="F520" i="3"/>
  <c r="I520" i="3" s="1"/>
  <c r="F406" i="3"/>
  <c r="I406" i="3" s="1"/>
  <c r="F415" i="3"/>
  <c r="I415" i="3" s="1"/>
  <c r="F186" i="3"/>
  <c r="I186" i="3" s="1"/>
  <c r="F380" i="3"/>
  <c r="I380" i="3" s="1"/>
  <c r="F305" i="3"/>
  <c r="I305" i="3" s="1"/>
  <c r="F233" i="3"/>
  <c r="I233" i="3" s="1"/>
  <c r="F179" i="3"/>
  <c r="I179" i="3" s="1"/>
  <c r="F577" i="3"/>
  <c r="I577" i="3" s="1"/>
  <c r="F312" i="3"/>
  <c r="I312" i="3" s="1"/>
  <c r="F40" i="3"/>
  <c r="I40" i="3" s="1"/>
  <c r="F561" i="3"/>
  <c r="I561" i="3" s="1"/>
  <c r="F188" i="3"/>
  <c r="I188" i="3" s="1"/>
  <c r="F657" i="3"/>
  <c r="I657" i="3" s="1"/>
  <c r="F123" i="3"/>
  <c r="I123" i="3" s="1"/>
  <c r="F174" i="3"/>
  <c r="I174" i="3" s="1"/>
  <c r="F369" i="3"/>
  <c r="I369" i="3" s="1"/>
  <c r="F150" i="3"/>
  <c r="I150" i="3" s="1"/>
  <c r="F35" i="3"/>
  <c r="I35" i="3" s="1"/>
  <c r="F280" i="3"/>
  <c r="I280" i="3" s="1"/>
  <c r="F374" i="3"/>
  <c r="I374" i="3" s="1"/>
  <c r="F314" i="3"/>
  <c r="I314" i="3" s="1"/>
  <c r="F434" i="3"/>
  <c r="I434" i="3" s="1"/>
  <c r="F96" i="3"/>
  <c r="I96" i="3" s="1"/>
  <c r="F134" i="3"/>
  <c r="I134" i="3" s="1"/>
  <c r="F599" i="3"/>
  <c r="I599" i="3" s="1"/>
  <c r="F677" i="3"/>
  <c r="I677" i="3" s="1"/>
  <c r="F79" i="3"/>
  <c r="I79" i="3" s="1"/>
  <c r="F749" i="3"/>
  <c r="I749" i="3" s="1"/>
  <c r="F373" i="3"/>
  <c r="I373" i="3" s="1"/>
  <c r="F192" i="3"/>
  <c r="I192" i="3" s="1"/>
  <c r="F86" i="3"/>
  <c r="I86" i="3" s="1"/>
  <c r="F416" i="3"/>
  <c r="I416" i="3" s="1"/>
  <c r="F29" i="3"/>
  <c r="I29" i="3" s="1"/>
  <c r="F560" i="3"/>
  <c r="I560" i="3" s="1"/>
  <c r="F410" i="3"/>
  <c r="I410" i="3" s="1"/>
  <c r="F728" i="3"/>
  <c r="I728" i="3" s="1"/>
  <c r="F182" i="3"/>
  <c r="I182" i="3" s="1"/>
  <c r="F78" i="3"/>
  <c r="I78" i="3" s="1"/>
  <c r="F91" i="3"/>
  <c r="I91" i="3" s="1"/>
  <c r="F712" i="3"/>
  <c r="I712" i="3" s="1"/>
  <c r="F50" i="3"/>
  <c r="I50" i="3" s="1"/>
  <c r="F674" i="3"/>
  <c r="I674" i="3" s="1"/>
  <c r="F108" i="3"/>
  <c r="I108" i="3" s="1"/>
  <c r="F139" i="3"/>
  <c r="I139" i="3" s="1"/>
  <c r="F737" i="3"/>
  <c r="I737" i="3" s="1"/>
  <c r="F664" i="3"/>
  <c r="I664" i="3" s="1"/>
  <c r="F576" i="3"/>
  <c r="I576" i="3" s="1"/>
  <c r="F181" i="3"/>
  <c r="I181" i="3" s="1"/>
  <c r="F236" i="3"/>
  <c r="I236" i="3" s="1"/>
  <c r="F343" i="3"/>
  <c r="I343" i="3" s="1"/>
  <c r="F204" i="3"/>
  <c r="I204" i="3" s="1"/>
  <c r="F156" i="3"/>
  <c r="I156" i="3" s="1"/>
  <c r="F253" i="3"/>
  <c r="I253" i="3" s="1"/>
  <c r="F57" i="3"/>
  <c r="I57" i="3" s="1"/>
  <c r="F185" i="3"/>
  <c r="I185" i="3" s="1"/>
  <c r="F401" i="3"/>
  <c r="I401" i="3" s="1"/>
  <c r="F25" i="3"/>
  <c r="I25" i="3" s="1"/>
  <c r="F171" i="3"/>
  <c r="I171" i="3" s="1"/>
  <c r="F13" i="3"/>
  <c r="I13" i="3" s="1"/>
  <c r="F465" i="3"/>
  <c r="I465" i="3" s="1"/>
  <c r="F77" i="3"/>
  <c r="I77" i="3" s="1"/>
  <c r="F75" i="3"/>
  <c r="I75" i="3" s="1"/>
  <c r="F197" i="3"/>
  <c r="I197" i="3" s="1"/>
  <c r="F592" i="3"/>
  <c r="I592" i="3" s="1"/>
  <c r="F168" i="3"/>
  <c r="I168" i="3" s="1"/>
  <c r="F419" i="3"/>
  <c r="I419" i="3" s="1"/>
  <c r="F765" i="3"/>
  <c r="I765" i="3" s="1"/>
  <c r="F290" i="3"/>
  <c r="I290" i="3" s="1"/>
  <c r="F772" i="3"/>
  <c r="I772" i="3" s="1"/>
  <c r="F298" i="3"/>
  <c r="I298" i="3" s="1"/>
  <c r="F459" i="3"/>
  <c r="I459" i="3" s="1"/>
  <c r="F103" i="3"/>
  <c r="I103" i="3" s="1"/>
  <c r="F405" i="3"/>
  <c r="I405" i="3" s="1"/>
  <c r="F467" i="3"/>
  <c r="I467" i="3" s="1"/>
  <c r="F686" i="3"/>
  <c r="I686" i="3" s="1"/>
  <c r="F606" i="3"/>
  <c r="I606" i="3" s="1"/>
  <c r="F591" i="3"/>
  <c r="I591" i="3" s="1"/>
  <c r="F177" i="3"/>
  <c r="I177" i="3" s="1"/>
  <c r="F672" i="3"/>
  <c r="I672" i="3" s="1"/>
  <c r="F408" i="3"/>
  <c r="I408" i="3" s="1"/>
  <c r="F60" i="3"/>
  <c r="I60" i="3" s="1"/>
  <c r="F658" i="3"/>
  <c r="I658" i="3" s="1"/>
  <c r="F18" i="3"/>
  <c r="I18" i="3" s="1"/>
  <c r="F620" i="3"/>
  <c r="I620" i="3" s="1"/>
  <c r="F336" i="3"/>
  <c r="I336" i="3" s="1"/>
  <c r="F614" i="3"/>
  <c r="I614" i="3" s="1"/>
  <c r="F508" i="3"/>
  <c r="I508" i="3" s="1"/>
  <c r="F631" i="3"/>
  <c r="I631" i="3" s="1"/>
  <c r="F359" i="3"/>
  <c r="I359" i="3" s="1"/>
  <c r="F76" i="3"/>
  <c r="I76" i="3" s="1"/>
  <c r="F230" i="3"/>
  <c r="I230" i="3" s="1"/>
  <c r="F697" i="3"/>
  <c r="I697" i="3" s="1"/>
  <c r="F377" i="3"/>
  <c r="I377" i="3" s="1"/>
  <c r="F141" i="3"/>
  <c r="I141" i="3" s="1"/>
  <c r="F209" i="3"/>
  <c r="I209" i="3" s="1"/>
  <c r="F260" i="3"/>
  <c r="I260" i="3" s="1"/>
  <c r="F337" i="3"/>
  <c r="I337" i="3" s="1"/>
  <c r="F688" i="3"/>
  <c r="I688" i="3" s="1"/>
  <c r="F720" i="3"/>
  <c r="I720" i="3" s="1"/>
  <c r="F601" i="3"/>
  <c r="I601" i="3" s="1"/>
  <c r="F345" i="3"/>
  <c r="I345" i="3" s="1"/>
  <c r="F513" i="3"/>
  <c r="I513" i="3" s="1"/>
  <c r="F641" i="3"/>
  <c r="I641" i="3" s="1"/>
  <c r="F94" i="3"/>
  <c r="I94" i="3" s="1"/>
  <c r="F154" i="3"/>
  <c r="I154" i="3" s="1"/>
  <c r="F708" i="3"/>
  <c r="I708" i="3" s="1"/>
  <c r="F426" i="3"/>
  <c r="I426" i="3" s="1"/>
  <c r="F90" i="3"/>
  <c r="I90" i="3" s="1"/>
  <c r="F564" i="3"/>
  <c r="I564" i="3" s="1"/>
  <c r="F72" i="3"/>
  <c r="I72" i="3" s="1"/>
  <c r="F563" i="3"/>
  <c r="I563" i="3" s="1"/>
  <c r="F102" i="3"/>
  <c r="I102" i="3" s="1"/>
  <c r="F517" i="3"/>
  <c r="I517" i="3" s="1"/>
  <c r="F680" i="3"/>
  <c r="I680" i="3" s="1"/>
  <c r="F208" i="3"/>
  <c r="I208" i="3" s="1"/>
  <c r="F99" i="3"/>
  <c r="I99" i="3" s="1"/>
  <c r="F531" i="3"/>
  <c r="I531" i="3" s="1"/>
  <c r="F19" i="3"/>
  <c r="I19" i="3" s="1"/>
  <c r="F131" i="3"/>
  <c r="I131" i="3" s="1"/>
  <c r="F496" i="3"/>
  <c r="I496" i="3" s="1"/>
  <c r="F456" i="3"/>
  <c r="I456" i="3" s="1"/>
  <c r="F214" i="3"/>
  <c r="I214" i="3" s="1"/>
  <c r="F656" i="3"/>
  <c r="I656" i="3" s="1"/>
  <c r="F190" i="3"/>
  <c r="I190" i="3" s="1"/>
  <c r="F440" i="3"/>
  <c r="I440" i="3" s="1"/>
  <c r="F503" i="3"/>
  <c r="I503" i="3" s="1"/>
  <c r="F235" i="3"/>
  <c r="I235" i="3" s="1"/>
  <c r="F161" i="3"/>
  <c r="I161" i="3" s="1"/>
  <c r="F681" i="3"/>
  <c r="I681" i="3" s="1"/>
  <c r="F512" i="3"/>
  <c r="I512" i="3" s="1"/>
  <c r="F328" i="3"/>
  <c r="I328" i="3" s="1"/>
  <c r="F368" i="3"/>
  <c r="I368" i="3" s="1"/>
  <c r="F67" i="3"/>
  <c r="I67" i="3" s="1"/>
  <c r="F288" i="3"/>
  <c r="I288" i="3" s="1"/>
  <c r="F153" i="3"/>
  <c r="I153" i="3" s="1"/>
  <c r="F31" i="3"/>
  <c r="I31" i="3" s="1"/>
  <c r="F574" i="3"/>
  <c r="I574" i="3" s="1"/>
  <c r="F84" i="3"/>
  <c r="I84" i="3" s="1"/>
  <c r="F88" i="3"/>
  <c r="I88" i="3" s="1"/>
  <c r="F111" i="3"/>
  <c r="I111" i="3" s="1"/>
  <c r="F202" i="3"/>
  <c r="I202" i="3" s="1"/>
  <c r="F598" i="3"/>
  <c r="I598" i="3" s="1"/>
  <c r="F427" i="3"/>
  <c r="I427" i="3" s="1"/>
  <c r="F627" i="3"/>
  <c r="I627" i="3" s="1"/>
  <c r="F659" i="3"/>
  <c r="I659" i="3" s="1"/>
  <c r="F747" i="3"/>
  <c r="I747" i="3" s="1"/>
  <c r="F662" i="3"/>
  <c r="I662" i="3" s="1"/>
  <c r="F579" i="3"/>
  <c r="I579" i="3" s="1"/>
  <c r="F518" i="3"/>
  <c r="I518" i="3" s="1"/>
  <c r="F379" i="3"/>
  <c r="I379" i="3" s="1"/>
  <c r="F466" i="3"/>
  <c r="I466" i="3" s="1"/>
  <c r="F642" i="3"/>
  <c r="I642" i="3" s="1"/>
  <c r="F683" i="3"/>
  <c r="I683" i="3" s="1"/>
  <c r="F566" i="3"/>
  <c r="I566" i="3" s="1"/>
  <c r="F506" i="3"/>
  <c r="I506" i="3" s="1"/>
  <c r="F731" i="3"/>
  <c r="I731" i="3" s="1"/>
  <c r="F748" i="3"/>
  <c r="I748" i="3" s="1"/>
  <c r="F445" i="3"/>
  <c r="I445" i="3" s="1"/>
  <c r="F318" i="3"/>
  <c r="I318" i="3" s="1"/>
  <c r="F671" i="3"/>
  <c r="I671" i="3" s="1"/>
  <c r="F61" i="3"/>
  <c r="I61" i="3" s="1"/>
  <c r="F44" i="3"/>
  <c r="I44" i="3" s="1"/>
  <c r="F348" i="3"/>
  <c r="I348" i="3" s="1"/>
  <c r="F276" i="3"/>
  <c r="I276" i="3" s="1"/>
  <c r="F742" i="3"/>
  <c r="I742" i="3" s="1"/>
  <c r="F767" i="3"/>
  <c r="I767" i="3" s="1"/>
  <c r="F400" i="3"/>
  <c r="I400" i="3" s="1"/>
  <c r="F257" i="3"/>
  <c r="I257" i="3" s="1"/>
  <c r="F160" i="3"/>
  <c r="I160" i="3" s="1"/>
  <c r="F82" i="3"/>
  <c r="I82" i="3" s="1"/>
  <c r="F273" i="3"/>
  <c r="I273" i="3" s="1"/>
  <c r="F356" i="3"/>
  <c r="I356" i="3" s="1"/>
  <c r="F725" i="3"/>
  <c r="I725" i="3" s="1"/>
  <c r="F710" i="3"/>
  <c r="I710" i="3" s="1"/>
  <c r="F607" i="3"/>
  <c r="I607" i="3" s="1"/>
  <c r="F551" i="3"/>
  <c r="I551" i="3" s="1"/>
  <c r="F716" i="3"/>
  <c r="I716" i="3" s="1"/>
  <c r="F127" i="3"/>
  <c r="I127" i="3" s="1"/>
  <c r="F37" i="3"/>
  <c r="I37" i="3" s="1"/>
  <c r="F20" i="3"/>
  <c r="I20" i="3" s="1"/>
  <c r="F455" i="3"/>
  <c r="I455" i="3" s="1"/>
  <c r="F65" i="3"/>
  <c r="I65" i="3" s="1"/>
  <c r="F458" i="3"/>
  <c r="I458" i="3" s="1"/>
  <c r="F595" i="3"/>
  <c r="I595" i="3" s="1"/>
  <c r="F340" i="3"/>
  <c r="I340" i="3" s="1"/>
  <c r="F709" i="3"/>
  <c r="I709" i="3" s="1"/>
  <c r="F46" i="3"/>
  <c r="I46" i="3" s="1"/>
  <c r="F203" i="3"/>
  <c r="I203" i="3" s="1"/>
  <c r="F424" i="3"/>
  <c r="I424" i="3" s="1"/>
  <c r="F578" i="3"/>
  <c r="I578" i="3" s="1"/>
  <c r="F24" i="3"/>
  <c r="I24" i="3" s="1"/>
  <c r="F387" i="3"/>
  <c r="I387" i="3" s="1"/>
  <c r="F428" i="3"/>
  <c r="I428" i="3" s="1"/>
  <c r="F397" i="3"/>
  <c r="I397" i="3" s="1"/>
  <c r="F430" i="3"/>
  <c r="I430" i="3" s="1"/>
  <c r="F735" i="3"/>
  <c r="I735" i="3" s="1"/>
  <c r="F147" i="3"/>
  <c r="I147" i="3" s="1"/>
  <c r="F97" i="3"/>
  <c r="I97" i="3" s="1"/>
  <c r="F330" i="3"/>
  <c r="I330" i="3" s="1"/>
  <c r="F89" i="3"/>
  <c r="I89" i="3" s="1"/>
  <c r="F157" i="3"/>
  <c r="I157" i="3" s="1"/>
  <c r="F753" i="3"/>
  <c r="I753" i="3" s="1"/>
  <c r="F585" i="3"/>
  <c r="I585" i="3" s="1"/>
  <c r="F609" i="3"/>
  <c r="I609" i="3" s="1"/>
  <c r="F550" i="3"/>
  <c r="I550" i="3" s="1"/>
  <c r="F433" i="3"/>
  <c r="I433" i="3" s="1"/>
  <c r="F665" i="3"/>
  <c r="I665" i="3" s="1"/>
  <c r="F59" i="3"/>
  <c r="I59" i="3" s="1"/>
  <c r="F502" i="3"/>
  <c r="I502" i="3" s="1"/>
  <c r="F439" i="3"/>
  <c r="I439" i="3" s="1"/>
  <c r="F699" i="3"/>
  <c r="I699" i="3" s="1"/>
  <c r="F402" i="3"/>
  <c r="I402" i="3" s="1"/>
  <c r="F371" i="3"/>
  <c r="I371" i="3" s="1"/>
  <c r="F470" i="3"/>
  <c r="I470" i="3" s="1"/>
  <c r="F580" i="3"/>
  <c r="I580" i="3" s="1"/>
  <c r="F723" i="3"/>
  <c r="I723" i="3" s="1"/>
  <c r="F634" i="3"/>
  <c r="I634" i="3" s="1"/>
  <c r="F443" i="3"/>
  <c r="I443" i="3" s="1"/>
  <c r="F302" i="3"/>
  <c r="I302" i="3" s="1"/>
  <c r="F483" i="3"/>
  <c r="I483" i="3" s="1"/>
  <c r="F32" i="3"/>
  <c r="I32" i="3" s="1"/>
  <c r="F475" i="3"/>
  <c r="I475" i="3" s="1"/>
  <c r="F715" i="3"/>
  <c r="I715" i="3" s="1"/>
  <c r="F706" i="3"/>
  <c r="I706" i="3" s="1"/>
  <c r="F755" i="3"/>
  <c r="I755" i="3" s="1"/>
  <c r="F630" i="3"/>
  <c r="I630" i="3" s="1"/>
  <c r="F58" i="3"/>
  <c r="I58" i="3" s="1"/>
  <c r="F307" i="3"/>
  <c r="I307" i="3" s="1"/>
  <c r="F388" i="3"/>
  <c r="I388" i="3" s="1"/>
  <c r="F509" i="3"/>
  <c r="I509" i="3" s="1"/>
  <c r="F366" i="3"/>
  <c r="I366" i="3" s="1"/>
  <c r="F295" i="3"/>
  <c r="I295" i="3" s="1"/>
  <c r="F143" i="3"/>
  <c r="I143" i="3" s="1"/>
  <c r="F135" i="3"/>
  <c r="I135" i="3" s="1"/>
  <c r="F412" i="3"/>
  <c r="I412" i="3" s="1"/>
  <c r="F357" i="3"/>
  <c r="I357" i="3" s="1"/>
  <c r="F390" i="3"/>
  <c r="I390" i="3" s="1"/>
  <c r="F375" i="3"/>
  <c r="I375" i="3" s="1"/>
  <c r="F448" i="3"/>
  <c r="I448" i="3" s="1"/>
  <c r="F303" i="3"/>
  <c r="I303" i="3" s="1"/>
  <c r="F570" i="3"/>
  <c r="I570" i="3" s="1"/>
  <c r="F146" i="3"/>
  <c r="I146" i="3" s="1"/>
  <c r="F339" i="3"/>
  <c r="I339" i="3" s="1"/>
  <c r="F396" i="3"/>
  <c r="I396" i="3" s="1"/>
  <c r="F325" i="3"/>
  <c r="I325" i="3" s="1"/>
  <c r="F774" i="3"/>
  <c r="I774" i="3" s="1"/>
  <c r="F655" i="3"/>
  <c r="I655" i="3" s="1"/>
  <c r="F616" i="3"/>
  <c r="I616" i="3" s="1"/>
  <c r="F764" i="3"/>
  <c r="I764" i="3" s="1"/>
  <c r="F621" i="3"/>
  <c r="I621" i="3" s="1"/>
  <c r="F128" i="3"/>
  <c r="I128" i="3" s="1"/>
  <c r="F184" i="3"/>
  <c r="I184" i="3" s="1"/>
  <c r="F30" i="3"/>
  <c r="I30" i="3" s="1"/>
  <c r="F553" i="3"/>
  <c r="I553" i="3" s="1"/>
  <c r="F474" i="3"/>
  <c r="I474" i="3" s="1"/>
  <c r="F299" i="3"/>
  <c r="I299" i="3" s="1"/>
  <c r="F404" i="3"/>
  <c r="I404" i="3" s="1"/>
  <c r="F773" i="3"/>
  <c r="I773" i="3" s="1"/>
  <c r="F183" i="3"/>
  <c r="I183" i="3" s="1"/>
  <c r="F663" i="3"/>
  <c r="I663" i="3" s="1"/>
  <c r="F105" i="3"/>
  <c r="I105" i="3" s="1"/>
  <c r="F690" i="3"/>
  <c r="I690" i="3" s="1"/>
  <c r="F116" i="3"/>
  <c r="I116" i="3" s="1"/>
  <c r="F411" i="3"/>
  <c r="I411" i="3" s="1"/>
  <c r="F54" i="3"/>
  <c r="I54" i="3" s="1"/>
  <c r="F461" i="3"/>
  <c r="I461" i="3" s="1"/>
  <c r="F478" i="3"/>
  <c r="I478" i="3" s="1"/>
  <c r="F287" i="3"/>
  <c r="I287" i="3" s="1"/>
  <c r="F457" i="3"/>
  <c r="I457" i="3" s="1"/>
  <c r="F251" i="3"/>
  <c r="I251" i="3" s="1"/>
  <c r="F133" i="3"/>
  <c r="I133" i="3" s="1"/>
  <c r="F769" i="3"/>
  <c r="I769" i="3" s="1"/>
  <c r="F22" i="3"/>
  <c r="I22" i="3" s="1"/>
  <c r="F225" i="3"/>
  <c r="I225" i="3" s="1"/>
  <c r="F211" i="3"/>
  <c r="I211" i="3" s="1"/>
  <c r="F252" i="3"/>
  <c r="I252" i="3" s="1"/>
  <c r="F145" i="3"/>
  <c r="I145" i="3" s="1"/>
  <c r="F705" i="3"/>
  <c r="I705" i="3" s="1"/>
  <c r="F17" i="3"/>
  <c r="I17" i="3" s="1"/>
  <c r="F164" i="3"/>
  <c r="I164" i="3" s="1"/>
  <c r="F689" i="3"/>
  <c r="I689" i="3" s="1"/>
  <c r="F532" i="3"/>
  <c r="I532" i="3" s="1"/>
  <c r="F329" i="3"/>
  <c r="I329" i="3" s="1"/>
  <c r="F206" i="3"/>
  <c r="I206" i="3" s="1"/>
  <c r="F33" i="3"/>
  <c r="I33" i="3" s="1"/>
  <c r="F163" i="3"/>
  <c r="I163" i="3" s="1"/>
  <c r="F393" i="3"/>
  <c r="I393" i="3" s="1"/>
  <c r="F441" i="3"/>
  <c r="I441" i="3" s="1"/>
  <c r="F159" i="3"/>
  <c r="I159" i="3" s="1"/>
  <c r="F193" i="3"/>
  <c r="I193" i="3" s="1"/>
  <c r="F155" i="3"/>
  <c r="I155" i="3" s="1"/>
  <c r="F223" i="3"/>
  <c r="I223" i="3" s="1"/>
  <c r="F442" i="3"/>
  <c r="I442" i="3" s="1"/>
  <c r="F222" i="3"/>
  <c r="I222" i="3" s="1"/>
  <c r="F435" i="3"/>
  <c r="I435" i="3" s="1"/>
  <c r="F355" i="3"/>
  <c r="I355" i="3" s="1"/>
  <c r="F53" i="3"/>
  <c r="I53" i="3" s="1"/>
  <c r="F130" i="3"/>
  <c r="I130" i="3" s="1"/>
  <c r="F301" i="3"/>
  <c r="I301" i="3" s="1"/>
  <c r="F446" i="3"/>
  <c r="I446" i="3" s="1"/>
  <c r="F698" i="3"/>
  <c r="I698" i="3" s="1"/>
  <c r="F117" i="3"/>
  <c r="I117" i="3" s="1"/>
  <c r="F248" i="3"/>
  <c r="I248" i="3" s="1"/>
  <c r="F770" i="3"/>
  <c r="I770" i="3" s="1"/>
  <c r="F533" i="3"/>
  <c r="I533" i="3" s="1"/>
  <c r="F144" i="3"/>
  <c r="I144" i="3" s="1"/>
  <c r="F341" i="3"/>
  <c r="I341" i="3" s="1"/>
  <c r="F762" i="3"/>
  <c r="I762" i="3" s="1"/>
  <c r="F315" i="3"/>
  <c r="I315" i="3" s="1"/>
  <c r="F391" i="3"/>
  <c r="I391" i="3" s="1"/>
  <c r="F122" i="3"/>
  <c r="I122" i="3" s="1"/>
  <c r="F395" i="3"/>
  <c r="I395" i="3" s="1"/>
  <c r="F476" i="3"/>
  <c r="I476" i="3" s="1"/>
  <c r="F92" i="3"/>
  <c r="I92" i="3" s="1"/>
  <c r="F414" i="3"/>
  <c r="I414" i="3" s="1"/>
  <c r="F319" i="3"/>
  <c r="I319" i="3" s="1"/>
  <c r="F534" i="3"/>
  <c r="I534" i="3" s="1"/>
  <c r="F527" i="3"/>
  <c r="I527" i="3" s="1"/>
  <c r="F500" i="3"/>
  <c r="I500" i="3" s="1"/>
  <c r="F381" i="3"/>
  <c r="I381" i="3" s="1"/>
  <c r="F438" i="3"/>
  <c r="I438" i="3" s="1"/>
  <c r="F471" i="3"/>
  <c r="I471" i="3" s="1"/>
  <c r="F169" i="3"/>
  <c r="I169" i="3" s="1"/>
  <c r="F351" i="3"/>
  <c r="I351" i="3" s="1"/>
  <c r="F618" i="3"/>
  <c r="I618" i="3" s="1"/>
  <c r="F210" i="3"/>
  <c r="I210" i="3" s="1"/>
  <c r="F403" i="3"/>
  <c r="I403" i="3" s="1"/>
  <c r="F484" i="3"/>
  <c r="I484" i="3" s="1"/>
  <c r="F453" i="3"/>
  <c r="I453" i="3" s="1"/>
  <c r="F326" i="3"/>
  <c r="I326" i="3" s="1"/>
  <c r="F679" i="3"/>
  <c r="I679" i="3" s="1"/>
  <c r="F296" i="3"/>
  <c r="I296" i="3" s="1"/>
  <c r="F292" i="3"/>
  <c r="I292" i="3" s="1"/>
  <c r="F685" i="3"/>
  <c r="I685" i="3" s="1"/>
  <c r="F622" i="3"/>
  <c r="I622" i="3" s="1"/>
  <c r="F559" i="3"/>
  <c r="I559" i="3" s="1"/>
  <c r="F167" i="3"/>
  <c r="I167" i="3" s="1"/>
  <c r="F602" i="3"/>
  <c r="I602" i="3" s="1"/>
  <c r="F42" i="3"/>
  <c r="I42" i="3" s="1"/>
  <c r="F451" i="3"/>
  <c r="I451" i="3" s="1"/>
  <c r="F492" i="3"/>
  <c r="I492" i="3" s="1"/>
  <c r="F349" i="3"/>
  <c r="I349" i="3" s="1"/>
  <c r="F529" i="3"/>
  <c r="I529" i="3" s="1"/>
  <c r="F335" i="3"/>
  <c r="I335" i="3" s="1"/>
  <c r="F489" i="3"/>
  <c r="I489" i="3" s="1"/>
  <c r="F754" i="3"/>
  <c r="I754" i="3" s="1"/>
  <c r="F526" i="3"/>
  <c r="I526" i="3" s="1"/>
  <c r="B522" i="3" s="1"/>
  <c r="F499" i="3"/>
  <c r="I499" i="3" s="1"/>
  <c r="F191" i="3"/>
  <c r="I191" i="3" s="1"/>
  <c r="F55" i="3"/>
  <c r="I55" i="3" s="1"/>
  <c r="F56" i="3"/>
  <c r="I56" i="3" s="1"/>
  <c r="F487" i="3"/>
  <c r="I487" i="3" s="1"/>
  <c r="F569" i="3"/>
  <c r="I569" i="3" s="1"/>
  <c r="F729" i="3"/>
  <c r="I729" i="3" s="1"/>
  <c r="F205" i="3"/>
  <c r="I205" i="3" s="1"/>
  <c r="F608" i="3"/>
  <c r="I608" i="3" s="1"/>
  <c r="F497" i="3"/>
  <c r="I497" i="3" s="1"/>
  <c r="F504" i="3"/>
  <c r="I504" i="3" s="1"/>
  <c r="F158" i="3"/>
  <c r="I158" i="3" s="1"/>
  <c r="F224" i="3"/>
  <c r="I224" i="3" s="1"/>
  <c r="F651" i="3"/>
  <c r="I651" i="3" s="1"/>
  <c r="F354" i="3"/>
  <c r="I354" i="3" s="1"/>
  <c r="F573" i="3"/>
  <c r="I573" i="3" s="1"/>
  <c r="F567" i="3"/>
  <c r="I567" i="3" s="1"/>
  <c r="F460" i="3"/>
  <c r="I460" i="3" s="1"/>
  <c r="F293" i="3"/>
  <c r="I293" i="3" s="1"/>
  <c r="F85" i="3"/>
  <c r="I85" i="3" s="1"/>
  <c r="F490" i="3"/>
  <c r="I490" i="3" s="1"/>
  <c r="F74" i="3"/>
  <c r="I74" i="3" s="1"/>
  <c r="F300" i="3"/>
  <c r="I300" i="3" s="1"/>
  <c r="F511" i="3"/>
  <c r="I511" i="3" s="1"/>
  <c r="F759" i="3"/>
  <c r="I759" i="3" s="1"/>
  <c r="F242" i="3"/>
  <c r="I242" i="3" s="1"/>
  <c r="F200" i="3"/>
  <c r="I200" i="3" s="1"/>
  <c r="F306" i="3"/>
  <c r="I306" i="3" s="1"/>
  <c r="F338" i="3"/>
  <c r="I338" i="3" s="1"/>
  <c r="F308" i="3"/>
  <c r="I308" i="3" s="1"/>
  <c r="F562" i="3"/>
  <c r="I562" i="3" s="1"/>
  <c r="F250" i="3"/>
  <c r="I250" i="3" s="1"/>
  <c r="F16" i="3"/>
  <c r="I16" i="3" s="1"/>
  <c r="F255" i="3"/>
  <c r="I255" i="3" s="1"/>
  <c r="F638" i="3"/>
  <c r="I638" i="3" s="1"/>
  <c r="F93" i="3"/>
  <c r="I93" i="3" s="1"/>
  <c r="F231" i="3"/>
  <c r="I231" i="3" s="1"/>
  <c r="F587" i="3"/>
  <c r="I587" i="3" s="1"/>
  <c r="F628" i="3"/>
  <c r="I628" i="3" s="1"/>
  <c r="F547" i="3"/>
  <c r="I547" i="3" s="1"/>
  <c r="F421" i="3"/>
  <c r="I421" i="3" s="1"/>
  <c r="F575" i="3"/>
  <c r="I575" i="3" s="1"/>
  <c r="F519" i="3"/>
  <c r="I519" i="3" s="1"/>
  <c r="F344" i="3"/>
  <c r="I344" i="3" s="1"/>
  <c r="F423" i="3"/>
  <c r="I423" i="3" s="1"/>
  <c r="F362" i="3"/>
  <c r="I362" i="3" s="1"/>
  <c r="F207" i="3"/>
  <c r="I207" i="3" s="1"/>
  <c r="F62" i="3"/>
  <c r="I62" i="3" s="1"/>
  <c r="F27" i="3"/>
  <c r="I27" i="3" s="1"/>
  <c r="F28" i="3"/>
  <c r="I28" i="3" s="1"/>
  <c r="F398" i="3"/>
  <c r="I398" i="3" s="1"/>
  <c r="F327" i="3"/>
  <c r="I327" i="3" s="1"/>
  <c r="F71" i="3"/>
  <c r="I71" i="3" s="1"/>
  <c r="F420" i="3"/>
  <c r="I420" i="3" s="1"/>
  <c r="F285" i="3"/>
  <c r="I285" i="3" s="1"/>
  <c r="F750" i="3"/>
  <c r="I750" i="3" s="1"/>
  <c r="F703" i="3"/>
  <c r="I703" i="3" s="1"/>
  <c r="F304" i="3"/>
  <c r="I304" i="3" s="1"/>
  <c r="F730" i="3"/>
  <c r="I730" i="3" s="1"/>
  <c r="F162" i="3"/>
  <c r="I162" i="3" s="1"/>
  <c r="F612" i="3"/>
  <c r="I612" i="3" s="1"/>
  <c r="F136" i="3"/>
  <c r="I136" i="3" s="1"/>
  <c r="F413" i="3"/>
  <c r="I413" i="3" s="1"/>
  <c r="F670" i="3"/>
  <c r="I670" i="3" s="1"/>
  <c r="F479" i="3"/>
  <c r="I479" i="3" s="1"/>
  <c r="F572" i="3"/>
  <c r="I572" i="3" s="1"/>
  <c r="F482" i="3"/>
  <c r="I482" i="3" s="1"/>
  <c r="F707" i="3"/>
  <c r="I707" i="3" s="1"/>
  <c r="F596" i="3"/>
  <c r="I596" i="3" s="1"/>
  <c r="F669" i="3"/>
  <c r="I669" i="3" s="1"/>
  <c r="F590" i="3"/>
  <c r="I590" i="3" s="1"/>
  <c r="F615" i="3"/>
  <c r="I615" i="3" s="1"/>
  <c r="F213" i="3"/>
  <c r="I213" i="3" s="1"/>
  <c r="F696" i="3"/>
  <c r="I696" i="3" s="1"/>
  <c r="F175" i="3"/>
  <c r="I175" i="3" s="1"/>
  <c r="F313" i="3"/>
  <c r="I313" i="3" s="1"/>
  <c r="F254" i="3"/>
  <c r="I254" i="3" s="1"/>
  <c r="F624" i="3"/>
  <c r="I624" i="3" s="1"/>
  <c r="F752" i="3"/>
  <c r="I752" i="3" s="1"/>
  <c r="F432" i="3"/>
  <c r="I432" i="3" s="1"/>
  <c r="F721" i="3"/>
  <c r="I721" i="3" s="1"/>
  <c r="F417" i="3"/>
  <c r="I417" i="3" s="1"/>
  <c r="F714" i="3"/>
  <c r="I714" i="3" s="1"/>
  <c r="F363" i="3"/>
  <c r="I363" i="3" s="1"/>
  <c r="F514" i="3"/>
  <c r="I514" i="3" s="1"/>
  <c r="F365" i="3"/>
  <c r="I365" i="3" s="1"/>
  <c r="F324" i="3"/>
  <c r="I324" i="3" s="1"/>
  <c r="F63" i="3"/>
  <c r="I63" i="3" s="1"/>
  <c r="F346" i="3"/>
  <c r="I346" i="3" s="1"/>
  <c r="F594" i="3"/>
  <c r="I594" i="3" s="1"/>
  <c r="F66" i="3"/>
  <c r="I66" i="3" s="1"/>
  <c r="F218" i="3"/>
  <c r="I218" i="3" s="1"/>
  <c r="F109" i="3"/>
  <c r="I109" i="3" s="1"/>
  <c r="F115" i="3"/>
  <c r="I115" i="3" s="1"/>
  <c r="F378" i="3"/>
  <c r="I378" i="3" s="1"/>
  <c r="F216" i="3"/>
  <c r="I216" i="3" s="1"/>
  <c r="F110" i="3"/>
  <c r="I110" i="3" s="1"/>
  <c r="F138" i="3"/>
  <c r="I138" i="3" s="1"/>
  <c r="F498" i="3"/>
  <c r="I498" i="3" s="1"/>
  <c r="F436" i="3"/>
  <c r="I436" i="3" s="1"/>
  <c r="F610" i="3"/>
  <c r="I610" i="3" s="1"/>
  <c r="F52" i="3"/>
  <c r="I52" i="3" s="1"/>
  <c r="F126" i="3"/>
  <c r="I126" i="3" s="1"/>
  <c r="F589" i="3"/>
  <c r="I589" i="3" s="1"/>
  <c r="F702" i="3"/>
  <c r="I702" i="3" s="1"/>
  <c r="F530" i="3"/>
  <c r="I530" i="3" s="1"/>
  <c r="F640" i="3"/>
  <c r="I640" i="3" s="1"/>
  <c r="F291" i="3"/>
  <c r="I291" i="3" s="1"/>
  <c r="F668" i="3"/>
  <c r="I668" i="3" s="1"/>
  <c r="F613" i="3"/>
  <c r="I613" i="3" s="1"/>
  <c r="F101" i="3"/>
  <c r="I101" i="3" s="1"/>
  <c r="F623" i="3"/>
  <c r="I623" i="3" s="1"/>
  <c r="F112" i="3"/>
  <c r="I112" i="3" s="1"/>
  <c r="F87" i="3"/>
  <c r="I87" i="3" s="1"/>
  <c r="F447" i="3"/>
  <c r="I447" i="3" s="1"/>
  <c r="F386" i="3"/>
  <c r="I386" i="3" s="1"/>
  <c r="F611" i="3"/>
  <c r="I611" i="3" s="1"/>
  <c r="F199" i="3"/>
  <c r="I199" i="3" s="1"/>
  <c r="F118" i="3"/>
  <c r="I118" i="3" s="1"/>
  <c r="F119" i="3"/>
  <c r="I119" i="3" s="1"/>
  <c r="F422" i="3"/>
  <c r="I422" i="3" s="1"/>
  <c r="F407" i="3"/>
  <c r="I407" i="3" s="1"/>
  <c r="F535" i="3"/>
  <c r="I535" i="3" s="1"/>
  <c r="F444" i="3"/>
  <c r="I444" i="3" s="1"/>
  <c r="F389" i="3"/>
  <c r="I389" i="3" s="1"/>
  <c r="F286" i="3"/>
  <c r="I286" i="3" s="1"/>
  <c r="F751" i="3"/>
  <c r="I751" i="3" s="1"/>
  <c r="F360" i="3"/>
  <c r="I360" i="3" s="1"/>
  <c r="F281" i="3"/>
  <c r="I281" i="3" s="1"/>
  <c r="F226" i="3"/>
  <c r="I226" i="3" s="1"/>
  <c r="F676" i="3"/>
  <c r="I676" i="3" s="1"/>
  <c r="F528" i="3"/>
  <c r="I528" i="3" s="1"/>
  <c r="F437" i="3"/>
  <c r="I437" i="3" s="1"/>
  <c r="F734" i="3"/>
  <c r="I734" i="3" s="1"/>
  <c r="F39" i="3"/>
  <c r="I39" i="3" s="1"/>
  <c r="F652" i="3"/>
  <c r="I652" i="3" s="1"/>
  <c r="F106" i="3"/>
  <c r="I106" i="3" s="1"/>
  <c r="F771" i="3"/>
  <c r="I771" i="3" s="1"/>
  <c r="F660" i="3"/>
  <c r="I660" i="3" s="1"/>
  <c r="F733" i="3"/>
  <c r="I733" i="3" s="1"/>
  <c r="F718" i="3"/>
  <c r="I718" i="3" s="1"/>
  <c r="F639" i="3"/>
  <c r="I639" i="3" s="1"/>
  <c r="F488" i="3"/>
  <c r="I488" i="3" s="1"/>
  <c r="F505" i="3"/>
  <c r="I505" i="3" s="1"/>
  <c r="F600" i="3"/>
  <c r="I600" i="3" s="1"/>
  <c r="F261" i="3"/>
  <c r="I261" i="3" s="1"/>
  <c r="F719" i="3"/>
  <c r="I719" i="3" s="1"/>
  <c r="F704" i="3"/>
  <c r="I704" i="3" s="1"/>
  <c r="F481" i="3"/>
  <c r="I481" i="3" s="1"/>
  <c r="F12" i="3"/>
  <c r="I12" i="3" s="1"/>
  <c r="F450" i="3"/>
  <c r="I450" i="3" s="1"/>
  <c r="F675" i="3"/>
  <c r="I675" i="3" s="1"/>
  <c r="F588" i="3"/>
  <c r="I588" i="3" s="1"/>
  <c r="F597" i="3"/>
  <c r="I597" i="3" s="1"/>
  <c r="F582" i="3"/>
  <c r="I582" i="3" s="1"/>
  <c r="F120" i="3"/>
  <c r="I120" i="3" s="1"/>
  <c r="F21" i="3"/>
  <c r="I21" i="3" s="1"/>
  <c r="F636" i="3"/>
  <c r="I636" i="3" s="1"/>
  <c r="F468" i="3"/>
  <c r="I468" i="3" s="1"/>
  <c r="F429" i="3"/>
  <c r="I429" i="3" s="1"/>
  <c r="F454" i="3"/>
  <c r="I454" i="3" s="1"/>
  <c r="F383" i="3"/>
  <c r="I383" i="3" s="1"/>
  <c r="F472" i="3"/>
  <c r="I472" i="3" s="1"/>
  <c r="F322" i="3"/>
  <c r="I322" i="3" s="1"/>
  <c r="F15" i="3"/>
  <c r="I15" i="3" s="1"/>
  <c r="F740" i="3"/>
  <c r="I740" i="3" s="1"/>
  <c r="F581" i="3"/>
  <c r="I581" i="3" s="1"/>
  <c r="F477" i="3"/>
  <c r="I477" i="3" s="1"/>
  <c r="F310" i="3"/>
  <c r="I310" i="3" s="1"/>
  <c r="F176" i="3"/>
  <c r="I176" i="3" s="1"/>
  <c r="F14" i="3"/>
  <c r="I14" i="3" s="1"/>
  <c r="F170" i="3"/>
  <c r="I170" i="3" s="1"/>
  <c r="F323" i="3"/>
  <c r="I323" i="3" s="1"/>
  <c r="F724" i="3"/>
  <c r="I724" i="3" s="1"/>
  <c r="F309" i="3"/>
  <c r="I309" i="3" s="1"/>
  <c r="F334" i="3"/>
  <c r="I334" i="3" s="1"/>
  <c r="F687" i="3"/>
  <c r="I687" i="3" s="1"/>
  <c r="F215" i="3"/>
  <c r="I215" i="3" s="1"/>
  <c r="F249" i="3"/>
  <c r="I249" i="3" s="1"/>
  <c r="F113" i="3"/>
  <c r="I113" i="3" s="1"/>
  <c r="F449" i="3"/>
  <c r="I449" i="3" s="1"/>
  <c r="F649" i="3"/>
  <c r="I649" i="3" s="1"/>
  <c r="F38" i="3"/>
  <c r="I38" i="3" s="1"/>
  <c r="F217" i="3"/>
  <c r="I217" i="3" s="1"/>
  <c r="F69" i="3"/>
  <c r="I69" i="3" s="1"/>
  <c r="F568" i="3"/>
  <c r="I568" i="3" s="1"/>
  <c r="F342" i="3"/>
  <c r="I342" i="3" s="1"/>
  <c r="F95" i="3"/>
  <c r="I95" i="3" s="1"/>
  <c r="F289" i="3"/>
  <c r="I289" i="3" s="1"/>
  <c r="F49" i="3"/>
  <c r="I49" i="3" s="1"/>
  <c r="F464" i="3"/>
  <c r="I464" i="3" s="1"/>
  <c r="F48" i="3"/>
  <c r="I48" i="3" s="1"/>
  <c r="F212" i="3"/>
  <c r="I212" i="3" s="1"/>
  <c r="F81" i="3"/>
  <c r="I81" i="3" s="1"/>
  <c r="F584" i="3"/>
  <c r="I584" i="3" s="1"/>
  <c r="F137" i="3"/>
  <c r="I137" i="3" s="1"/>
  <c r="F227" i="3"/>
  <c r="I227" i="3" s="1"/>
  <c r="F565" i="3"/>
  <c r="I565" i="3" s="1"/>
  <c r="F452" i="3"/>
  <c r="I452" i="3" s="1"/>
  <c r="F178" i="3"/>
  <c r="I178" i="3" s="1"/>
  <c r="F462" i="3"/>
  <c r="I462" i="3" s="1"/>
  <c r="F722" i="3"/>
  <c r="I722" i="3" s="1"/>
  <c r="F469" i="3"/>
  <c r="I469" i="3" s="1"/>
  <c r="F763" i="3"/>
  <c r="I763" i="3" s="1"/>
  <c r="F70" i="3"/>
  <c r="I70" i="3" s="1"/>
  <c r="F635" i="3"/>
  <c r="I635" i="3" s="1"/>
  <c r="F571" i="3"/>
  <c r="I571" i="3" s="1"/>
  <c r="F64" i="3"/>
  <c r="I64" i="3" s="1"/>
  <c r="F26" i="3"/>
  <c r="I26" i="3" s="1"/>
  <c r="F693" i="3"/>
  <c r="I693" i="3" s="1"/>
  <c r="F779" i="3"/>
  <c r="I779" i="3" s="1"/>
  <c r="F367" i="3"/>
  <c r="I367" i="3" s="1"/>
  <c r="F586" i="3"/>
  <c r="I586" i="3" s="1"/>
  <c r="F114" i="3"/>
  <c r="I114" i="3" s="1"/>
  <c r="F247" i="3"/>
  <c r="I247" i="3" s="1"/>
  <c r="F738" i="3"/>
  <c r="I738" i="3" s="1"/>
  <c r="F667" i="3"/>
  <c r="I667" i="3" s="1"/>
  <c r="F684" i="3"/>
  <c r="I684" i="3" s="1"/>
  <c r="F317" i="3"/>
  <c r="I317" i="3" s="1"/>
  <c r="F294" i="3"/>
  <c r="I294" i="3" s="1"/>
  <c r="F647" i="3"/>
  <c r="I647" i="3" s="1"/>
  <c r="F194" i="3"/>
  <c r="I194" i="3" s="1"/>
  <c r="F507" i="3"/>
  <c r="I507" i="3" s="1"/>
  <c r="F732" i="3"/>
  <c r="I732" i="3" s="1"/>
  <c r="F741" i="3"/>
  <c r="I741" i="3" s="1"/>
  <c r="F678" i="3"/>
  <c r="I678" i="3" s="1"/>
  <c r="F743" i="3"/>
  <c r="I743" i="3" s="1"/>
  <c r="F279" i="3"/>
  <c r="I279" i="3" s="1"/>
  <c r="F385" i="3"/>
  <c r="I385" i="3" s="1"/>
  <c r="F140" i="3"/>
  <c r="I140" i="3" s="1"/>
  <c r="F34" i="3"/>
  <c r="I34" i="3" s="1"/>
  <c r="F739" i="3"/>
  <c r="I739" i="3" s="1"/>
  <c r="F332" i="3"/>
  <c r="I332" i="3" s="1"/>
  <c r="F661" i="3"/>
  <c r="I661" i="3" s="1"/>
  <c r="F646" i="3"/>
  <c r="I646" i="3" s="1"/>
  <c r="F583" i="3"/>
  <c r="I583" i="3" s="1"/>
  <c r="F149" i="3"/>
  <c r="I149" i="3" s="1"/>
  <c r="F700" i="3"/>
  <c r="I700" i="3" s="1"/>
  <c r="F36" i="3"/>
  <c r="I36" i="3" s="1"/>
  <c r="F493" i="3"/>
  <c r="I493" i="3" s="1"/>
  <c r="F494" i="3"/>
  <c r="I494" i="3" s="1"/>
  <c r="F431" i="3"/>
  <c r="I431" i="3" s="1"/>
  <c r="F151" i="3"/>
  <c r="I151" i="3" s="1"/>
  <c r="F370" i="3"/>
  <c r="I370" i="3" s="1"/>
  <c r="F107" i="3"/>
  <c r="I107" i="3" s="1"/>
  <c r="F316" i="3"/>
  <c r="I316" i="3" s="1"/>
  <c r="F645" i="3"/>
  <c r="I645" i="3" s="1"/>
  <c r="F501" i="3"/>
  <c r="I501" i="3" s="1"/>
  <c r="F47" i="3"/>
  <c r="I47" i="3" s="1"/>
  <c r="F744" i="3"/>
  <c r="I744" i="3" s="1"/>
  <c r="F23" i="3"/>
  <c r="I23" i="3" s="1"/>
  <c r="F234" i="3"/>
  <c r="I234" i="3" s="1"/>
  <c r="F347" i="3"/>
  <c r="I347" i="3" s="1"/>
  <c r="F364" i="3"/>
  <c r="I364" i="3" s="1"/>
  <c r="F333" i="3"/>
  <c r="I333" i="3" s="1"/>
  <c r="F358" i="3"/>
  <c r="I358" i="3" s="1"/>
  <c r="F711" i="3"/>
  <c r="I711" i="3" s="1"/>
  <c r="F142" i="3"/>
  <c r="I142" i="3" s="1"/>
  <c r="F361" i="3"/>
  <c r="I361" i="3" s="1"/>
  <c r="F673" i="3"/>
  <c r="I673" i="3" s="1"/>
  <c r="F392" i="3"/>
  <c r="I392" i="3" s="1"/>
  <c r="I531" i="4"/>
  <c r="H19" i="7" s="1"/>
  <c r="I273" i="4"/>
  <c r="I11" i="4"/>
  <c r="G13" i="5"/>
  <c r="B525" i="5"/>
  <c r="B266" i="5"/>
  <c r="J662" i="5"/>
  <c r="G663" i="5"/>
  <c r="G187" i="5"/>
  <c r="J187" i="5" s="1"/>
  <c r="J608" i="5"/>
  <c r="G609" i="5"/>
  <c r="J704" i="5"/>
  <c r="G705" i="5"/>
  <c r="J756" i="5"/>
  <c r="G757" i="5"/>
  <c r="J563" i="5"/>
  <c r="G564" i="5"/>
  <c r="J633" i="5"/>
  <c r="G634" i="5"/>
  <c r="J531" i="5"/>
  <c r="G532" i="5"/>
  <c r="J651" i="5"/>
  <c r="G652" i="5"/>
  <c r="J766" i="5"/>
  <c r="G767" i="5"/>
  <c r="J551" i="5"/>
  <c r="G552" i="5"/>
  <c r="J303" i="5"/>
  <c r="G304" i="5"/>
  <c r="G234" i="5"/>
  <c r="G235" i="5" s="1"/>
  <c r="J244" i="5"/>
  <c r="G245" i="5"/>
  <c r="J285" i="5"/>
  <c r="G286" i="5"/>
  <c r="J492" i="5"/>
  <c r="G493" i="5"/>
  <c r="J277" i="5"/>
  <c r="G278" i="5"/>
  <c r="J278" i="5" s="1"/>
  <c r="J521" i="5"/>
  <c r="G522" i="5"/>
  <c r="J131" i="5"/>
  <c r="G132" i="5"/>
  <c r="J25" i="5"/>
  <c r="G26" i="5"/>
  <c r="B527" i="4"/>
  <c r="B268" i="4"/>
  <c r="B7" i="4"/>
  <c r="J305" i="4"/>
  <c r="G306" i="4"/>
  <c r="J769" i="4"/>
  <c r="G770" i="4"/>
  <c r="J609" i="4"/>
  <c r="G610" i="4"/>
  <c r="J707" i="4"/>
  <c r="G708" i="4"/>
  <c r="J13" i="4"/>
  <c r="G14" i="4"/>
  <c r="J757" i="4"/>
  <c r="G758" i="4"/>
  <c r="J559" i="4"/>
  <c r="G560" i="4"/>
  <c r="J25" i="4"/>
  <c r="G26" i="4"/>
  <c r="J286" i="4"/>
  <c r="G287" i="4"/>
  <c r="J533" i="4"/>
  <c r="G534" i="4"/>
  <c r="J534" i="4" s="1"/>
  <c r="J635" i="4"/>
  <c r="G636" i="4"/>
  <c r="J664" i="4"/>
  <c r="G665" i="4"/>
  <c r="J553" i="4"/>
  <c r="G554" i="4"/>
  <c r="J187" i="4"/>
  <c r="G188" i="4"/>
  <c r="J14" i="3"/>
  <c r="G15" i="3"/>
  <c r="J778" i="3"/>
  <c r="G779" i="3"/>
  <c r="J658" i="3"/>
  <c r="G659" i="3"/>
  <c r="J232" i="3"/>
  <c r="G233" i="3"/>
  <c r="J562" i="3"/>
  <c r="G563" i="3"/>
  <c r="J280" i="3"/>
  <c r="G281" i="3"/>
  <c r="J281" i="3" s="1"/>
  <c r="J552" i="3"/>
  <c r="G553" i="3"/>
  <c r="J527" i="3"/>
  <c r="G528" i="3"/>
  <c r="J518" i="3"/>
  <c r="G519" i="3"/>
  <c r="J760" i="3"/>
  <c r="G761" i="3"/>
  <c r="J646" i="3"/>
  <c r="G647" i="3"/>
  <c r="J698" i="3"/>
  <c r="G699" i="3"/>
  <c r="J285" i="3"/>
  <c r="G286" i="3"/>
  <c r="J748" i="3"/>
  <c r="G749" i="3"/>
  <c r="J242" i="3"/>
  <c r="G243" i="3"/>
  <c r="J489" i="3"/>
  <c r="G490" i="3"/>
  <c r="J628" i="3"/>
  <c r="G629" i="3"/>
  <c r="G188" i="5" l="1"/>
  <c r="G189" i="5" s="1"/>
  <c r="G14" i="5"/>
  <c r="J14" i="5" s="1"/>
  <c r="J13" i="5"/>
  <c r="J522" i="5"/>
  <c r="G523" i="5"/>
  <c r="J523" i="5" s="1"/>
  <c r="H18" i="7"/>
  <c r="G279" i="4"/>
  <c r="J278" i="4"/>
  <c r="J17" i="7"/>
  <c r="J18" i="7"/>
  <c r="J19" i="7"/>
  <c r="H17" i="7"/>
  <c r="G656" i="4"/>
  <c r="J655" i="4"/>
  <c r="J566" i="4"/>
  <c r="G567" i="4"/>
  <c r="B7" i="3"/>
  <c r="J779" i="3"/>
  <c r="H14" i="7"/>
  <c r="H15" i="7"/>
  <c r="H16" i="7"/>
  <c r="J16" i="7"/>
  <c r="J15" i="7"/>
  <c r="J14" i="7"/>
  <c r="B264" i="3"/>
  <c r="J532" i="5"/>
  <c r="G533" i="5"/>
  <c r="J705" i="5"/>
  <c r="G706" i="5"/>
  <c r="J552" i="5"/>
  <c r="G553" i="5"/>
  <c r="J634" i="5"/>
  <c r="G635" i="5"/>
  <c r="J609" i="5"/>
  <c r="G610" i="5"/>
  <c r="J767" i="5"/>
  <c r="G768" i="5"/>
  <c r="J564" i="5"/>
  <c r="G565" i="5"/>
  <c r="J663" i="5"/>
  <c r="G664" i="5"/>
  <c r="J652" i="5"/>
  <c r="G653" i="5"/>
  <c r="J757" i="5"/>
  <c r="G758" i="5"/>
  <c r="J493" i="5"/>
  <c r="G494" i="5"/>
  <c r="J234" i="5"/>
  <c r="J286" i="5"/>
  <c r="G287" i="5"/>
  <c r="J245" i="5"/>
  <c r="G246" i="5"/>
  <c r="J304" i="5"/>
  <c r="G305" i="5"/>
  <c r="J132" i="5"/>
  <c r="G133" i="5"/>
  <c r="J235" i="5"/>
  <c r="G236" i="5"/>
  <c r="J188" i="5"/>
  <c r="J26" i="5"/>
  <c r="G27" i="5"/>
  <c r="G15" i="5"/>
  <c r="J188" i="4"/>
  <c r="G189" i="4"/>
  <c r="J758" i="4"/>
  <c r="G759" i="4"/>
  <c r="J287" i="4"/>
  <c r="G288" i="4"/>
  <c r="J14" i="4"/>
  <c r="G15" i="4"/>
  <c r="J610" i="4"/>
  <c r="G611" i="4"/>
  <c r="J665" i="4"/>
  <c r="G666" i="4"/>
  <c r="J770" i="4"/>
  <c r="G771" i="4"/>
  <c r="J554" i="4"/>
  <c r="G555" i="4"/>
  <c r="J555" i="4" s="1"/>
  <c r="J26" i="4"/>
  <c r="G27" i="4"/>
  <c r="J708" i="4"/>
  <c r="G709" i="4"/>
  <c r="J636" i="4"/>
  <c r="G637" i="4"/>
  <c r="J560" i="4"/>
  <c r="G561" i="4"/>
  <c r="J561" i="4" s="1"/>
  <c r="J306" i="4"/>
  <c r="G307" i="4"/>
  <c r="J519" i="3"/>
  <c r="G520" i="3"/>
  <c r="J520" i="3" s="1"/>
  <c r="J490" i="3"/>
  <c r="G491" i="3"/>
  <c r="J699" i="3"/>
  <c r="G700" i="3"/>
  <c r="J528" i="3"/>
  <c r="G529" i="3"/>
  <c r="J233" i="3"/>
  <c r="G234" i="3"/>
  <c r="J286" i="3"/>
  <c r="G287" i="3"/>
  <c r="J629" i="3"/>
  <c r="G630" i="3"/>
  <c r="J15" i="3"/>
  <c r="G16" i="3"/>
  <c r="J243" i="3"/>
  <c r="G244" i="3"/>
  <c r="J553" i="3"/>
  <c r="G554" i="3"/>
  <c r="J749" i="3"/>
  <c r="G750" i="3"/>
  <c r="J761" i="3"/>
  <c r="G762" i="3"/>
  <c r="J563" i="3"/>
  <c r="G564" i="3"/>
  <c r="J647" i="3"/>
  <c r="G648" i="3"/>
  <c r="J659" i="3"/>
  <c r="G660" i="3"/>
  <c r="G280" i="4" l="1"/>
  <c r="J280" i="4" s="1"/>
  <c r="J279" i="4"/>
  <c r="J567" i="4"/>
  <c r="G568" i="4"/>
  <c r="J656" i="4"/>
  <c r="G657" i="4"/>
  <c r="J610" i="5"/>
  <c r="G611" i="5"/>
  <c r="J664" i="5"/>
  <c r="G665" i="5"/>
  <c r="J635" i="5"/>
  <c r="G636" i="5"/>
  <c r="J533" i="5"/>
  <c r="G534" i="5"/>
  <c r="J565" i="5"/>
  <c r="G566" i="5"/>
  <c r="J553" i="5"/>
  <c r="G554" i="5"/>
  <c r="J758" i="5"/>
  <c r="G759" i="5"/>
  <c r="J768" i="5"/>
  <c r="G769" i="5"/>
  <c r="J706" i="5"/>
  <c r="G707" i="5"/>
  <c r="J653" i="5"/>
  <c r="G654" i="5"/>
  <c r="J305" i="5"/>
  <c r="G306" i="5"/>
  <c r="J246" i="5"/>
  <c r="G247" i="5"/>
  <c r="J287" i="5"/>
  <c r="G288" i="5"/>
  <c r="J494" i="5"/>
  <c r="G495" i="5"/>
  <c r="J133" i="5"/>
  <c r="G134" i="5"/>
  <c r="J236" i="5"/>
  <c r="G237" i="5"/>
  <c r="J27" i="5"/>
  <c r="G28" i="5"/>
  <c r="J15" i="5"/>
  <c r="G16" i="5"/>
  <c r="J189" i="5"/>
  <c r="G190" i="5"/>
  <c r="J15" i="4"/>
  <c r="G16" i="4"/>
  <c r="J189" i="4"/>
  <c r="G190" i="4"/>
  <c r="J637" i="4"/>
  <c r="G638" i="4"/>
  <c r="J771" i="4"/>
  <c r="G772" i="4"/>
  <c r="J288" i="4"/>
  <c r="G289" i="4"/>
  <c r="J307" i="4"/>
  <c r="G308" i="4"/>
  <c r="J709" i="4"/>
  <c r="G710" i="4"/>
  <c r="J666" i="4"/>
  <c r="G667" i="4"/>
  <c r="J27" i="4"/>
  <c r="G28" i="4"/>
  <c r="J611" i="4"/>
  <c r="G612" i="4"/>
  <c r="J759" i="4"/>
  <c r="G760" i="4"/>
  <c r="J564" i="3"/>
  <c r="G565" i="3"/>
  <c r="J762" i="3"/>
  <c r="G763" i="3"/>
  <c r="J16" i="3"/>
  <c r="G17" i="3"/>
  <c r="J529" i="3"/>
  <c r="G530" i="3"/>
  <c r="J244" i="3"/>
  <c r="G245" i="3"/>
  <c r="J750" i="3"/>
  <c r="G751" i="3"/>
  <c r="J700" i="3"/>
  <c r="G701" i="3"/>
  <c r="J648" i="3"/>
  <c r="G649" i="3"/>
  <c r="J287" i="3"/>
  <c r="G288" i="3"/>
  <c r="J491" i="3"/>
  <c r="G492" i="3"/>
  <c r="J234" i="3"/>
  <c r="G235" i="3"/>
  <c r="J660" i="3"/>
  <c r="G661" i="3"/>
  <c r="J630" i="3"/>
  <c r="G631" i="3"/>
  <c r="J554" i="3"/>
  <c r="G555" i="3"/>
  <c r="J555" i="3" s="1"/>
  <c r="J568" i="4" l="1"/>
  <c r="G569" i="4"/>
  <c r="J657" i="4"/>
  <c r="G658" i="4"/>
  <c r="J566" i="5"/>
  <c r="G567" i="5"/>
  <c r="J769" i="5"/>
  <c r="G770" i="5"/>
  <c r="J534" i="5"/>
  <c r="G535" i="5"/>
  <c r="J535" i="5" s="1"/>
  <c r="J707" i="5"/>
  <c r="G708" i="5"/>
  <c r="J759" i="5"/>
  <c r="G760" i="5"/>
  <c r="J636" i="5"/>
  <c r="G637" i="5"/>
  <c r="J554" i="5"/>
  <c r="G555" i="5"/>
  <c r="J555" i="5" s="1"/>
  <c r="J611" i="5"/>
  <c r="G612" i="5"/>
  <c r="J665" i="5"/>
  <c r="G666" i="5"/>
  <c r="J654" i="5"/>
  <c r="G655" i="5"/>
  <c r="J247" i="5"/>
  <c r="G248" i="5"/>
  <c r="J288" i="5"/>
  <c r="G289" i="5"/>
  <c r="J495" i="5"/>
  <c r="G496" i="5"/>
  <c r="J306" i="5"/>
  <c r="G307" i="5"/>
  <c r="J16" i="5"/>
  <c r="G17" i="5"/>
  <c r="J28" i="5"/>
  <c r="G29" i="5"/>
  <c r="J190" i="5"/>
  <c r="G191" i="5"/>
  <c r="J237" i="5"/>
  <c r="G238" i="5"/>
  <c r="J134" i="5"/>
  <c r="G135" i="5"/>
  <c r="J612" i="4"/>
  <c r="G613" i="4"/>
  <c r="J667" i="4"/>
  <c r="G668" i="4"/>
  <c r="J772" i="4"/>
  <c r="G773" i="4"/>
  <c r="J28" i="4"/>
  <c r="G29" i="4"/>
  <c r="J710" i="4"/>
  <c r="G711" i="4"/>
  <c r="J638" i="4"/>
  <c r="G639" i="4"/>
  <c r="J308" i="4"/>
  <c r="G309" i="4"/>
  <c r="J190" i="4"/>
  <c r="G191" i="4"/>
  <c r="J760" i="4"/>
  <c r="G761" i="4"/>
  <c r="J289" i="4"/>
  <c r="G290" i="4"/>
  <c r="J16" i="4"/>
  <c r="G17" i="4"/>
  <c r="J631" i="3"/>
  <c r="G632" i="3"/>
  <c r="J288" i="3"/>
  <c r="G289" i="3"/>
  <c r="J245" i="3"/>
  <c r="G246" i="3"/>
  <c r="J565" i="3"/>
  <c r="G566" i="3"/>
  <c r="J661" i="3"/>
  <c r="G662" i="3"/>
  <c r="J649" i="3"/>
  <c r="G650" i="3"/>
  <c r="J530" i="3"/>
  <c r="G531" i="3"/>
  <c r="J235" i="3"/>
  <c r="G236" i="3"/>
  <c r="J701" i="3"/>
  <c r="G702" i="3"/>
  <c r="J17" i="3"/>
  <c r="G18" i="3"/>
  <c r="J492" i="3"/>
  <c r="G493" i="3"/>
  <c r="J751" i="3"/>
  <c r="G752" i="3"/>
  <c r="J763" i="3"/>
  <c r="G764" i="3"/>
  <c r="J569" i="4" l="1"/>
  <c r="G570" i="4"/>
  <c r="J658" i="4"/>
  <c r="G659" i="4"/>
  <c r="J659" i="4" s="1"/>
  <c r="J708" i="5"/>
  <c r="G709" i="5"/>
  <c r="J655" i="5"/>
  <c r="G656" i="5"/>
  <c r="J637" i="5"/>
  <c r="G638" i="5"/>
  <c r="J770" i="5"/>
  <c r="G771" i="5"/>
  <c r="J666" i="5"/>
  <c r="G667" i="5"/>
  <c r="J567" i="5"/>
  <c r="G568" i="5"/>
  <c r="J612" i="5"/>
  <c r="G613" i="5"/>
  <c r="J760" i="5"/>
  <c r="G761" i="5"/>
  <c r="J496" i="5"/>
  <c r="G497" i="5"/>
  <c r="J307" i="5"/>
  <c r="G308" i="5"/>
  <c r="J289" i="5"/>
  <c r="G290" i="5"/>
  <c r="J248" i="5"/>
  <c r="G249" i="5"/>
  <c r="J191" i="5"/>
  <c r="G192" i="5"/>
  <c r="J17" i="5"/>
  <c r="G18" i="5"/>
  <c r="J29" i="5"/>
  <c r="G30" i="5"/>
  <c r="J238" i="5"/>
  <c r="G239" i="5"/>
  <c r="J135" i="5"/>
  <c r="G136" i="5"/>
  <c r="J29" i="4"/>
  <c r="G30" i="4"/>
  <c r="J773" i="4"/>
  <c r="G774" i="4"/>
  <c r="J290" i="4"/>
  <c r="G291" i="4"/>
  <c r="J17" i="4"/>
  <c r="G18" i="4"/>
  <c r="J761" i="4"/>
  <c r="G762" i="4"/>
  <c r="J668" i="4"/>
  <c r="G669" i="4"/>
  <c r="J639" i="4"/>
  <c r="G640" i="4"/>
  <c r="J309" i="4"/>
  <c r="G310" i="4"/>
  <c r="J191" i="4"/>
  <c r="G192" i="4"/>
  <c r="J613" i="4"/>
  <c r="G614" i="4"/>
  <c r="J711" i="4"/>
  <c r="G712" i="4"/>
  <c r="J752" i="3"/>
  <c r="G753" i="3"/>
  <c r="J236" i="3"/>
  <c r="G237" i="3"/>
  <c r="J566" i="3"/>
  <c r="G567" i="3"/>
  <c r="J246" i="3"/>
  <c r="G247" i="3"/>
  <c r="J493" i="3"/>
  <c r="G494" i="3"/>
  <c r="J650" i="3"/>
  <c r="G651" i="3"/>
  <c r="J289" i="3"/>
  <c r="G290" i="3"/>
  <c r="J531" i="3"/>
  <c r="G532" i="3"/>
  <c r="J18" i="3"/>
  <c r="G19" i="3"/>
  <c r="J764" i="3"/>
  <c r="G765" i="3"/>
  <c r="J702" i="3"/>
  <c r="G703" i="3"/>
  <c r="J662" i="3"/>
  <c r="G663" i="3"/>
  <c r="J632" i="3"/>
  <c r="G633" i="3"/>
  <c r="J570" i="4" l="1"/>
  <c r="G571" i="4"/>
  <c r="J709" i="5"/>
  <c r="G710" i="5"/>
  <c r="J761" i="5"/>
  <c r="G762" i="5"/>
  <c r="J762" i="5" s="1"/>
  <c r="J771" i="5"/>
  <c r="G772" i="5"/>
  <c r="J638" i="5"/>
  <c r="G639" i="5"/>
  <c r="J568" i="5"/>
  <c r="G569" i="5"/>
  <c r="J667" i="5"/>
  <c r="G668" i="5"/>
  <c r="J613" i="5"/>
  <c r="G614" i="5"/>
  <c r="J656" i="5"/>
  <c r="G657" i="5"/>
  <c r="J657" i="5" s="1"/>
  <c r="G250" i="5"/>
  <c r="J249" i="5"/>
  <c r="J290" i="5"/>
  <c r="G291" i="5"/>
  <c r="J308" i="5"/>
  <c r="G309" i="5"/>
  <c r="J497" i="5"/>
  <c r="G498" i="5"/>
  <c r="J30" i="5"/>
  <c r="G31" i="5"/>
  <c r="J136" i="5"/>
  <c r="G137" i="5"/>
  <c r="J192" i="5"/>
  <c r="G193" i="5"/>
  <c r="J239" i="5"/>
  <c r="G240" i="5"/>
  <c r="J240" i="5" s="1"/>
  <c r="J18" i="5"/>
  <c r="G19" i="5"/>
  <c r="J669" i="4"/>
  <c r="G670" i="4"/>
  <c r="J30" i="4"/>
  <c r="G31" i="4"/>
  <c r="J18" i="4"/>
  <c r="G19" i="4"/>
  <c r="J192" i="4"/>
  <c r="G193" i="4"/>
  <c r="J774" i="4"/>
  <c r="G775" i="4"/>
  <c r="J310" i="4"/>
  <c r="G311" i="4"/>
  <c r="J762" i="4"/>
  <c r="G763" i="4"/>
  <c r="J712" i="4"/>
  <c r="G713" i="4"/>
  <c r="J640" i="4"/>
  <c r="G641" i="4"/>
  <c r="J614" i="4"/>
  <c r="G615" i="4"/>
  <c r="J291" i="4"/>
  <c r="G292" i="4"/>
  <c r="J663" i="3"/>
  <c r="G664" i="3"/>
  <c r="J532" i="3"/>
  <c r="G533" i="3"/>
  <c r="J247" i="3"/>
  <c r="G248" i="3"/>
  <c r="J290" i="3"/>
  <c r="G291" i="3"/>
  <c r="J567" i="3"/>
  <c r="G568" i="3"/>
  <c r="J703" i="3"/>
  <c r="G704" i="3"/>
  <c r="J651" i="3"/>
  <c r="G652" i="3"/>
  <c r="J652" i="3" s="1"/>
  <c r="J237" i="3"/>
  <c r="G238" i="3"/>
  <c r="J238" i="3" s="1"/>
  <c r="J765" i="3"/>
  <c r="G766" i="3"/>
  <c r="J633" i="3"/>
  <c r="G634" i="3"/>
  <c r="J19" i="3"/>
  <c r="G20" i="3"/>
  <c r="J494" i="3"/>
  <c r="G495" i="3"/>
  <c r="J753" i="3"/>
  <c r="G754" i="3"/>
  <c r="J571" i="4" l="1"/>
  <c r="G572" i="4"/>
  <c r="J710" i="5"/>
  <c r="G711" i="5"/>
  <c r="J639" i="5"/>
  <c r="G640" i="5"/>
  <c r="J614" i="5"/>
  <c r="G615" i="5"/>
  <c r="J772" i="5"/>
  <c r="G773" i="5"/>
  <c r="J569" i="5"/>
  <c r="G570" i="5"/>
  <c r="J668" i="5"/>
  <c r="G669" i="5"/>
  <c r="J498" i="5"/>
  <c r="G499" i="5"/>
  <c r="J309" i="5"/>
  <c r="G310" i="5"/>
  <c r="J291" i="5"/>
  <c r="G292" i="5"/>
  <c r="J250" i="5"/>
  <c r="G251" i="5"/>
  <c r="J193" i="5"/>
  <c r="G194" i="5"/>
  <c r="J19" i="5"/>
  <c r="G20" i="5"/>
  <c r="J31" i="5"/>
  <c r="G32" i="5"/>
  <c r="J137" i="5"/>
  <c r="G138" i="5"/>
  <c r="J193" i="4"/>
  <c r="G194" i="4"/>
  <c r="J292" i="4"/>
  <c r="G293" i="4"/>
  <c r="J763" i="4"/>
  <c r="G764" i="4"/>
  <c r="J764" i="4" s="1"/>
  <c r="J19" i="4"/>
  <c r="G20" i="4"/>
  <c r="J311" i="4"/>
  <c r="G312" i="4"/>
  <c r="J31" i="4"/>
  <c r="G32" i="4"/>
  <c r="J713" i="4"/>
  <c r="G714" i="4"/>
  <c r="J641" i="4"/>
  <c r="G642" i="4"/>
  <c r="J670" i="4"/>
  <c r="G671" i="4"/>
  <c r="J615" i="4"/>
  <c r="G616" i="4"/>
  <c r="J775" i="4"/>
  <c r="G776" i="4"/>
  <c r="J495" i="3"/>
  <c r="G496" i="3"/>
  <c r="J20" i="3"/>
  <c r="G21" i="3"/>
  <c r="J704" i="3"/>
  <c r="G705" i="3"/>
  <c r="J533" i="3"/>
  <c r="G534" i="3"/>
  <c r="J291" i="3"/>
  <c r="G292" i="3"/>
  <c r="J634" i="3"/>
  <c r="G635" i="3"/>
  <c r="J248" i="3"/>
  <c r="G249" i="3"/>
  <c r="J754" i="3"/>
  <c r="G755" i="3"/>
  <c r="J766" i="3"/>
  <c r="G767" i="3"/>
  <c r="J568" i="3"/>
  <c r="G569" i="3"/>
  <c r="J664" i="3"/>
  <c r="G665" i="3"/>
  <c r="J572" i="4" l="1"/>
  <c r="G573" i="4"/>
  <c r="J615" i="5"/>
  <c r="G616" i="5"/>
  <c r="J773" i="5"/>
  <c r="G774" i="5"/>
  <c r="J669" i="5"/>
  <c r="G670" i="5"/>
  <c r="J640" i="5"/>
  <c r="G641" i="5"/>
  <c r="J570" i="5"/>
  <c r="G571" i="5"/>
  <c r="J711" i="5"/>
  <c r="G712" i="5"/>
  <c r="J292" i="5"/>
  <c r="G293" i="5"/>
  <c r="J310" i="5"/>
  <c r="G311" i="5"/>
  <c r="J251" i="5"/>
  <c r="G252" i="5"/>
  <c r="J499" i="5"/>
  <c r="G500" i="5"/>
  <c r="J32" i="5"/>
  <c r="G33" i="5"/>
  <c r="J20" i="5"/>
  <c r="G21" i="5"/>
  <c r="J21" i="5" s="1"/>
  <c r="J138" i="5"/>
  <c r="G139" i="5"/>
  <c r="J194" i="5"/>
  <c r="G195" i="5"/>
  <c r="J714" i="4"/>
  <c r="G715" i="4"/>
  <c r="J776" i="4"/>
  <c r="G777" i="4"/>
  <c r="J616" i="4"/>
  <c r="G617" i="4"/>
  <c r="J32" i="4"/>
  <c r="G33" i="4"/>
  <c r="J312" i="4"/>
  <c r="G313" i="4"/>
  <c r="J671" i="4"/>
  <c r="G672" i="4"/>
  <c r="J293" i="4"/>
  <c r="G294" i="4"/>
  <c r="J642" i="4"/>
  <c r="G643" i="4"/>
  <c r="J20" i="4"/>
  <c r="G21" i="4"/>
  <c r="J21" i="4" s="1"/>
  <c r="J194" i="4"/>
  <c r="G195" i="4"/>
  <c r="J767" i="3"/>
  <c r="G768" i="3"/>
  <c r="J292" i="3"/>
  <c r="G293" i="3"/>
  <c r="J496" i="3"/>
  <c r="G497" i="3"/>
  <c r="J755" i="3"/>
  <c r="G756" i="3"/>
  <c r="J756" i="3" s="1"/>
  <c r="J534" i="3"/>
  <c r="G535" i="3"/>
  <c r="J535" i="3" s="1"/>
  <c r="J705" i="3"/>
  <c r="G706" i="3"/>
  <c r="J665" i="3"/>
  <c r="G666" i="3"/>
  <c r="J249" i="3"/>
  <c r="G250" i="3"/>
  <c r="J569" i="3"/>
  <c r="G570" i="3"/>
  <c r="J635" i="3"/>
  <c r="G636" i="3"/>
  <c r="J21" i="3"/>
  <c r="G22" i="3"/>
  <c r="G574" i="4" l="1"/>
  <c r="J573" i="4"/>
  <c r="J616" i="5"/>
  <c r="G617" i="5"/>
  <c r="J641" i="5"/>
  <c r="G642" i="5"/>
  <c r="J670" i="5"/>
  <c r="G671" i="5"/>
  <c r="J571" i="5"/>
  <c r="G572" i="5"/>
  <c r="J712" i="5"/>
  <c r="G713" i="5"/>
  <c r="J774" i="5"/>
  <c r="G775" i="5"/>
  <c r="J252" i="5"/>
  <c r="G253" i="5"/>
  <c r="J293" i="5"/>
  <c r="G294" i="5"/>
  <c r="J500" i="5"/>
  <c r="G501" i="5"/>
  <c r="J311" i="5"/>
  <c r="G312" i="5"/>
  <c r="J139" i="5"/>
  <c r="G140" i="5"/>
  <c r="J33" i="5"/>
  <c r="G34" i="5"/>
  <c r="J195" i="5"/>
  <c r="G196" i="5"/>
  <c r="J294" i="4"/>
  <c r="G295" i="4"/>
  <c r="J33" i="4"/>
  <c r="G34" i="4"/>
  <c r="J195" i="4"/>
  <c r="G196" i="4"/>
  <c r="J672" i="4"/>
  <c r="G673" i="4"/>
  <c r="J617" i="4"/>
  <c r="G618" i="4"/>
  <c r="J313" i="4"/>
  <c r="G314" i="4"/>
  <c r="J777" i="4"/>
  <c r="G778" i="4"/>
  <c r="J643" i="4"/>
  <c r="G644" i="4"/>
  <c r="J715" i="4"/>
  <c r="G716" i="4"/>
  <c r="J497" i="3"/>
  <c r="G498" i="3"/>
  <c r="J250" i="3"/>
  <c r="G251" i="3"/>
  <c r="J22" i="3"/>
  <c r="G23" i="3"/>
  <c r="J636" i="3"/>
  <c r="G637" i="3"/>
  <c r="J293" i="3"/>
  <c r="G294" i="3"/>
  <c r="J666" i="3"/>
  <c r="G667" i="3"/>
  <c r="J706" i="3"/>
  <c r="G707" i="3"/>
  <c r="J570" i="3"/>
  <c r="G571" i="3"/>
  <c r="J768" i="3"/>
  <c r="G769" i="3"/>
  <c r="J574" i="4" l="1"/>
  <c r="G575" i="4"/>
  <c r="J617" i="5"/>
  <c r="G618" i="5"/>
  <c r="J572" i="5"/>
  <c r="G573" i="5"/>
  <c r="J671" i="5"/>
  <c r="G672" i="5"/>
  <c r="J713" i="5"/>
  <c r="G714" i="5"/>
  <c r="J775" i="5"/>
  <c r="G776" i="5"/>
  <c r="J642" i="5"/>
  <c r="G643" i="5"/>
  <c r="J501" i="5"/>
  <c r="G502" i="5"/>
  <c r="J294" i="5"/>
  <c r="G295" i="5"/>
  <c r="J312" i="5"/>
  <c r="G313" i="5"/>
  <c r="J253" i="5"/>
  <c r="G254" i="5"/>
  <c r="J34" i="5"/>
  <c r="G35" i="5"/>
  <c r="J196" i="5"/>
  <c r="G197" i="5"/>
  <c r="J140" i="5"/>
  <c r="G141" i="5"/>
  <c r="J673" i="4"/>
  <c r="G674" i="4"/>
  <c r="J644" i="4"/>
  <c r="G645" i="4"/>
  <c r="J778" i="4"/>
  <c r="G779" i="4"/>
  <c r="J196" i="4"/>
  <c r="G197" i="4"/>
  <c r="J716" i="4"/>
  <c r="G717" i="4"/>
  <c r="J314" i="4"/>
  <c r="G315" i="4"/>
  <c r="J34" i="4"/>
  <c r="G35" i="4"/>
  <c r="J618" i="4"/>
  <c r="G619" i="4"/>
  <c r="J295" i="4"/>
  <c r="G296" i="4"/>
  <c r="J294" i="3"/>
  <c r="G295" i="3"/>
  <c r="J571" i="3"/>
  <c r="G572" i="3"/>
  <c r="J637" i="3"/>
  <c r="G638" i="3"/>
  <c r="J498" i="3"/>
  <c r="G499" i="3"/>
  <c r="J667" i="3"/>
  <c r="G668" i="3"/>
  <c r="J769" i="3"/>
  <c r="G770" i="3"/>
  <c r="J707" i="3"/>
  <c r="G708" i="3"/>
  <c r="J23" i="3"/>
  <c r="G24" i="3"/>
  <c r="J251" i="3"/>
  <c r="G252" i="3"/>
  <c r="J575" i="4" l="1"/>
  <c r="G576" i="4"/>
  <c r="J618" i="5"/>
  <c r="G619" i="5"/>
  <c r="J714" i="5"/>
  <c r="G715" i="5"/>
  <c r="J672" i="5"/>
  <c r="G673" i="5"/>
  <c r="J776" i="5"/>
  <c r="G777" i="5"/>
  <c r="J643" i="5"/>
  <c r="G644" i="5"/>
  <c r="J573" i="5"/>
  <c r="G574" i="5"/>
  <c r="J254" i="5"/>
  <c r="G255" i="5"/>
  <c r="J313" i="5"/>
  <c r="G314" i="5"/>
  <c r="J295" i="5"/>
  <c r="G296" i="5"/>
  <c r="J502" i="5"/>
  <c r="G503" i="5"/>
  <c r="J197" i="5"/>
  <c r="G198" i="5"/>
  <c r="J141" i="5"/>
  <c r="G142" i="5"/>
  <c r="J35" i="5"/>
  <c r="G36" i="5"/>
  <c r="J197" i="4"/>
  <c r="G198" i="4"/>
  <c r="J35" i="4"/>
  <c r="G36" i="4"/>
  <c r="J779" i="4"/>
  <c r="G780" i="4"/>
  <c r="J645" i="4"/>
  <c r="G646" i="4"/>
  <c r="J315" i="4"/>
  <c r="G316" i="4"/>
  <c r="J296" i="4"/>
  <c r="G297" i="4"/>
  <c r="J619" i="4"/>
  <c r="G620" i="4"/>
  <c r="J717" i="4"/>
  <c r="G718" i="4"/>
  <c r="J674" i="4"/>
  <c r="G675" i="4"/>
  <c r="J24" i="3"/>
  <c r="G25" i="3"/>
  <c r="J499" i="3"/>
  <c r="G500" i="3"/>
  <c r="J638" i="3"/>
  <c r="G639" i="3"/>
  <c r="J572" i="3"/>
  <c r="G573" i="3"/>
  <c r="J708" i="3"/>
  <c r="G709" i="3"/>
  <c r="J770" i="3"/>
  <c r="G771" i="3"/>
  <c r="J252" i="3"/>
  <c r="G253" i="3"/>
  <c r="J668" i="3"/>
  <c r="G669" i="3"/>
  <c r="J295" i="3"/>
  <c r="G296" i="3"/>
  <c r="J576" i="4" l="1"/>
  <c r="G577" i="4"/>
  <c r="J619" i="5"/>
  <c r="G620" i="5"/>
  <c r="J777" i="5"/>
  <c r="G778" i="5"/>
  <c r="J673" i="5"/>
  <c r="G674" i="5"/>
  <c r="J644" i="5"/>
  <c r="G645" i="5"/>
  <c r="J574" i="5"/>
  <c r="G575" i="5"/>
  <c r="J715" i="5"/>
  <c r="G716" i="5"/>
  <c r="J255" i="5"/>
  <c r="G256" i="5"/>
  <c r="J503" i="5"/>
  <c r="G504" i="5"/>
  <c r="J296" i="5"/>
  <c r="G297" i="5"/>
  <c r="J314" i="5"/>
  <c r="G315" i="5"/>
  <c r="J36" i="5"/>
  <c r="G37" i="5"/>
  <c r="J142" i="5"/>
  <c r="G143" i="5"/>
  <c r="J198" i="5"/>
  <c r="G199" i="5"/>
  <c r="J780" i="4"/>
  <c r="G781" i="4"/>
  <c r="J620" i="4"/>
  <c r="G621" i="4"/>
  <c r="J297" i="4"/>
  <c r="G298" i="4"/>
  <c r="J36" i="4"/>
  <c r="G37" i="4"/>
  <c r="J675" i="4"/>
  <c r="G676" i="4"/>
  <c r="J316" i="4"/>
  <c r="G317" i="4"/>
  <c r="J718" i="4"/>
  <c r="G719" i="4"/>
  <c r="J646" i="4"/>
  <c r="G647" i="4"/>
  <c r="J198" i="4"/>
  <c r="G199" i="4"/>
  <c r="J573" i="3"/>
  <c r="G574" i="3"/>
  <c r="J253" i="3"/>
  <c r="G254" i="3"/>
  <c r="J500" i="3"/>
  <c r="G501" i="3"/>
  <c r="J639" i="3"/>
  <c r="G640" i="3"/>
  <c r="J296" i="3"/>
  <c r="G297" i="3"/>
  <c r="J709" i="3"/>
  <c r="G710" i="3"/>
  <c r="J25" i="3"/>
  <c r="G26" i="3"/>
  <c r="J669" i="3"/>
  <c r="G670" i="3"/>
  <c r="J771" i="3"/>
  <c r="G772" i="3"/>
  <c r="J577" i="4" l="1"/>
  <c r="G578" i="4"/>
  <c r="J674" i="5"/>
  <c r="G675" i="5"/>
  <c r="J645" i="5"/>
  <c r="G646" i="5"/>
  <c r="J716" i="5"/>
  <c r="G717" i="5"/>
  <c r="J778" i="5"/>
  <c r="G779" i="5"/>
  <c r="J575" i="5"/>
  <c r="G576" i="5"/>
  <c r="J620" i="5"/>
  <c r="G621" i="5"/>
  <c r="J315" i="5"/>
  <c r="G316" i="5"/>
  <c r="J504" i="5"/>
  <c r="G505" i="5"/>
  <c r="J297" i="5"/>
  <c r="G298" i="5"/>
  <c r="J298" i="5" s="1"/>
  <c r="J256" i="5"/>
  <c r="G257" i="5"/>
  <c r="J143" i="5"/>
  <c r="G144" i="5"/>
  <c r="J199" i="5"/>
  <c r="G200" i="5"/>
  <c r="J37" i="5"/>
  <c r="G38" i="5"/>
  <c r="J647" i="4"/>
  <c r="G648" i="4"/>
  <c r="J719" i="4"/>
  <c r="G720" i="4"/>
  <c r="J37" i="4"/>
  <c r="G38" i="4"/>
  <c r="J298" i="4"/>
  <c r="G299" i="4"/>
  <c r="J199" i="4"/>
  <c r="G200" i="4"/>
  <c r="J317" i="4"/>
  <c r="G318" i="4"/>
  <c r="J621" i="4"/>
  <c r="G622" i="4"/>
  <c r="J676" i="4"/>
  <c r="G677" i="4"/>
  <c r="J781" i="4"/>
  <c r="G782" i="4"/>
  <c r="J772" i="3"/>
  <c r="G773" i="3"/>
  <c r="J574" i="3"/>
  <c r="G575" i="3"/>
  <c r="J670" i="3"/>
  <c r="G671" i="3"/>
  <c r="J640" i="3"/>
  <c r="G641" i="3"/>
  <c r="J254" i="3"/>
  <c r="G255" i="3"/>
  <c r="J297" i="3"/>
  <c r="G298" i="3"/>
  <c r="J26" i="3"/>
  <c r="G27" i="3"/>
  <c r="J501" i="3"/>
  <c r="G502" i="3"/>
  <c r="J710" i="3"/>
  <c r="G711" i="3"/>
  <c r="J782" i="4" l="1"/>
  <c r="J578" i="4"/>
  <c r="G579" i="4"/>
  <c r="J675" i="5"/>
  <c r="G676" i="5"/>
  <c r="J779" i="5"/>
  <c r="G780" i="5"/>
  <c r="J717" i="5"/>
  <c r="G718" i="5"/>
  <c r="J576" i="5"/>
  <c r="G577" i="5"/>
  <c r="J621" i="5"/>
  <c r="G622" i="5"/>
  <c r="J646" i="5"/>
  <c r="G647" i="5"/>
  <c r="J647" i="5" s="1"/>
  <c r="J257" i="5"/>
  <c r="G258" i="5"/>
  <c r="J505" i="5"/>
  <c r="G506" i="5"/>
  <c r="J316" i="5"/>
  <c r="G317" i="5"/>
  <c r="J38" i="5"/>
  <c r="G39" i="5"/>
  <c r="J200" i="5"/>
  <c r="G201" i="5"/>
  <c r="J144" i="5"/>
  <c r="G145" i="5"/>
  <c r="J677" i="4"/>
  <c r="G678" i="4"/>
  <c r="J648" i="4"/>
  <c r="G649" i="4"/>
  <c r="J649" i="4" s="1"/>
  <c r="J299" i="4"/>
  <c r="G300" i="4"/>
  <c r="J300" i="4" s="1"/>
  <c r="J622" i="4"/>
  <c r="G623" i="4"/>
  <c r="J318" i="4"/>
  <c r="G319" i="4"/>
  <c r="J38" i="4"/>
  <c r="G39" i="4"/>
  <c r="J720" i="4"/>
  <c r="G721" i="4"/>
  <c r="J200" i="4"/>
  <c r="G201" i="4"/>
  <c r="J502" i="3"/>
  <c r="G503" i="3"/>
  <c r="J641" i="3"/>
  <c r="G642" i="3"/>
  <c r="J642" i="3" s="1"/>
  <c r="J27" i="3"/>
  <c r="G28" i="3"/>
  <c r="J671" i="3"/>
  <c r="G672" i="3"/>
  <c r="J298" i="3"/>
  <c r="G299" i="3"/>
  <c r="J575" i="3"/>
  <c r="G576" i="3"/>
  <c r="J711" i="3"/>
  <c r="G712" i="3"/>
  <c r="J255" i="3"/>
  <c r="G256" i="3"/>
  <c r="J773" i="3"/>
  <c r="G774" i="3"/>
  <c r="G580" i="4" l="1"/>
  <c r="J579" i="4"/>
  <c r="J774" i="3"/>
  <c r="J780" i="5"/>
  <c r="J577" i="5"/>
  <c r="G578" i="5"/>
  <c r="J718" i="5"/>
  <c r="G719" i="5"/>
  <c r="J622" i="5"/>
  <c r="G623" i="5"/>
  <c r="J676" i="5"/>
  <c r="G677" i="5"/>
  <c r="J258" i="5"/>
  <c r="G259" i="5"/>
  <c r="J317" i="5"/>
  <c r="G318" i="5"/>
  <c r="J506" i="5"/>
  <c r="G507" i="5"/>
  <c r="J201" i="5"/>
  <c r="G202" i="5"/>
  <c r="J145" i="5"/>
  <c r="G146" i="5"/>
  <c r="J39" i="5"/>
  <c r="G40" i="5"/>
  <c r="J721" i="4"/>
  <c r="G722" i="4"/>
  <c r="J319" i="4"/>
  <c r="G320" i="4"/>
  <c r="J201" i="4"/>
  <c r="G202" i="4"/>
  <c r="J678" i="4"/>
  <c r="G679" i="4"/>
  <c r="J39" i="4"/>
  <c r="G40" i="4"/>
  <c r="J623" i="4"/>
  <c r="G624" i="4"/>
  <c r="J299" i="3"/>
  <c r="G300" i="3"/>
  <c r="J256" i="3"/>
  <c r="G257" i="3"/>
  <c r="J672" i="3"/>
  <c r="G673" i="3"/>
  <c r="J712" i="3"/>
  <c r="G713" i="3"/>
  <c r="J28" i="3"/>
  <c r="G29" i="3"/>
  <c r="J576" i="3"/>
  <c r="G577" i="3"/>
  <c r="J503" i="3"/>
  <c r="G504" i="3"/>
  <c r="G581" i="4" l="1"/>
  <c r="J580" i="4"/>
  <c r="J257" i="3"/>
  <c r="J259" i="5"/>
  <c r="J719" i="5"/>
  <c r="G720" i="5"/>
  <c r="J677" i="5"/>
  <c r="G678" i="5"/>
  <c r="J623" i="5"/>
  <c r="G624" i="5"/>
  <c r="J578" i="5"/>
  <c r="G579" i="5"/>
  <c r="J318" i="5"/>
  <c r="G319" i="5"/>
  <c r="J507" i="5"/>
  <c r="G508" i="5"/>
  <c r="J40" i="5"/>
  <c r="G41" i="5"/>
  <c r="J146" i="5"/>
  <c r="G147" i="5"/>
  <c r="J202" i="5"/>
  <c r="G203" i="5"/>
  <c r="J202" i="4"/>
  <c r="G203" i="4"/>
  <c r="J624" i="4"/>
  <c r="G625" i="4"/>
  <c r="J320" i="4"/>
  <c r="G321" i="4"/>
  <c r="J40" i="4"/>
  <c r="G41" i="4"/>
  <c r="J679" i="4"/>
  <c r="G680" i="4"/>
  <c r="J722" i="4"/>
  <c r="G723" i="4"/>
  <c r="J673" i="3"/>
  <c r="G674" i="3"/>
  <c r="J713" i="3"/>
  <c r="G714" i="3"/>
  <c r="J504" i="3"/>
  <c r="G505" i="3"/>
  <c r="J577" i="3"/>
  <c r="G578" i="3"/>
  <c r="J300" i="3"/>
  <c r="G301" i="3"/>
  <c r="J29" i="3"/>
  <c r="G30" i="3"/>
  <c r="J581" i="4" l="1"/>
  <c r="G582" i="4"/>
  <c r="J720" i="5"/>
  <c r="G721" i="5"/>
  <c r="J579" i="5"/>
  <c r="G580" i="5"/>
  <c r="J624" i="5"/>
  <c r="G625" i="5"/>
  <c r="J678" i="5"/>
  <c r="G679" i="5"/>
  <c r="J319" i="5"/>
  <c r="G320" i="5"/>
  <c r="J508" i="5"/>
  <c r="G509" i="5"/>
  <c r="J147" i="5"/>
  <c r="G148" i="5"/>
  <c r="J203" i="5"/>
  <c r="G204" i="5"/>
  <c r="J41" i="5"/>
  <c r="G42" i="5"/>
  <c r="J723" i="4"/>
  <c r="G724" i="4"/>
  <c r="J321" i="4"/>
  <c r="G322" i="4"/>
  <c r="J625" i="4"/>
  <c r="G626" i="4"/>
  <c r="J680" i="4"/>
  <c r="G681" i="4"/>
  <c r="J41" i="4"/>
  <c r="G42" i="4"/>
  <c r="J203" i="4"/>
  <c r="G204" i="4"/>
  <c r="J578" i="3"/>
  <c r="G579" i="3"/>
  <c r="J714" i="3"/>
  <c r="G715" i="3"/>
  <c r="J505" i="3"/>
  <c r="G506" i="3"/>
  <c r="J674" i="3"/>
  <c r="G675" i="3"/>
  <c r="J30" i="3"/>
  <c r="G31" i="3"/>
  <c r="J301" i="3"/>
  <c r="G302" i="3"/>
  <c r="G583" i="4" l="1"/>
  <c r="J582" i="4"/>
  <c r="J580" i="5"/>
  <c r="G581" i="5"/>
  <c r="J721" i="5"/>
  <c r="G722" i="5"/>
  <c r="J679" i="5"/>
  <c r="G680" i="5"/>
  <c r="J625" i="5"/>
  <c r="G626" i="5"/>
  <c r="J320" i="5"/>
  <c r="G321" i="5"/>
  <c r="J509" i="5"/>
  <c r="G510" i="5"/>
  <c r="J148" i="5"/>
  <c r="G149" i="5"/>
  <c r="J42" i="5"/>
  <c r="G43" i="5"/>
  <c r="J204" i="5"/>
  <c r="G205" i="5"/>
  <c r="J626" i="4"/>
  <c r="G627" i="4"/>
  <c r="J681" i="4"/>
  <c r="G682" i="4"/>
  <c r="J204" i="4"/>
  <c r="G205" i="4"/>
  <c r="J42" i="4"/>
  <c r="G43" i="4"/>
  <c r="J322" i="4"/>
  <c r="G323" i="4"/>
  <c r="J724" i="4"/>
  <c r="G725" i="4"/>
  <c r="J31" i="3"/>
  <c r="G32" i="3"/>
  <c r="J579" i="3"/>
  <c r="G580" i="3"/>
  <c r="J675" i="3"/>
  <c r="G676" i="3"/>
  <c r="J506" i="3"/>
  <c r="G507" i="3"/>
  <c r="J302" i="3"/>
  <c r="G303" i="3"/>
  <c r="J715" i="3"/>
  <c r="G716" i="3"/>
  <c r="G584" i="4" l="1"/>
  <c r="J583" i="4"/>
  <c r="J626" i="5"/>
  <c r="G627" i="5"/>
  <c r="J680" i="5"/>
  <c r="G681" i="5"/>
  <c r="J722" i="5"/>
  <c r="G723" i="5"/>
  <c r="J581" i="5"/>
  <c r="G582" i="5"/>
  <c r="J510" i="5"/>
  <c r="G511" i="5"/>
  <c r="J321" i="5"/>
  <c r="G322" i="5"/>
  <c r="J43" i="5"/>
  <c r="G44" i="5"/>
  <c r="J205" i="5"/>
  <c r="G206" i="5"/>
  <c r="J149" i="5"/>
  <c r="G150" i="5"/>
  <c r="J205" i="4"/>
  <c r="G206" i="4"/>
  <c r="J725" i="4"/>
  <c r="G726" i="4"/>
  <c r="J682" i="4"/>
  <c r="G683" i="4"/>
  <c r="J627" i="4"/>
  <c r="G628" i="4"/>
  <c r="J323" i="4"/>
  <c r="G324" i="4"/>
  <c r="J43" i="4"/>
  <c r="G44" i="4"/>
  <c r="J716" i="3"/>
  <c r="G717" i="3"/>
  <c r="J580" i="3"/>
  <c r="G581" i="3"/>
  <c r="J303" i="3"/>
  <c r="G304" i="3"/>
  <c r="J32" i="3"/>
  <c r="G33" i="3"/>
  <c r="J507" i="3"/>
  <c r="G508" i="3"/>
  <c r="J676" i="3"/>
  <c r="G677" i="3"/>
  <c r="J584" i="4" l="1"/>
  <c r="G585" i="4"/>
  <c r="J582" i="5"/>
  <c r="G583" i="5"/>
  <c r="J681" i="5"/>
  <c r="G682" i="5"/>
  <c r="J627" i="5"/>
  <c r="G628" i="5"/>
  <c r="J723" i="5"/>
  <c r="G724" i="5"/>
  <c r="J322" i="5"/>
  <c r="G323" i="5"/>
  <c r="J511" i="5"/>
  <c r="G512" i="5"/>
  <c r="J150" i="5"/>
  <c r="G151" i="5"/>
  <c r="J206" i="5"/>
  <c r="G207" i="5"/>
  <c r="J44" i="5"/>
  <c r="G45" i="5"/>
  <c r="J628" i="4"/>
  <c r="G629" i="4"/>
  <c r="J683" i="4"/>
  <c r="G684" i="4"/>
  <c r="J726" i="4"/>
  <c r="G727" i="4"/>
  <c r="J44" i="4"/>
  <c r="G45" i="4"/>
  <c r="J324" i="4"/>
  <c r="G325" i="4"/>
  <c r="J206" i="4"/>
  <c r="G207" i="4"/>
  <c r="J304" i="3"/>
  <c r="G305" i="3"/>
  <c r="J33" i="3"/>
  <c r="G34" i="3"/>
  <c r="J677" i="3"/>
  <c r="G678" i="3"/>
  <c r="J717" i="3"/>
  <c r="G718" i="3"/>
  <c r="J581" i="3"/>
  <c r="G582" i="3"/>
  <c r="J508" i="3"/>
  <c r="G509" i="3"/>
  <c r="J585" i="4" l="1"/>
  <c r="G586" i="4"/>
  <c r="J628" i="5"/>
  <c r="G629" i="5"/>
  <c r="J629" i="5" s="1"/>
  <c r="J724" i="5"/>
  <c r="G725" i="5"/>
  <c r="J583" i="5"/>
  <c r="G584" i="5"/>
  <c r="J682" i="5"/>
  <c r="G683" i="5"/>
  <c r="J512" i="5"/>
  <c r="G513" i="5"/>
  <c r="J323" i="5"/>
  <c r="G324" i="5"/>
  <c r="J45" i="5"/>
  <c r="G46" i="5"/>
  <c r="J151" i="5"/>
  <c r="G152" i="5"/>
  <c r="J207" i="5"/>
  <c r="G208" i="5"/>
  <c r="J727" i="4"/>
  <c r="G728" i="4"/>
  <c r="J207" i="4"/>
  <c r="G208" i="4"/>
  <c r="J684" i="4"/>
  <c r="G685" i="4"/>
  <c r="J325" i="4"/>
  <c r="G326" i="4"/>
  <c r="J45" i="4"/>
  <c r="G46" i="4"/>
  <c r="J629" i="4"/>
  <c r="G630" i="4"/>
  <c r="J582" i="3"/>
  <c r="G583" i="3"/>
  <c r="J718" i="3"/>
  <c r="G719" i="3"/>
  <c r="J509" i="3"/>
  <c r="G510" i="3"/>
  <c r="J34" i="3"/>
  <c r="G35" i="3"/>
  <c r="J305" i="3"/>
  <c r="G306" i="3"/>
  <c r="J678" i="3"/>
  <c r="G679" i="3"/>
  <c r="J586" i="4" l="1"/>
  <c r="G587" i="4"/>
  <c r="J683" i="5"/>
  <c r="G684" i="5"/>
  <c r="J584" i="5"/>
  <c r="G585" i="5"/>
  <c r="J725" i="5"/>
  <c r="G726" i="5"/>
  <c r="J324" i="5"/>
  <c r="G325" i="5"/>
  <c r="J513" i="5"/>
  <c r="G514" i="5"/>
  <c r="J152" i="5"/>
  <c r="G153" i="5"/>
  <c r="J208" i="5"/>
  <c r="G209" i="5"/>
  <c r="J46" i="5"/>
  <c r="G47" i="5"/>
  <c r="J46" i="4"/>
  <c r="G47" i="4"/>
  <c r="J630" i="4"/>
  <c r="G631" i="4"/>
  <c r="J631" i="4" s="1"/>
  <c r="J685" i="4"/>
  <c r="G686" i="4"/>
  <c r="J208" i="4"/>
  <c r="G209" i="4"/>
  <c r="J326" i="4"/>
  <c r="G327" i="4"/>
  <c r="J728" i="4"/>
  <c r="G729" i="4"/>
  <c r="J583" i="3"/>
  <c r="G584" i="3"/>
  <c r="J35" i="3"/>
  <c r="G36" i="3"/>
  <c r="J679" i="3"/>
  <c r="G680" i="3"/>
  <c r="J306" i="3"/>
  <c r="G307" i="3"/>
  <c r="J510" i="3"/>
  <c r="G511" i="3"/>
  <c r="J719" i="3"/>
  <c r="G720" i="3"/>
  <c r="J587" i="4" l="1"/>
  <c r="G588" i="4"/>
  <c r="J726" i="5"/>
  <c r="G727" i="5"/>
  <c r="J585" i="5"/>
  <c r="G586" i="5"/>
  <c r="J684" i="5"/>
  <c r="G685" i="5"/>
  <c r="J325" i="5"/>
  <c r="G326" i="5"/>
  <c r="J514" i="5"/>
  <c r="G515" i="5"/>
  <c r="J47" i="5"/>
  <c r="G48" i="5"/>
  <c r="J153" i="5"/>
  <c r="G154" i="5"/>
  <c r="J209" i="5"/>
  <c r="G210" i="5"/>
  <c r="J686" i="4"/>
  <c r="G687" i="4"/>
  <c r="J327" i="4"/>
  <c r="G328" i="4"/>
  <c r="J729" i="4"/>
  <c r="G730" i="4"/>
  <c r="J209" i="4"/>
  <c r="G210" i="4"/>
  <c r="J47" i="4"/>
  <c r="G48" i="4"/>
  <c r="J307" i="3"/>
  <c r="G308" i="3"/>
  <c r="J36" i="3"/>
  <c r="G37" i="3"/>
  <c r="J720" i="3"/>
  <c r="G721" i="3"/>
  <c r="J680" i="3"/>
  <c r="G681" i="3"/>
  <c r="J511" i="3"/>
  <c r="G512" i="3"/>
  <c r="J584" i="3"/>
  <c r="G585" i="3"/>
  <c r="G589" i="4" l="1"/>
  <c r="J588" i="4"/>
  <c r="J586" i="5"/>
  <c r="G587" i="5"/>
  <c r="J685" i="5"/>
  <c r="G686" i="5"/>
  <c r="J727" i="5"/>
  <c r="G728" i="5"/>
  <c r="J326" i="5"/>
  <c r="G327" i="5"/>
  <c r="J515" i="5"/>
  <c r="G516" i="5"/>
  <c r="J210" i="5"/>
  <c r="G211" i="5"/>
  <c r="J48" i="5"/>
  <c r="G49" i="5"/>
  <c r="J154" i="5"/>
  <c r="G155" i="5"/>
  <c r="J730" i="4"/>
  <c r="G731" i="4"/>
  <c r="J328" i="4"/>
  <c r="G329" i="4"/>
  <c r="J48" i="4"/>
  <c r="G49" i="4"/>
  <c r="J210" i="4"/>
  <c r="G211" i="4"/>
  <c r="J687" i="4"/>
  <c r="G688" i="4"/>
  <c r="J308" i="3"/>
  <c r="G309" i="3"/>
  <c r="J585" i="3"/>
  <c r="G586" i="3"/>
  <c r="J721" i="3"/>
  <c r="G722" i="3"/>
  <c r="J37" i="3"/>
  <c r="G38" i="3"/>
  <c r="J512" i="3"/>
  <c r="G513" i="3"/>
  <c r="J681" i="3"/>
  <c r="G682" i="3"/>
  <c r="J589" i="4" l="1"/>
  <c r="G590" i="4"/>
  <c r="J728" i="5"/>
  <c r="G729" i="5"/>
  <c r="J686" i="5"/>
  <c r="G687" i="5"/>
  <c r="J587" i="5"/>
  <c r="G588" i="5"/>
  <c r="J327" i="5"/>
  <c r="G328" i="5"/>
  <c r="J516" i="5"/>
  <c r="G517" i="5"/>
  <c r="J49" i="5"/>
  <c r="G50" i="5"/>
  <c r="J211" i="5"/>
  <c r="G212" i="5"/>
  <c r="J155" i="5"/>
  <c r="G156" i="5"/>
  <c r="J49" i="4"/>
  <c r="G50" i="4"/>
  <c r="J329" i="4"/>
  <c r="G330" i="4"/>
  <c r="J688" i="4"/>
  <c r="G689" i="4"/>
  <c r="J731" i="4"/>
  <c r="G732" i="4"/>
  <c r="J211" i="4"/>
  <c r="G212" i="4"/>
  <c r="J722" i="3"/>
  <c r="G723" i="3"/>
  <c r="J38" i="3"/>
  <c r="G39" i="3"/>
  <c r="J682" i="3"/>
  <c r="G683" i="3"/>
  <c r="J586" i="3"/>
  <c r="G587" i="3"/>
  <c r="J513" i="3"/>
  <c r="G514" i="3"/>
  <c r="J309" i="3"/>
  <c r="G310" i="3"/>
  <c r="J590" i="4" l="1"/>
  <c r="G591" i="4"/>
  <c r="J514" i="3"/>
  <c r="J517" i="5"/>
  <c r="J687" i="5"/>
  <c r="G688" i="5"/>
  <c r="J588" i="5"/>
  <c r="G589" i="5"/>
  <c r="J729" i="5"/>
  <c r="G730" i="5"/>
  <c r="J328" i="5"/>
  <c r="G329" i="5"/>
  <c r="J212" i="5"/>
  <c r="G213" i="5"/>
  <c r="J156" i="5"/>
  <c r="G157" i="5"/>
  <c r="J50" i="5"/>
  <c r="G51" i="5"/>
  <c r="J732" i="4"/>
  <c r="G733" i="4"/>
  <c r="J689" i="4"/>
  <c r="G690" i="4"/>
  <c r="J330" i="4"/>
  <c r="G331" i="4"/>
  <c r="J212" i="4"/>
  <c r="G213" i="4"/>
  <c r="J50" i="4"/>
  <c r="G51" i="4"/>
  <c r="J683" i="3"/>
  <c r="G684" i="3"/>
  <c r="J587" i="3"/>
  <c r="G588" i="3"/>
  <c r="J39" i="3"/>
  <c r="G40" i="3"/>
  <c r="J310" i="3"/>
  <c r="G311" i="3"/>
  <c r="J723" i="3"/>
  <c r="G724" i="3"/>
  <c r="J591" i="4" l="1"/>
  <c r="G592" i="4"/>
  <c r="J589" i="5"/>
  <c r="G590" i="5"/>
  <c r="J688" i="5"/>
  <c r="G689" i="5"/>
  <c r="J730" i="5"/>
  <c r="G731" i="5"/>
  <c r="J329" i="5"/>
  <c r="G330" i="5"/>
  <c r="J51" i="5"/>
  <c r="G52" i="5"/>
  <c r="J157" i="5"/>
  <c r="G158" i="5"/>
  <c r="J213" i="5"/>
  <c r="G214" i="5"/>
  <c r="J331" i="4"/>
  <c r="G332" i="4"/>
  <c r="J690" i="4"/>
  <c r="G691" i="4"/>
  <c r="J733" i="4"/>
  <c r="G734" i="4"/>
  <c r="J51" i="4"/>
  <c r="G52" i="4"/>
  <c r="J213" i="4"/>
  <c r="G214" i="4"/>
  <c r="J311" i="3"/>
  <c r="G312" i="3"/>
  <c r="J40" i="3"/>
  <c r="G41" i="3"/>
  <c r="J588" i="3"/>
  <c r="G589" i="3"/>
  <c r="J724" i="3"/>
  <c r="G725" i="3"/>
  <c r="J684" i="3"/>
  <c r="G685" i="3"/>
  <c r="J592" i="4" l="1"/>
  <c r="G593" i="4"/>
  <c r="J731" i="5"/>
  <c r="G732" i="5"/>
  <c r="J689" i="5"/>
  <c r="G690" i="5"/>
  <c r="J590" i="5"/>
  <c r="G591" i="5"/>
  <c r="J330" i="5"/>
  <c r="G331" i="5"/>
  <c r="J214" i="5"/>
  <c r="G215" i="5"/>
  <c r="J158" i="5"/>
  <c r="G159" i="5"/>
  <c r="J52" i="5"/>
  <c r="G53" i="5"/>
  <c r="J52" i="4"/>
  <c r="G53" i="4"/>
  <c r="J734" i="4"/>
  <c r="G735" i="4"/>
  <c r="J691" i="4"/>
  <c r="G692" i="4"/>
  <c r="J214" i="4"/>
  <c r="G215" i="4"/>
  <c r="J332" i="4"/>
  <c r="G333" i="4"/>
  <c r="J589" i="3"/>
  <c r="G590" i="3"/>
  <c r="J725" i="3"/>
  <c r="G726" i="3"/>
  <c r="J41" i="3"/>
  <c r="G42" i="3"/>
  <c r="J685" i="3"/>
  <c r="G686" i="3"/>
  <c r="J312" i="3"/>
  <c r="G313" i="3"/>
  <c r="J593" i="4" l="1"/>
  <c r="G594" i="4"/>
  <c r="J591" i="5"/>
  <c r="G592" i="5"/>
  <c r="J690" i="5"/>
  <c r="G691" i="5"/>
  <c r="J732" i="5"/>
  <c r="G733" i="5"/>
  <c r="J331" i="5"/>
  <c r="G332" i="5"/>
  <c r="J215" i="5"/>
  <c r="G216" i="5"/>
  <c r="J159" i="5"/>
  <c r="G160" i="5"/>
  <c r="J53" i="5"/>
  <c r="G54" i="5"/>
  <c r="J692" i="4"/>
  <c r="G693" i="4"/>
  <c r="J333" i="4"/>
  <c r="G334" i="4"/>
  <c r="J735" i="4"/>
  <c r="G736" i="4"/>
  <c r="J215" i="4"/>
  <c r="G216" i="4"/>
  <c r="J53" i="4"/>
  <c r="G54" i="4"/>
  <c r="J313" i="3"/>
  <c r="G314" i="3"/>
  <c r="J686" i="3"/>
  <c r="G687" i="3"/>
  <c r="J726" i="3"/>
  <c r="G727" i="3"/>
  <c r="J590" i="3"/>
  <c r="G591" i="3"/>
  <c r="J42" i="3"/>
  <c r="G43" i="3"/>
  <c r="J594" i="4" l="1"/>
  <c r="G595" i="4"/>
  <c r="J592" i="5"/>
  <c r="G593" i="5"/>
  <c r="J691" i="5"/>
  <c r="G692" i="5"/>
  <c r="J733" i="5"/>
  <c r="G734" i="5"/>
  <c r="J332" i="5"/>
  <c r="G333" i="5"/>
  <c r="J160" i="5"/>
  <c r="G161" i="5"/>
  <c r="J54" i="5"/>
  <c r="G55" i="5"/>
  <c r="J216" i="5"/>
  <c r="G217" i="5"/>
  <c r="J334" i="4"/>
  <c r="G335" i="4"/>
  <c r="J736" i="4"/>
  <c r="G737" i="4"/>
  <c r="J54" i="4"/>
  <c r="G55" i="4"/>
  <c r="J693" i="4"/>
  <c r="G694" i="4"/>
  <c r="J216" i="4"/>
  <c r="G217" i="4"/>
  <c r="J591" i="3"/>
  <c r="G592" i="3"/>
  <c r="J687" i="3"/>
  <c r="G688" i="3"/>
  <c r="J314" i="3"/>
  <c r="G315" i="3"/>
  <c r="J727" i="3"/>
  <c r="G728" i="3"/>
  <c r="J43" i="3"/>
  <c r="G44" i="3"/>
  <c r="J595" i="4" l="1"/>
  <c r="G596" i="4"/>
  <c r="J692" i="5"/>
  <c r="G693" i="5"/>
  <c r="J734" i="5"/>
  <c r="G735" i="5"/>
  <c r="J593" i="5"/>
  <c r="G594" i="5"/>
  <c r="J333" i="5"/>
  <c r="G334" i="5"/>
  <c r="J55" i="5"/>
  <c r="G56" i="5"/>
  <c r="J217" i="5"/>
  <c r="G218" i="5"/>
  <c r="J161" i="5"/>
  <c r="G162" i="5"/>
  <c r="J55" i="4"/>
  <c r="G56" i="4"/>
  <c r="J737" i="4"/>
  <c r="G738" i="4"/>
  <c r="J217" i="4"/>
  <c r="G218" i="4"/>
  <c r="J335" i="4"/>
  <c r="G336" i="4"/>
  <c r="J694" i="4"/>
  <c r="G695" i="4"/>
  <c r="J728" i="3"/>
  <c r="G729" i="3"/>
  <c r="J315" i="3"/>
  <c r="G316" i="3"/>
  <c r="J688" i="3"/>
  <c r="G689" i="3"/>
  <c r="J44" i="3"/>
  <c r="G45" i="3"/>
  <c r="J592" i="3"/>
  <c r="G593" i="3"/>
  <c r="J596" i="4" l="1"/>
  <c r="G597" i="4"/>
  <c r="J735" i="5"/>
  <c r="G736" i="5"/>
  <c r="J594" i="5"/>
  <c r="G595" i="5"/>
  <c r="J693" i="5"/>
  <c r="G694" i="5"/>
  <c r="J334" i="5"/>
  <c r="G335" i="5"/>
  <c r="J218" i="5"/>
  <c r="G219" i="5"/>
  <c r="J162" i="5"/>
  <c r="G163" i="5"/>
  <c r="J56" i="5"/>
  <c r="G57" i="5"/>
  <c r="J218" i="4"/>
  <c r="G219" i="4"/>
  <c r="J738" i="4"/>
  <c r="G739" i="4"/>
  <c r="J56" i="4"/>
  <c r="G57" i="4"/>
  <c r="J695" i="4"/>
  <c r="G696" i="4"/>
  <c r="J336" i="4"/>
  <c r="G337" i="4"/>
  <c r="J45" i="3"/>
  <c r="G46" i="3"/>
  <c r="J689" i="3"/>
  <c r="G690" i="3"/>
  <c r="J316" i="3"/>
  <c r="G317" i="3"/>
  <c r="J593" i="3"/>
  <c r="G594" i="3"/>
  <c r="J729" i="3"/>
  <c r="G730" i="3"/>
  <c r="J597" i="4" l="1"/>
  <c r="G598" i="4"/>
  <c r="J694" i="5"/>
  <c r="G695" i="5"/>
  <c r="J595" i="5"/>
  <c r="G596" i="5"/>
  <c r="J736" i="5"/>
  <c r="G737" i="5"/>
  <c r="J335" i="5"/>
  <c r="G336" i="5"/>
  <c r="J219" i="5"/>
  <c r="G220" i="5"/>
  <c r="J163" i="5"/>
  <c r="G164" i="5"/>
  <c r="J57" i="5"/>
  <c r="G58" i="5"/>
  <c r="J337" i="4"/>
  <c r="G338" i="4"/>
  <c r="J696" i="4"/>
  <c r="G697" i="4"/>
  <c r="J57" i="4"/>
  <c r="G58" i="4"/>
  <c r="J739" i="4"/>
  <c r="G740" i="4"/>
  <c r="J219" i="4"/>
  <c r="G220" i="4"/>
  <c r="J594" i="3"/>
  <c r="G595" i="3"/>
  <c r="J317" i="3"/>
  <c r="G318" i="3"/>
  <c r="J690" i="3"/>
  <c r="G691" i="3"/>
  <c r="J730" i="3"/>
  <c r="G731" i="3"/>
  <c r="J46" i="3"/>
  <c r="G47" i="3"/>
  <c r="J598" i="4" l="1"/>
  <c r="G599" i="4"/>
  <c r="J737" i="5"/>
  <c r="G738" i="5"/>
  <c r="J596" i="5"/>
  <c r="G597" i="5"/>
  <c r="J695" i="5"/>
  <c r="G696" i="5"/>
  <c r="J336" i="5"/>
  <c r="G337" i="5"/>
  <c r="J58" i="5"/>
  <c r="G59" i="5"/>
  <c r="J164" i="5"/>
  <c r="G165" i="5"/>
  <c r="J220" i="5"/>
  <c r="G221" i="5"/>
  <c r="J740" i="4"/>
  <c r="G741" i="4"/>
  <c r="J58" i="4"/>
  <c r="G59" i="4"/>
  <c r="J220" i="4"/>
  <c r="G221" i="4"/>
  <c r="J697" i="4"/>
  <c r="G698" i="4"/>
  <c r="J338" i="4"/>
  <c r="G339" i="4"/>
  <c r="J47" i="3"/>
  <c r="G48" i="3"/>
  <c r="J595" i="3"/>
  <c r="G596" i="3"/>
  <c r="J731" i="3"/>
  <c r="G732" i="3"/>
  <c r="J691" i="3"/>
  <c r="G692" i="3"/>
  <c r="J318" i="3"/>
  <c r="G319" i="3"/>
  <c r="J599" i="4" l="1"/>
  <c r="G600" i="4"/>
  <c r="J597" i="5"/>
  <c r="G598" i="5"/>
  <c r="J738" i="5"/>
  <c r="G739" i="5"/>
  <c r="J696" i="5"/>
  <c r="G697" i="5"/>
  <c r="J337" i="5"/>
  <c r="G338" i="5"/>
  <c r="J59" i="5"/>
  <c r="G60" i="5"/>
  <c r="J221" i="5"/>
  <c r="G222" i="5"/>
  <c r="J165" i="5"/>
  <c r="G166" i="5"/>
  <c r="J339" i="4"/>
  <c r="G340" i="4"/>
  <c r="J698" i="4"/>
  <c r="G699" i="4"/>
  <c r="J221" i="4"/>
  <c r="G222" i="4"/>
  <c r="J59" i="4"/>
  <c r="G60" i="4"/>
  <c r="J741" i="4"/>
  <c r="G742" i="4"/>
  <c r="J692" i="3"/>
  <c r="G693" i="3"/>
  <c r="J693" i="3" s="1"/>
  <c r="J732" i="3"/>
  <c r="G733" i="3"/>
  <c r="J596" i="3"/>
  <c r="G597" i="3"/>
  <c r="J319" i="3"/>
  <c r="G320" i="3"/>
  <c r="J48" i="3"/>
  <c r="G49" i="3"/>
  <c r="J600" i="4" l="1"/>
  <c r="G601" i="4"/>
  <c r="J697" i="5"/>
  <c r="G698" i="5"/>
  <c r="J598" i="5"/>
  <c r="G599" i="5"/>
  <c r="J739" i="5"/>
  <c r="G740" i="5"/>
  <c r="J338" i="5"/>
  <c r="G339" i="5"/>
  <c r="J60" i="5"/>
  <c r="G61" i="5"/>
  <c r="J166" i="5"/>
  <c r="G167" i="5"/>
  <c r="J222" i="5"/>
  <c r="G223" i="5"/>
  <c r="J60" i="4"/>
  <c r="G61" i="4"/>
  <c r="J222" i="4"/>
  <c r="G223" i="4"/>
  <c r="J742" i="4"/>
  <c r="G743" i="4"/>
  <c r="J699" i="4"/>
  <c r="G700" i="4"/>
  <c r="J340" i="4"/>
  <c r="G341" i="4"/>
  <c r="J49" i="3"/>
  <c r="G50" i="3"/>
  <c r="J320" i="3"/>
  <c r="G321" i="3"/>
  <c r="J597" i="3"/>
  <c r="G598" i="3"/>
  <c r="J733" i="3"/>
  <c r="G734" i="3"/>
  <c r="J601" i="4" l="1"/>
  <c r="G602" i="4"/>
  <c r="J599" i="5"/>
  <c r="G600" i="5"/>
  <c r="J740" i="5"/>
  <c r="G741" i="5"/>
  <c r="J698" i="5"/>
  <c r="G699" i="5"/>
  <c r="J699" i="5" s="1"/>
  <c r="J339" i="5"/>
  <c r="G340" i="5"/>
  <c r="J223" i="5"/>
  <c r="G224" i="5"/>
  <c r="J167" i="5"/>
  <c r="G168" i="5"/>
  <c r="J61" i="5"/>
  <c r="G62" i="5"/>
  <c r="J700" i="4"/>
  <c r="G701" i="4"/>
  <c r="J701" i="4" s="1"/>
  <c r="J743" i="4"/>
  <c r="G744" i="4"/>
  <c r="J341" i="4"/>
  <c r="G342" i="4"/>
  <c r="J223" i="4"/>
  <c r="G224" i="4"/>
  <c r="J61" i="4"/>
  <c r="G62" i="4"/>
  <c r="J734" i="3"/>
  <c r="G735" i="3"/>
  <c r="J50" i="3"/>
  <c r="G51" i="3"/>
  <c r="J321" i="3"/>
  <c r="G322" i="3"/>
  <c r="J598" i="3"/>
  <c r="G599" i="3"/>
  <c r="J602" i="4" l="1"/>
  <c r="G603" i="4"/>
  <c r="J741" i="5"/>
  <c r="G742" i="5"/>
  <c r="J600" i="5"/>
  <c r="G601" i="5"/>
  <c r="J340" i="5"/>
  <c r="G341" i="5"/>
  <c r="J168" i="5"/>
  <c r="G169" i="5"/>
  <c r="J62" i="5"/>
  <c r="G63" i="5"/>
  <c r="J224" i="5"/>
  <c r="G225" i="5"/>
  <c r="J342" i="4"/>
  <c r="G343" i="4"/>
  <c r="J224" i="4"/>
  <c r="G225" i="4"/>
  <c r="J62" i="4"/>
  <c r="G63" i="4"/>
  <c r="J744" i="4"/>
  <c r="G745" i="4"/>
  <c r="J599" i="3"/>
  <c r="G600" i="3"/>
  <c r="J51" i="3"/>
  <c r="G52" i="3"/>
  <c r="J322" i="3"/>
  <c r="G323" i="3"/>
  <c r="J735" i="3"/>
  <c r="G736" i="3"/>
  <c r="J603" i="4" l="1"/>
  <c r="G604" i="4"/>
  <c r="J742" i="5"/>
  <c r="G743" i="5"/>
  <c r="J601" i="5"/>
  <c r="G602" i="5"/>
  <c r="J341" i="5"/>
  <c r="G342" i="5"/>
  <c r="J169" i="5"/>
  <c r="G170" i="5"/>
  <c r="J225" i="5"/>
  <c r="G226" i="5"/>
  <c r="J63" i="5"/>
  <c r="G64" i="5"/>
  <c r="J63" i="4"/>
  <c r="G64" i="4"/>
  <c r="J225" i="4"/>
  <c r="G226" i="4"/>
  <c r="J745" i="4"/>
  <c r="G746" i="4"/>
  <c r="J343" i="4"/>
  <c r="G344" i="4"/>
  <c r="J736" i="3"/>
  <c r="G737" i="3"/>
  <c r="J323" i="3"/>
  <c r="G324" i="3"/>
  <c r="J52" i="3"/>
  <c r="G53" i="3"/>
  <c r="J600" i="3"/>
  <c r="G601" i="3"/>
  <c r="J604" i="4" l="1"/>
  <c r="G605" i="4"/>
  <c r="J605" i="4" s="1"/>
  <c r="J743" i="5"/>
  <c r="G744" i="5"/>
  <c r="J602" i="5"/>
  <c r="G603" i="5"/>
  <c r="J603" i="5" s="1"/>
  <c r="J342" i="5"/>
  <c r="G343" i="5"/>
  <c r="J226" i="5"/>
  <c r="G227" i="5"/>
  <c r="J64" i="5"/>
  <c r="G65" i="5"/>
  <c r="J170" i="5"/>
  <c r="G171" i="5"/>
  <c r="J344" i="4"/>
  <c r="G345" i="4"/>
  <c r="J746" i="4"/>
  <c r="G747" i="4"/>
  <c r="J226" i="4"/>
  <c r="G227" i="4"/>
  <c r="J64" i="4"/>
  <c r="G65" i="4"/>
  <c r="J737" i="3"/>
  <c r="G738" i="3"/>
  <c r="J601" i="3"/>
  <c r="G602" i="3"/>
  <c r="J324" i="3"/>
  <c r="G325" i="3"/>
  <c r="J53" i="3"/>
  <c r="G54" i="3"/>
  <c r="J744" i="5" l="1"/>
  <c r="G745" i="5"/>
  <c r="J343" i="5"/>
  <c r="G344" i="5"/>
  <c r="J171" i="5"/>
  <c r="G172" i="5"/>
  <c r="J227" i="5"/>
  <c r="G228" i="5"/>
  <c r="J65" i="5"/>
  <c r="G66" i="5"/>
  <c r="J227" i="4"/>
  <c r="G228" i="4"/>
  <c r="J65" i="4"/>
  <c r="G66" i="4"/>
  <c r="J747" i="4"/>
  <c r="G748" i="4"/>
  <c r="J345" i="4"/>
  <c r="G346" i="4"/>
  <c r="J54" i="3"/>
  <c r="G55" i="3"/>
  <c r="J325" i="3"/>
  <c r="G326" i="3"/>
  <c r="J602" i="3"/>
  <c r="G603" i="3"/>
  <c r="J738" i="3"/>
  <c r="G739" i="3"/>
  <c r="J745" i="5" l="1"/>
  <c r="G746" i="5"/>
  <c r="J344" i="5"/>
  <c r="G345" i="5"/>
  <c r="J66" i="5"/>
  <c r="G67" i="5"/>
  <c r="J228" i="5"/>
  <c r="G229" i="5"/>
  <c r="J172" i="5"/>
  <c r="G173" i="5"/>
  <c r="J346" i="4"/>
  <c r="G347" i="4"/>
  <c r="J748" i="4"/>
  <c r="G749" i="4"/>
  <c r="J66" i="4"/>
  <c r="G67" i="4"/>
  <c r="J228" i="4"/>
  <c r="G229" i="4"/>
  <c r="J55" i="3"/>
  <c r="G56" i="3"/>
  <c r="J739" i="3"/>
  <c r="G740" i="3"/>
  <c r="J603" i="3"/>
  <c r="G604" i="3"/>
  <c r="J326" i="3"/>
  <c r="G327" i="3"/>
  <c r="J229" i="5" l="1"/>
  <c r="J746" i="5"/>
  <c r="G747" i="5"/>
  <c r="J345" i="5"/>
  <c r="G346" i="5"/>
  <c r="J173" i="5"/>
  <c r="G174" i="5"/>
  <c r="J67" i="5"/>
  <c r="G68" i="5"/>
  <c r="J229" i="4"/>
  <c r="G230" i="4"/>
  <c r="J67" i="4"/>
  <c r="G68" i="4"/>
  <c r="J749" i="4"/>
  <c r="G750" i="4"/>
  <c r="J347" i="4"/>
  <c r="G348" i="4"/>
  <c r="J327" i="3"/>
  <c r="G328" i="3"/>
  <c r="J604" i="3"/>
  <c r="G605" i="3"/>
  <c r="J740" i="3"/>
  <c r="G741" i="3"/>
  <c r="J56" i="3"/>
  <c r="G57" i="3"/>
  <c r="J747" i="5" l="1"/>
  <c r="G748" i="5"/>
  <c r="J346" i="5"/>
  <c r="G347" i="5"/>
  <c r="J68" i="5"/>
  <c r="G69" i="5"/>
  <c r="J174" i="5"/>
  <c r="G175" i="5"/>
  <c r="J230" i="4"/>
  <c r="G231" i="4"/>
  <c r="J348" i="4"/>
  <c r="G349" i="4"/>
  <c r="J750" i="4"/>
  <c r="G751" i="4"/>
  <c r="J68" i="4"/>
  <c r="G69" i="4"/>
  <c r="J328" i="3"/>
  <c r="G329" i="3"/>
  <c r="J57" i="3"/>
  <c r="G58" i="3"/>
  <c r="J741" i="3"/>
  <c r="G742" i="3"/>
  <c r="J605" i="3"/>
  <c r="G606" i="3"/>
  <c r="J748" i="5" l="1"/>
  <c r="G749" i="5"/>
  <c r="J347" i="5"/>
  <c r="G348" i="5"/>
  <c r="J175" i="5"/>
  <c r="G176" i="5"/>
  <c r="J69" i="5"/>
  <c r="G70" i="5"/>
  <c r="J751" i="4"/>
  <c r="G752" i="4"/>
  <c r="J231" i="4"/>
  <c r="G232" i="4"/>
  <c r="J69" i="4"/>
  <c r="G70" i="4"/>
  <c r="J349" i="4"/>
  <c r="G350" i="4"/>
  <c r="J606" i="3"/>
  <c r="G607" i="3"/>
  <c r="J58" i="3"/>
  <c r="G59" i="3"/>
  <c r="J742" i="3"/>
  <c r="G743" i="3"/>
  <c r="J329" i="3"/>
  <c r="G330" i="3"/>
  <c r="J752" i="4" l="1"/>
  <c r="K19" i="7"/>
  <c r="J749" i="5"/>
  <c r="G750" i="5"/>
  <c r="K22" i="7" s="1"/>
  <c r="J348" i="5"/>
  <c r="G349" i="5"/>
  <c r="J176" i="5"/>
  <c r="G177" i="5"/>
  <c r="J70" i="5"/>
  <c r="G71" i="5"/>
  <c r="J70" i="4"/>
  <c r="G71" i="4"/>
  <c r="J232" i="4"/>
  <c r="G233" i="4"/>
  <c r="J350" i="4"/>
  <c r="G351" i="4"/>
  <c r="J59" i="3"/>
  <c r="G60" i="3"/>
  <c r="J607" i="3"/>
  <c r="G608" i="3"/>
  <c r="J330" i="3"/>
  <c r="G331" i="3"/>
  <c r="J743" i="3"/>
  <c r="G744" i="3"/>
  <c r="J744" i="3" l="1"/>
  <c r="J750" i="5"/>
  <c r="J349" i="5"/>
  <c r="G350" i="5"/>
  <c r="J71" i="5"/>
  <c r="G72" i="5"/>
  <c r="J177" i="5"/>
  <c r="G178" i="5"/>
  <c r="J351" i="4"/>
  <c r="G352" i="4"/>
  <c r="J233" i="4"/>
  <c r="G234" i="4"/>
  <c r="J71" i="4"/>
  <c r="G72" i="4"/>
  <c r="J331" i="3"/>
  <c r="G332" i="3"/>
  <c r="J608" i="3"/>
  <c r="G609" i="3"/>
  <c r="J60" i="3"/>
  <c r="G61" i="3"/>
  <c r="J350" i="5" l="1"/>
  <c r="G351" i="5"/>
  <c r="J72" i="5"/>
  <c r="G73" i="5"/>
  <c r="J178" i="5"/>
  <c r="G179" i="5"/>
  <c r="J72" i="4"/>
  <c r="G73" i="4"/>
  <c r="J352" i="4"/>
  <c r="G353" i="4"/>
  <c r="J234" i="4"/>
  <c r="G235" i="4"/>
  <c r="J61" i="3"/>
  <c r="G62" i="3"/>
  <c r="J332" i="3"/>
  <c r="G333" i="3"/>
  <c r="J609" i="3"/>
  <c r="G610" i="3"/>
  <c r="J351" i="5" l="1"/>
  <c r="G352" i="5"/>
  <c r="J73" i="5"/>
  <c r="G74" i="5"/>
  <c r="J179" i="5"/>
  <c r="G180" i="5"/>
  <c r="J73" i="4"/>
  <c r="G74" i="4"/>
  <c r="J235" i="4"/>
  <c r="G236" i="4"/>
  <c r="J353" i="4"/>
  <c r="G354" i="4"/>
  <c r="J62" i="3"/>
  <c r="G63" i="3"/>
  <c r="J610" i="3"/>
  <c r="G611" i="3"/>
  <c r="J333" i="3"/>
  <c r="G334" i="3"/>
  <c r="J352" i="5" l="1"/>
  <c r="G353" i="5"/>
  <c r="J180" i="5"/>
  <c r="G181" i="5"/>
  <c r="J74" i="5"/>
  <c r="G75" i="5"/>
  <c r="J74" i="4"/>
  <c r="G75" i="4"/>
  <c r="J354" i="4"/>
  <c r="G355" i="4"/>
  <c r="J236" i="4"/>
  <c r="G237" i="4"/>
  <c r="J63" i="3"/>
  <c r="G64" i="3"/>
  <c r="J334" i="3"/>
  <c r="G335" i="3"/>
  <c r="J611" i="3"/>
  <c r="G612" i="3"/>
  <c r="J353" i="5" l="1"/>
  <c r="G354" i="5"/>
  <c r="J75" i="5"/>
  <c r="G76" i="5"/>
  <c r="J181" i="5"/>
  <c r="G182" i="5"/>
  <c r="J75" i="4"/>
  <c r="G76" i="4"/>
  <c r="J237" i="4"/>
  <c r="G238" i="4"/>
  <c r="J355" i="4"/>
  <c r="G356" i="4"/>
  <c r="J64" i="3"/>
  <c r="G65" i="3"/>
  <c r="J335" i="3"/>
  <c r="G336" i="3"/>
  <c r="J612" i="3"/>
  <c r="G613" i="3"/>
  <c r="J182" i="5" l="1"/>
  <c r="J354" i="5"/>
  <c r="G355" i="5"/>
  <c r="J76" i="5"/>
  <c r="G77" i="5"/>
  <c r="J356" i="4"/>
  <c r="G357" i="4"/>
  <c r="J76" i="4"/>
  <c r="G77" i="4"/>
  <c r="J238" i="4"/>
  <c r="G239" i="4"/>
  <c r="J336" i="3"/>
  <c r="G337" i="3"/>
  <c r="J613" i="3"/>
  <c r="G614" i="3"/>
  <c r="J65" i="3"/>
  <c r="G66" i="3"/>
  <c r="J355" i="5" l="1"/>
  <c r="G356" i="5"/>
  <c r="J77" i="5"/>
  <c r="G78" i="5"/>
  <c r="J357" i="4"/>
  <c r="G358" i="4"/>
  <c r="J77" i="4"/>
  <c r="G78" i="4"/>
  <c r="J239" i="4"/>
  <c r="G240" i="4"/>
  <c r="J66" i="3"/>
  <c r="G67" i="3"/>
  <c r="J614" i="3"/>
  <c r="G615" i="3"/>
  <c r="J337" i="3"/>
  <c r="G338" i="3"/>
  <c r="J356" i="5" l="1"/>
  <c r="G357" i="5"/>
  <c r="J78" i="5"/>
  <c r="G79" i="5"/>
  <c r="J240" i="4"/>
  <c r="G241" i="4"/>
  <c r="J78" i="4"/>
  <c r="G79" i="4"/>
  <c r="J358" i="4"/>
  <c r="G359" i="4"/>
  <c r="J615" i="3"/>
  <c r="G616" i="3"/>
  <c r="J338" i="3"/>
  <c r="G339" i="3"/>
  <c r="J67" i="3"/>
  <c r="G68" i="3"/>
  <c r="J357" i="5" l="1"/>
  <c r="G358" i="5"/>
  <c r="J79" i="5"/>
  <c r="G80" i="5"/>
  <c r="J241" i="4"/>
  <c r="G242" i="4"/>
  <c r="J359" i="4"/>
  <c r="G360" i="4"/>
  <c r="J79" i="4"/>
  <c r="G80" i="4"/>
  <c r="J616" i="3"/>
  <c r="G617" i="3"/>
  <c r="J68" i="3"/>
  <c r="G69" i="3"/>
  <c r="J339" i="3"/>
  <c r="G340" i="3"/>
  <c r="J358" i="5" l="1"/>
  <c r="G359" i="5"/>
  <c r="J80" i="5"/>
  <c r="G81" i="5"/>
  <c r="J80" i="4"/>
  <c r="G81" i="4"/>
  <c r="J242" i="4"/>
  <c r="G243" i="4"/>
  <c r="J360" i="4"/>
  <c r="G361" i="4"/>
  <c r="J340" i="3"/>
  <c r="G341" i="3"/>
  <c r="J69" i="3"/>
  <c r="G70" i="3"/>
  <c r="J617" i="3"/>
  <c r="G618" i="3"/>
  <c r="J359" i="5" l="1"/>
  <c r="G360" i="5"/>
  <c r="J81" i="5"/>
  <c r="G82" i="5"/>
  <c r="J361" i="4"/>
  <c r="G362" i="4"/>
  <c r="J243" i="4"/>
  <c r="G244" i="4"/>
  <c r="J81" i="4"/>
  <c r="G82" i="4"/>
  <c r="J618" i="3"/>
  <c r="G619" i="3"/>
  <c r="J70" i="3"/>
  <c r="G71" i="3"/>
  <c r="J341" i="3"/>
  <c r="G342" i="3"/>
  <c r="J360" i="5" l="1"/>
  <c r="G361" i="5"/>
  <c r="J82" i="5"/>
  <c r="G83" i="5"/>
  <c r="J82" i="4"/>
  <c r="G83" i="4"/>
  <c r="J362" i="4"/>
  <c r="G363" i="4"/>
  <c r="J244" i="4"/>
  <c r="G245" i="4"/>
  <c r="J342" i="3"/>
  <c r="G343" i="3"/>
  <c r="J71" i="3"/>
  <c r="G72" i="3"/>
  <c r="J619" i="3"/>
  <c r="G620" i="3"/>
  <c r="J361" i="5" l="1"/>
  <c r="G362" i="5"/>
  <c r="J83" i="5"/>
  <c r="G84" i="5"/>
  <c r="J363" i="4"/>
  <c r="G364" i="4"/>
  <c r="J245" i="4"/>
  <c r="G246" i="4"/>
  <c r="J83" i="4"/>
  <c r="G84" i="4"/>
  <c r="J620" i="3"/>
  <c r="G621" i="3"/>
  <c r="J72" i="3"/>
  <c r="G73" i="3"/>
  <c r="J343" i="3"/>
  <c r="G344" i="3"/>
  <c r="J362" i="5" l="1"/>
  <c r="G363" i="5"/>
  <c r="J84" i="5"/>
  <c r="G85" i="5"/>
  <c r="J246" i="4"/>
  <c r="G247" i="4"/>
  <c r="J364" i="4"/>
  <c r="G365" i="4"/>
  <c r="J84" i="4"/>
  <c r="G85" i="4"/>
  <c r="J344" i="3"/>
  <c r="G345" i="3"/>
  <c r="J73" i="3"/>
  <c r="G74" i="3"/>
  <c r="J621" i="3"/>
  <c r="G622" i="3"/>
  <c r="J363" i="5" l="1"/>
  <c r="G364" i="5"/>
  <c r="J85" i="5"/>
  <c r="G86" i="5"/>
  <c r="J85" i="4"/>
  <c r="G86" i="4"/>
  <c r="J247" i="4"/>
  <c r="G248" i="4"/>
  <c r="J365" i="4"/>
  <c r="G366" i="4"/>
  <c r="J622" i="3"/>
  <c r="G623" i="3"/>
  <c r="J345" i="3"/>
  <c r="G346" i="3"/>
  <c r="J74" i="3"/>
  <c r="G75" i="3"/>
  <c r="J364" i="5" l="1"/>
  <c r="G365" i="5"/>
  <c r="J86" i="5"/>
  <c r="G87" i="5"/>
  <c r="J366" i="4"/>
  <c r="G367" i="4"/>
  <c r="J86" i="4"/>
  <c r="G87" i="4"/>
  <c r="J248" i="4"/>
  <c r="G249" i="4"/>
  <c r="J75" i="3"/>
  <c r="G76" i="3"/>
  <c r="J346" i="3"/>
  <c r="G347" i="3"/>
  <c r="J623" i="3"/>
  <c r="G624" i="3"/>
  <c r="J624" i="3" l="1"/>
  <c r="K16" i="7"/>
  <c r="J365" i="5"/>
  <c r="G366" i="5"/>
  <c r="J87" i="5"/>
  <c r="G88" i="5"/>
  <c r="J249" i="4"/>
  <c r="G250" i="4"/>
  <c r="J87" i="4"/>
  <c r="G88" i="4"/>
  <c r="J367" i="4"/>
  <c r="G368" i="4"/>
  <c r="J347" i="3"/>
  <c r="G348" i="3"/>
  <c r="J76" i="3"/>
  <c r="G77" i="3"/>
  <c r="J366" i="5" l="1"/>
  <c r="G367" i="5"/>
  <c r="J88" i="5"/>
  <c r="G89" i="5"/>
  <c r="J368" i="4"/>
  <c r="G369" i="4"/>
  <c r="J88" i="4"/>
  <c r="G89" i="4"/>
  <c r="J250" i="4"/>
  <c r="G251" i="4"/>
  <c r="J77" i="3"/>
  <c r="G78" i="3"/>
  <c r="J348" i="3"/>
  <c r="G349" i="3"/>
  <c r="J367" i="5" l="1"/>
  <c r="G368" i="5"/>
  <c r="J89" i="5"/>
  <c r="G90" i="5"/>
  <c r="J251" i="4"/>
  <c r="G252" i="4"/>
  <c r="J369" i="4"/>
  <c r="G370" i="4"/>
  <c r="J89" i="4"/>
  <c r="G90" i="4"/>
  <c r="J349" i="3"/>
  <c r="G350" i="3"/>
  <c r="J78" i="3"/>
  <c r="G79" i="3"/>
  <c r="J368" i="5" l="1"/>
  <c r="G369" i="5"/>
  <c r="J90" i="5"/>
  <c r="G91" i="5"/>
  <c r="J90" i="4"/>
  <c r="G91" i="4"/>
  <c r="J370" i="4"/>
  <c r="G371" i="4"/>
  <c r="J252" i="4"/>
  <c r="G253" i="4"/>
  <c r="J79" i="3"/>
  <c r="G80" i="3"/>
  <c r="J350" i="3"/>
  <c r="G351" i="3"/>
  <c r="J369" i="5" l="1"/>
  <c r="G370" i="5"/>
  <c r="J91" i="5"/>
  <c r="G92" i="5"/>
  <c r="J91" i="4"/>
  <c r="G92" i="4"/>
  <c r="J253" i="4"/>
  <c r="G254" i="4"/>
  <c r="J371" i="4"/>
  <c r="G372" i="4"/>
  <c r="J351" i="3"/>
  <c r="G352" i="3"/>
  <c r="J80" i="3"/>
  <c r="G81" i="3"/>
  <c r="J370" i="5" l="1"/>
  <c r="G371" i="5"/>
  <c r="J92" i="5"/>
  <c r="G93" i="5"/>
  <c r="J254" i="4"/>
  <c r="G255" i="4"/>
  <c r="J372" i="4"/>
  <c r="G373" i="4"/>
  <c r="J92" i="4"/>
  <c r="G93" i="4"/>
  <c r="J81" i="3"/>
  <c r="G82" i="3"/>
  <c r="J352" i="3"/>
  <c r="G353" i="3"/>
  <c r="J371" i="5" l="1"/>
  <c r="G372" i="5"/>
  <c r="J93" i="5"/>
  <c r="G94" i="5"/>
  <c r="J373" i="4"/>
  <c r="G374" i="4"/>
  <c r="J93" i="4"/>
  <c r="G94" i="4"/>
  <c r="J255" i="4"/>
  <c r="G256" i="4"/>
  <c r="J82" i="3"/>
  <c r="G83" i="3"/>
  <c r="J353" i="3"/>
  <c r="G354" i="3"/>
  <c r="J372" i="5" l="1"/>
  <c r="G373" i="5"/>
  <c r="J94" i="5"/>
  <c r="G95" i="5"/>
  <c r="J256" i="4"/>
  <c r="G257" i="4"/>
  <c r="J94" i="4"/>
  <c r="G95" i="4"/>
  <c r="J374" i="4"/>
  <c r="G375" i="4"/>
  <c r="J354" i="3"/>
  <c r="G355" i="3"/>
  <c r="J83" i="3"/>
  <c r="G84" i="3"/>
  <c r="J373" i="5" l="1"/>
  <c r="G374" i="5"/>
  <c r="J95" i="5"/>
  <c r="G96" i="5"/>
  <c r="J375" i="4"/>
  <c r="G376" i="4"/>
  <c r="J95" i="4"/>
  <c r="G96" i="4"/>
  <c r="J257" i="4"/>
  <c r="G258" i="4"/>
  <c r="J84" i="3"/>
  <c r="G85" i="3"/>
  <c r="J355" i="3"/>
  <c r="G356" i="3"/>
  <c r="J374" i="5" l="1"/>
  <c r="G375" i="5"/>
  <c r="J96" i="5"/>
  <c r="G97" i="5"/>
  <c r="J258" i="4"/>
  <c r="G259" i="4"/>
  <c r="J96" i="4"/>
  <c r="G97" i="4"/>
  <c r="J376" i="4"/>
  <c r="G377" i="4"/>
  <c r="J85" i="3"/>
  <c r="G86" i="3"/>
  <c r="J356" i="3"/>
  <c r="G357" i="3"/>
  <c r="J375" i="5" l="1"/>
  <c r="G376" i="5"/>
  <c r="J97" i="5"/>
  <c r="G98" i="5"/>
  <c r="J97" i="4"/>
  <c r="G98" i="4"/>
  <c r="J377" i="4"/>
  <c r="G378" i="4"/>
  <c r="J259" i="4"/>
  <c r="G260" i="4"/>
  <c r="J86" i="3"/>
  <c r="G87" i="3"/>
  <c r="J357" i="3"/>
  <c r="G358" i="3"/>
  <c r="J376" i="5" l="1"/>
  <c r="G377" i="5"/>
  <c r="J98" i="5"/>
  <c r="G99" i="5"/>
  <c r="J260" i="4"/>
  <c r="G261" i="4"/>
  <c r="J98" i="4"/>
  <c r="G99" i="4"/>
  <c r="J378" i="4"/>
  <c r="G379" i="4"/>
  <c r="J87" i="3"/>
  <c r="G88" i="3"/>
  <c r="J358" i="3"/>
  <c r="G359" i="3"/>
  <c r="J261" i="4" l="1"/>
  <c r="J377" i="5"/>
  <c r="G378" i="5"/>
  <c r="J99" i="5"/>
  <c r="G100" i="5"/>
  <c r="J379" i="4"/>
  <c r="G380" i="4"/>
  <c r="J99" i="4"/>
  <c r="G100" i="4"/>
  <c r="J359" i="3"/>
  <c r="G360" i="3"/>
  <c r="J88" i="3"/>
  <c r="G89" i="3"/>
  <c r="J378" i="5" l="1"/>
  <c r="G379" i="5"/>
  <c r="J100" i="5"/>
  <c r="G101" i="5"/>
  <c r="J380" i="4"/>
  <c r="G381" i="4"/>
  <c r="J100" i="4"/>
  <c r="G101" i="4"/>
  <c r="J360" i="3"/>
  <c r="G361" i="3"/>
  <c r="J89" i="3"/>
  <c r="G90" i="3"/>
  <c r="J379" i="5" l="1"/>
  <c r="G380" i="5"/>
  <c r="J101" i="5"/>
  <c r="G102" i="5"/>
  <c r="J381" i="4"/>
  <c r="G382" i="4"/>
  <c r="J101" i="4"/>
  <c r="G102" i="4"/>
  <c r="J90" i="3"/>
  <c r="G91" i="3"/>
  <c r="J361" i="3"/>
  <c r="G362" i="3"/>
  <c r="J380" i="5" l="1"/>
  <c r="G381" i="5"/>
  <c r="J102" i="5"/>
  <c r="G103" i="5"/>
  <c r="J382" i="4"/>
  <c r="G383" i="4"/>
  <c r="J102" i="4"/>
  <c r="G103" i="4"/>
  <c r="J91" i="3"/>
  <c r="G92" i="3"/>
  <c r="J362" i="3"/>
  <c r="G363" i="3"/>
  <c r="J381" i="5" l="1"/>
  <c r="G382" i="5"/>
  <c r="J103" i="5"/>
  <c r="G104" i="5"/>
  <c r="J103" i="4"/>
  <c r="G104" i="4"/>
  <c r="J383" i="4"/>
  <c r="G384" i="4"/>
  <c r="J363" i="3"/>
  <c r="G364" i="3"/>
  <c r="J92" i="3"/>
  <c r="G93" i="3"/>
  <c r="J382" i="5" l="1"/>
  <c r="G383" i="5"/>
  <c r="J104" i="5"/>
  <c r="G105" i="5"/>
  <c r="J384" i="4"/>
  <c r="G385" i="4"/>
  <c r="J104" i="4"/>
  <c r="G105" i="4"/>
  <c r="J93" i="3"/>
  <c r="G94" i="3"/>
  <c r="J364" i="3"/>
  <c r="G365" i="3"/>
  <c r="J383" i="5" l="1"/>
  <c r="G384" i="5"/>
  <c r="J105" i="5"/>
  <c r="G106" i="5"/>
  <c r="J105" i="4"/>
  <c r="G106" i="4"/>
  <c r="J385" i="4"/>
  <c r="G386" i="4"/>
  <c r="J94" i="3"/>
  <c r="G95" i="3"/>
  <c r="J365" i="3"/>
  <c r="G366" i="3"/>
  <c r="J384" i="5" l="1"/>
  <c r="G385" i="5"/>
  <c r="J106" i="5"/>
  <c r="G107" i="5"/>
  <c r="J106" i="4"/>
  <c r="G107" i="4"/>
  <c r="J386" i="4"/>
  <c r="G387" i="4"/>
  <c r="J95" i="3"/>
  <c r="G96" i="3"/>
  <c r="J366" i="3"/>
  <c r="G367" i="3"/>
  <c r="J385" i="5" l="1"/>
  <c r="G386" i="5"/>
  <c r="J107" i="5"/>
  <c r="G108" i="5"/>
  <c r="J107" i="4"/>
  <c r="G108" i="4"/>
  <c r="J387" i="4"/>
  <c r="G388" i="4"/>
  <c r="J367" i="3"/>
  <c r="G368" i="3"/>
  <c r="J96" i="3"/>
  <c r="G97" i="3"/>
  <c r="J386" i="5" l="1"/>
  <c r="G387" i="5"/>
  <c r="J108" i="5"/>
  <c r="G109" i="5"/>
  <c r="J388" i="4"/>
  <c r="G389" i="4"/>
  <c r="J108" i="4"/>
  <c r="G109" i="4"/>
  <c r="J368" i="3"/>
  <c r="G369" i="3"/>
  <c r="J97" i="3"/>
  <c r="G98" i="3"/>
  <c r="J387" i="5" l="1"/>
  <c r="G388" i="5"/>
  <c r="J109" i="5"/>
  <c r="G110" i="5"/>
  <c r="J109" i="4"/>
  <c r="G110" i="4"/>
  <c r="J389" i="4"/>
  <c r="G390" i="4"/>
  <c r="J369" i="3"/>
  <c r="G370" i="3"/>
  <c r="J98" i="3"/>
  <c r="G99" i="3"/>
  <c r="J388" i="5" l="1"/>
  <c r="G389" i="5"/>
  <c r="J110" i="5"/>
  <c r="G111" i="5"/>
  <c r="J390" i="4"/>
  <c r="G391" i="4"/>
  <c r="J110" i="4"/>
  <c r="G111" i="4"/>
  <c r="J99" i="3"/>
  <c r="G100" i="3"/>
  <c r="J370" i="3"/>
  <c r="G371" i="3"/>
  <c r="J389" i="5" l="1"/>
  <c r="G390" i="5"/>
  <c r="J111" i="5"/>
  <c r="G112" i="5"/>
  <c r="J111" i="4"/>
  <c r="G112" i="4"/>
  <c r="J391" i="4"/>
  <c r="G392" i="4"/>
  <c r="J100" i="3"/>
  <c r="G101" i="3"/>
  <c r="J371" i="3"/>
  <c r="G372" i="3"/>
  <c r="J390" i="5" l="1"/>
  <c r="G391" i="5"/>
  <c r="J112" i="5"/>
  <c r="G113" i="5"/>
  <c r="J112" i="4"/>
  <c r="G113" i="4"/>
  <c r="J392" i="4"/>
  <c r="G393" i="4"/>
  <c r="J372" i="3"/>
  <c r="G373" i="3"/>
  <c r="J101" i="3"/>
  <c r="G102" i="3"/>
  <c r="J391" i="5" l="1"/>
  <c r="G392" i="5"/>
  <c r="J113" i="5"/>
  <c r="G114" i="5"/>
  <c r="J393" i="4"/>
  <c r="G394" i="4"/>
  <c r="J113" i="4"/>
  <c r="G114" i="4"/>
  <c r="J373" i="3"/>
  <c r="G374" i="3"/>
  <c r="J102" i="3"/>
  <c r="G103" i="3"/>
  <c r="J392" i="5" l="1"/>
  <c r="G393" i="5"/>
  <c r="J114" i="5"/>
  <c r="G115" i="5"/>
  <c r="J394" i="4"/>
  <c r="G395" i="4"/>
  <c r="J114" i="4"/>
  <c r="G115" i="4"/>
  <c r="J103" i="3"/>
  <c r="G104" i="3"/>
  <c r="J374" i="3"/>
  <c r="G375" i="3"/>
  <c r="J393" i="5" l="1"/>
  <c r="G394" i="5"/>
  <c r="J115" i="5"/>
  <c r="G116" i="5"/>
  <c r="J395" i="4"/>
  <c r="G396" i="4"/>
  <c r="J115" i="4"/>
  <c r="G116" i="4"/>
  <c r="J375" i="3"/>
  <c r="G376" i="3"/>
  <c r="J104" i="3"/>
  <c r="G105" i="3"/>
  <c r="J394" i="5" l="1"/>
  <c r="G395" i="5"/>
  <c r="J116" i="5"/>
  <c r="G117" i="5"/>
  <c r="J116" i="4"/>
  <c r="G117" i="4"/>
  <c r="J396" i="4"/>
  <c r="G397" i="4"/>
  <c r="J376" i="3"/>
  <c r="G377" i="3"/>
  <c r="J105" i="3"/>
  <c r="G106" i="3"/>
  <c r="J395" i="5" l="1"/>
  <c r="G396" i="5"/>
  <c r="J117" i="5"/>
  <c r="G118" i="5"/>
  <c r="J397" i="4"/>
  <c r="G398" i="4"/>
  <c r="J117" i="4"/>
  <c r="G118" i="4"/>
  <c r="J377" i="3"/>
  <c r="G378" i="3"/>
  <c r="J106" i="3"/>
  <c r="G107" i="3"/>
  <c r="J396" i="5" l="1"/>
  <c r="G397" i="5"/>
  <c r="J118" i="5"/>
  <c r="G119" i="5"/>
  <c r="J118" i="4"/>
  <c r="G119" i="4"/>
  <c r="J398" i="4"/>
  <c r="G399" i="4"/>
  <c r="J378" i="3"/>
  <c r="G379" i="3"/>
  <c r="J107" i="3"/>
  <c r="G108" i="3"/>
  <c r="J397" i="5" l="1"/>
  <c r="G398" i="5"/>
  <c r="J119" i="5"/>
  <c r="G120" i="5"/>
  <c r="J399" i="4"/>
  <c r="G400" i="4"/>
  <c r="J119" i="4"/>
  <c r="G120" i="4"/>
  <c r="J379" i="3"/>
  <c r="G380" i="3"/>
  <c r="J108" i="3"/>
  <c r="G109" i="3"/>
  <c r="J398" i="5" l="1"/>
  <c r="G399" i="5"/>
  <c r="J120" i="5"/>
  <c r="G121" i="5"/>
  <c r="J120" i="4"/>
  <c r="G121" i="4"/>
  <c r="J400" i="4"/>
  <c r="G401" i="4"/>
  <c r="J109" i="3"/>
  <c r="G110" i="3"/>
  <c r="J380" i="3"/>
  <c r="G381" i="3"/>
  <c r="J399" i="5" l="1"/>
  <c r="G400" i="5"/>
  <c r="J121" i="5"/>
  <c r="G122" i="5"/>
  <c r="J121" i="4"/>
  <c r="G122" i="4"/>
  <c r="J401" i="4"/>
  <c r="G402" i="4"/>
  <c r="J381" i="3"/>
  <c r="G382" i="3"/>
  <c r="J110" i="3"/>
  <c r="G111" i="3"/>
  <c r="J400" i="5" l="1"/>
  <c r="G401" i="5"/>
  <c r="J122" i="5"/>
  <c r="G123" i="5"/>
  <c r="J122" i="4"/>
  <c r="G123" i="4"/>
  <c r="J402" i="4"/>
  <c r="G403" i="4"/>
  <c r="J111" i="3"/>
  <c r="G112" i="3"/>
  <c r="J382" i="3"/>
  <c r="G383" i="3"/>
  <c r="J401" i="5" l="1"/>
  <c r="G402" i="5"/>
  <c r="J123" i="5"/>
  <c r="G124" i="5"/>
  <c r="J123" i="4"/>
  <c r="G124" i="4"/>
  <c r="J403" i="4"/>
  <c r="G404" i="4"/>
  <c r="J112" i="3"/>
  <c r="G113" i="3"/>
  <c r="J383" i="3"/>
  <c r="G384" i="3"/>
  <c r="J402" i="5" l="1"/>
  <c r="G403" i="5"/>
  <c r="J124" i="5"/>
  <c r="G125" i="5"/>
  <c r="J404" i="4"/>
  <c r="G405" i="4"/>
  <c r="J124" i="4"/>
  <c r="G125" i="4"/>
  <c r="J113" i="3"/>
  <c r="G114" i="3"/>
  <c r="J384" i="3"/>
  <c r="G385" i="3"/>
  <c r="J403" i="5" l="1"/>
  <c r="G404" i="5"/>
  <c r="J125" i="5"/>
  <c r="G126" i="5"/>
  <c r="J405" i="4"/>
  <c r="G406" i="4"/>
  <c r="J125" i="4"/>
  <c r="G126" i="4"/>
  <c r="J114" i="3"/>
  <c r="G115" i="3"/>
  <c r="J385" i="3"/>
  <c r="G386" i="3"/>
  <c r="J404" i="5" l="1"/>
  <c r="G405" i="5"/>
  <c r="J126" i="5"/>
  <c r="G127" i="5"/>
  <c r="K20" i="7" s="1"/>
  <c r="J126" i="4"/>
  <c r="G127" i="4"/>
  <c r="J406" i="4"/>
  <c r="G407" i="4"/>
  <c r="J386" i="3"/>
  <c r="G387" i="3"/>
  <c r="J115" i="3"/>
  <c r="G116" i="3"/>
  <c r="J127" i="5" l="1"/>
  <c r="J405" i="5"/>
  <c r="G406" i="5"/>
  <c r="J127" i="4"/>
  <c r="G128" i="4"/>
  <c r="J407" i="4"/>
  <c r="G408" i="4"/>
  <c r="J116" i="3"/>
  <c r="G117" i="3"/>
  <c r="J387" i="3"/>
  <c r="G388" i="3"/>
  <c r="J406" i="5" l="1"/>
  <c r="G407" i="5"/>
  <c r="J128" i="4"/>
  <c r="G129" i="4"/>
  <c r="J408" i="4"/>
  <c r="G409" i="4"/>
  <c r="J117" i="3"/>
  <c r="G118" i="3"/>
  <c r="J388" i="3"/>
  <c r="G389" i="3"/>
  <c r="J407" i="5" l="1"/>
  <c r="G408" i="5"/>
  <c r="J409" i="4"/>
  <c r="G410" i="4"/>
  <c r="J129" i="4"/>
  <c r="G130" i="4"/>
  <c r="J389" i="3"/>
  <c r="G390" i="3"/>
  <c r="J118" i="3"/>
  <c r="G119" i="3"/>
  <c r="J408" i="5" l="1"/>
  <c r="G409" i="5"/>
  <c r="J410" i="4"/>
  <c r="G411" i="4"/>
  <c r="J130" i="4"/>
  <c r="G131" i="4"/>
  <c r="J390" i="3"/>
  <c r="G391" i="3"/>
  <c r="J119" i="3"/>
  <c r="G120" i="3"/>
  <c r="J409" i="5" l="1"/>
  <c r="G410" i="5"/>
  <c r="J411" i="4"/>
  <c r="G412" i="4"/>
  <c r="J131" i="4"/>
  <c r="G132" i="4"/>
  <c r="J391" i="3"/>
  <c r="G392" i="3"/>
  <c r="J120" i="3"/>
  <c r="G121" i="3"/>
  <c r="J410" i="5" l="1"/>
  <c r="G411" i="5"/>
  <c r="J132" i="4"/>
  <c r="G133" i="4"/>
  <c r="J412" i="4"/>
  <c r="G413" i="4"/>
  <c r="J121" i="3"/>
  <c r="G122" i="3"/>
  <c r="J392" i="3"/>
  <c r="G393" i="3"/>
  <c r="J411" i="5" l="1"/>
  <c r="G412" i="5"/>
  <c r="J133" i="4"/>
  <c r="G134" i="4"/>
  <c r="J413" i="4"/>
  <c r="G414" i="4"/>
  <c r="J122" i="3"/>
  <c r="G123" i="3"/>
  <c r="J393" i="3"/>
  <c r="G394" i="3"/>
  <c r="J412" i="5" l="1"/>
  <c r="G413" i="5"/>
  <c r="J134" i="4"/>
  <c r="G135" i="4"/>
  <c r="J414" i="4"/>
  <c r="G415" i="4"/>
  <c r="J394" i="3"/>
  <c r="G395" i="3"/>
  <c r="J123" i="3"/>
  <c r="G124" i="3"/>
  <c r="J413" i="5" l="1"/>
  <c r="G414" i="5"/>
  <c r="J415" i="4"/>
  <c r="G416" i="4"/>
  <c r="J135" i="4"/>
  <c r="G136" i="4"/>
  <c r="J395" i="3"/>
  <c r="G396" i="3"/>
  <c r="J124" i="3"/>
  <c r="G125" i="3"/>
  <c r="J414" i="5" l="1"/>
  <c r="G415" i="5"/>
  <c r="J416" i="4"/>
  <c r="G417" i="4"/>
  <c r="J136" i="4"/>
  <c r="G137" i="4"/>
  <c r="J396" i="3"/>
  <c r="G397" i="3"/>
  <c r="J125" i="3"/>
  <c r="G126" i="3"/>
  <c r="J415" i="5" l="1"/>
  <c r="G416" i="5"/>
  <c r="J137" i="4"/>
  <c r="G138" i="4"/>
  <c r="J417" i="4"/>
  <c r="G418" i="4"/>
  <c r="J397" i="3"/>
  <c r="G398" i="3"/>
  <c r="J126" i="3"/>
  <c r="G127" i="3"/>
  <c r="J416" i="5" l="1"/>
  <c r="G417" i="5"/>
  <c r="J418" i="4"/>
  <c r="G419" i="4"/>
  <c r="J138" i="4"/>
  <c r="G139" i="4"/>
  <c r="J398" i="3"/>
  <c r="G399" i="3"/>
  <c r="J127" i="3"/>
  <c r="G128" i="3"/>
  <c r="J417" i="5" l="1"/>
  <c r="G418" i="5"/>
  <c r="J419" i="4"/>
  <c r="G420" i="4"/>
  <c r="J139" i="4"/>
  <c r="G140" i="4"/>
  <c r="J399" i="3"/>
  <c r="G400" i="3"/>
  <c r="J128" i="3"/>
  <c r="G129" i="3"/>
  <c r="J418" i="5" l="1"/>
  <c r="G419" i="5"/>
  <c r="J420" i="4"/>
  <c r="G421" i="4"/>
  <c r="J140" i="4"/>
  <c r="G141" i="4"/>
  <c r="J400" i="3"/>
  <c r="G401" i="3"/>
  <c r="J129" i="3"/>
  <c r="G130" i="3"/>
  <c r="J419" i="5" l="1"/>
  <c r="G420" i="5"/>
  <c r="J141" i="4"/>
  <c r="G142" i="4"/>
  <c r="J421" i="4"/>
  <c r="G422" i="4"/>
  <c r="J130" i="3"/>
  <c r="G131" i="3"/>
  <c r="J401" i="3"/>
  <c r="G402" i="3"/>
  <c r="J420" i="5" l="1"/>
  <c r="G421" i="5"/>
  <c r="J422" i="4"/>
  <c r="G423" i="4"/>
  <c r="J142" i="4"/>
  <c r="G143" i="4"/>
  <c r="J131" i="3"/>
  <c r="G132" i="3"/>
  <c r="J402" i="3"/>
  <c r="G403" i="3"/>
  <c r="J421" i="5" l="1"/>
  <c r="G422" i="5"/>
  <c r="J423" i="4"/>
  <c r="G424" i="4"/>
  <c r="J143" i="4"/>
  <c r="G144" i="4"/>
  <c r="J403" i="3"/>
  <c r="G404" i="3"/>
  <c r="J132" i="3"/>
  <c r="G133" i="3"/>
  <c r="J422" i="5" l="1"/>
  <c r="G423" i="5"/>
  <c r="J424" i="4"/>
  <c r="G425" i="4"/>
  <c r="J144" i="4"/>
  <c r="G145" i="4"/>
  <c r="J404" i="3"/>
  <c r="G405" i="3"/>
  <c r="J133" i="3"/>
  <c r="G134" i="3"/>
  <c r="J423" i="5" l="1"/>
  <c r="G424" i="5"/>
  <c r="J145" i="4"/>
  <c r="G146" i="4"/>
  <c r="J425" i="4"/>
  <c r="G426" i="4"/>
  <c r="J405" i="3"/>
  <c r="G406" i="3"/>
  <c r="J134" i="3"/>
  <c r="G135" i="3"/>
  <c r="J424" i="5" l="1"/>
  <c r="G425" i="5"/>
  <c r="J146" i="4"/>
  <c r="G147" i="4"/>
  <c r="J426" i="4"/>
  <c r="G427" i="4"/>
  <c r="J406" i="3"/>
  <c r="G407" i="3"/>
  <c r="J135" i="3"/>
  <c r="G136" i="3"/>
  <c r="J425" i="5" l="1"/>
  <c r="G426" i="5"/>
  <c r="J147" i="4"/>
  <c r="G148" i="4"/>
  <c r="J427" i="4"/>
  <c r="G428" i="4"/>
  <c r="J136" i="3"/>
  <c r="G137" i="3"/>
  <c r="J407" i="3"/>
  <c r="G408" i="3"/>
  <c r="J426" i="5" l="1"/>
  <c r="G427" i="5"/>
  <c r="J428" i="4"/>
  <c r="G429" i="4"/>
  <c r="J148" i="4"/>
  <c r="G149" i="4"/>
  <c r="J408" i="3"/>
  <c r="G409" i="3"/>
  <c r="J137" i="3"/>
  <c r="G138" i="3"/>
  <c r="J427" i="5" l="1"/>
  <c r="G428" i="5"/>
  <c r="J149" i="4"/>
  <c r="G150" i="4"/>
  <c r="J429" i="4"/>
  <c r="G430" i="4"/>
  <c r="J409" i="3"/>
  <c r="G410" i="3"/>
  <c r="J138" i="3"/>
  <c r="G139" i="3"/>
  <c r="J428" i="5" l="1"/>
  <c r="G429" i="5"/>
  <c r="J150" i="4"/>
  <c r="G151" i="4"/>
  <c r="J430" i="4"/>
  <c r="G431" i="4"/>
  <c r="J410" i="3"/>
  <c r="G411" i="3"/>
  <c r="J139" i="3"/>
  <c r="G140" i="3"/>
  <c r="J429" i="5" l="1"/>
  <c r="G430" i="5"/>
  <c r="J431" i="4"/>
  <c r="G432" i="4"/>
  <c r="J151" i="4"/>
  <c r="G152" i="4"/>
  <c r="J140" i="3"/>
  <c r="G141" i="3"/>
  <c r="J411" i="3"/>
  <c r="G412" i="3"/>
  <c r="J430" i="5" l="1"/>
  <c r="G431" i="5"/>
  <c r="J432" i="4"/>
  <c r="G433" i="4"/>
  <c r="J152" i="4"/>
  <c r="G153" i="4"/>
  <c r="J412" i="3"/>
  <c r="G413" i="3"/>
  <c r="J141" i="3"/>
  <c r="G142" i="3"/>
  <c r="J431" i="5" l="1"/>
  <c r="G432" i="5"/>
  <c r="J433" i="4"/>
  <c r="G434" i="4"/>
  <c r="J153" i="4"/>
  <c r="G154" i="4"/>
  <c r="J413" i="3"/>
  <c r="G414" i="3"/>
  <c r="J142" i="3"/>
  <c r="G143" i="3"/>
  <c r="J432" i="5" l="1"/>
  <c r="G433" i="5"/>
  <c r="J154" i="4"/>
  <c r="G155" i="4"/>
  <c r="J434" i="4"/>
  <c r="G435" i="4"/>
  <c r="J143" i="3"/>
  <c r="G144" i="3"/>
  <c r="J414" i="3"/>
  <c r="G415" i="3"/>
  <c r="J433" i="5" l="1"/>
  <c r="G434" i="5"/>
  <c r="J435" i="4"/>
  <c r="G436" i="4"/>
  <c r="J155" i="4"/>
  <c r="G156" i="4"/>
  <c r="J144" i="3"/>
  <c r="G145" i="3"/>
  <c r="J415" i="3"/>
  <c r="G416" i="3"/>
  <c r="J434" i="5" l="1"/>
  <c r="G435" i="5"/>
  <c r="J436" i="4"/>
  <c r="G437" i="4"/>
  <c r="J156" i="4"/>
  <c r="G157" i="4"/>
  <c r="J416" i="3"/>
  <c r="G417" i="3"/>
  <c r="J145" i="3"/>
  <c r="G146" i="3"/>
  <c r="J435" i="5" l="1"/>
  <c r="G436" i="5"/>
  <c r="J157" i="4"/>
  <c r="G158" i="4"/>
  <c r="J437" i="4"/>
  <c r="G438" i="4"/>
  <c r="J417" i="3"/>
  <c r="G418" i="3"/>
  <c r="J146" i="3"/>
  <c r="G147" i="3"/>
  <c r="J436" i="5" l="1"/>
  <c r="G437" i="5"/>
  <c r="J438" i="4"/>
  <c r="G439" i="4"/>
  <c r="J158" i="4"/>
  <c r="G159" i="4"/>
  <c r="J147" i="3"/>
  <c r="G148" i="3"/>
  <c r="J418" i="3"/>
  <c r="G419" i="3"/>
  <c r="J437" i="5" l="1"/>
  <c r="G438" i="5"/>
  <c r="J439" i="4"/>
  <c r="G440" i="4"/>
  <c r="J159" i="4"/>
  <c r="G160" i="4"/>
  <c r="J148" i="3"/>
  <c r="G149" i="3"/>
  <c r="J419" i="3"/>
  <c r="G420" i="3"/>
  <c r="J438" i="5" l="1"/>
  <c r="G439" i="5"/>
  <c r="J160" i="4"/>
  <c r="G161" i="4"/>
  <c r="J440" i="4"/>
  <c r="G441" i="4"/>
  <c r="J149" i="3"/>
  <c r="G150" i="3"/>
  <c r="J420" i="3"/>
  <c r="G421" i="3"/>
  <c r="J439" i="5" l="1"/>
  <c r="G440" i="5"/>
  <c r="J441" i="4"/>
  <c r="G442" i="4"/>
  <c r="J161" i="4"/>
  <c r="G162" i="4"/>
  <c r="J150" i="3"/>
  <c r="G151" i="3"/>
  <c r="J421" i="3"/>
  <c r="G422" i="3"/>
  <c r="J440" i="5" l="1"/>
  <c r="G441" i="5"/>
  <c r="J442" i="4"/>
  <c r="G443" i="4"/>
  <c r="J162" i="4"/>
  <c r="G163" i="4"/>
  <c r="J422" i="3"/>
  <c r="G423" i="3"/>
  <c r="J151" i="3"/>
  <c r="G152" i="3"/>
  <c r="J441" i="5" l="1"/>
  <c r="G442" i="5"/>
  <c r="J163" i="4"/>
  <c r="G164" i="4"/>
  <c r="J443" i="4"/>
  <c r="G444" i="4"/>
  <c r="J152" i="3"/>
  <c r="G153" i="3"/>
  <c r="J423" i="3"/>
  <c r="G424" i="3"/>
  <c r="J442" i="5" l="1"/>
  <c r="G443" i="5"/>
  <c r="J444" i="4"/>
  <c r="G445" i="4"/>
  <c r="J164" i="4"/>
  <c r="G165" i="4"/>
  <c r="J424" i="3"/>
  <c r="G425" i="3"/>
  <c r="J153" i="3"/>
  <c r="G154" i="3"/>
  <c r="J443" i="5" l="1"/>
  <c r="G444" i="5"/>
  <c r="J165" i="4"/>
  <c r="G166" i="4"/>
  <c r="J445" i="4"/>
  <c r="G446" i="4"/>
  <c r="J425" i="3"/>
  <c r="G426" i="3"/>
  <c r="J154" i="3"/>
  <c r="G155" i="3"/>
  <c r="J444" i="5" l="1"/>
  <c r="G445" i="5"/>
  <c r="J446" i="4"/>
  <c r="G447" i="4"/>
  <c r="J166" i="4"/>
  <c r="G167" i="4"/>
  <c r="J155" i="3"/>
  <c r="G156" i="3"/>
  <c r="J426" i="3"/>
  <c r="G427" i="3"/>
  <c r="J445" i="5" l="1"/>
  <c r="G446" i="5"/>
  <c r="J167" i="4"/>
  <c r="G168" i="4"/>
  <c r="J447" i="4"/>
  <c r="G448" i="4"/>
  <c r="J427" i="3"/>
  <c r="G428" i="3"/>
  <c r="J156" i="3"/>
  <c r="G157" i="3"/>
  <c r="J446" i="5" l="1"/>
  <c r="G447" i="5"/>
  <c r="J168" i="4"/>
  <c r="G169" i="4"/>
  <c r="J448" i="4"/>
  <c r="G449" i="4"/>
  <c r="J428" i="3"/>
  <c r="G429" i="3"/>
  <c r="J157" i="3"/>
  <c r="G158" i="3"/>
  <c r="J447" i="5" l="1"/>
  <c r="G448" i="5"/>
  <c r="J169" i="4"/>
  <c r="G170" i="4"/>
  <c r="J449" i="4"/>
  <c r="G450" i="4"/>
  <c r="J429" i="3"/>
  <c r="G430" i="3"/>
  <c r="J158" i="3"/>
  <c r="G159" i="3"/>
  <c r="J448" i="5" l="1"/>
  <c r="G449" i="5"/>
  <c r="J450" i="4"/>
  <c r="G451" i="4"/>
  <c r="J170" i="4"/>
  <c r="G171" i="4"/>
  <c r="J159" i="3"/>
  <c r="G160" i="3"/>
  <c r="J430" i="3"/>
  <c r="G431" i="3"/>
  <c r="J449" i="5" l="1"/>
  <c r="G450" i="5"/>
  <c r="J171" i="4"/>
  <c r="G172" i="4"/>
  <c r="J451" i="4"/>
  <c r="G452" i="4"/>
  <c r="J160" i="3"/>
  <c r="G161" i="3"/>
  <c r="J431" i="3"/>
  <c r="G432" i="3"/>
  <c r="J450" i="5" l="1"/>
  <c r="G451" i="5"/>
  <c r="J172" i="4"/>
  <c r="G173" i="4"/>
  <c r="J452" i="4"/>
  <c r="G453" i="4"/>
  <c r="J432" i="3"/>
  <c r="G433" i="3"/>
  <c r="J161" i="3"/>
  <c r="G162" i="3"/>
  <c r="J451" i="5" l="1"/>
  <c r="G452" i="5"/>
  <c r="J453" i="4"/>
  <c r="G454" i="4"/>
  <c r="J173" i="4"/>
  <c r="G174" i="4"/>
  <c r="J162" i="3"/>
  <c r="G163" i="3"/>
  <c r="J433" i="3"/>
  <c r="G434" i="3"/>
  <c r="J452" i="5" l="1"/>
  <c r="G453" i="5"/>
  <c r="J454" i="4"/>
  <c r="G455" i="4"/>
  <c r="J174" i="4"/>
  <c r="G175" i="4"/>
  <c r="J434" i="3"/>
  <c r="G435" i="3"/>
  <c r="J163" i="3"/>
  <c r="G164" i="3"/>
  <c r="J453" i="5" l="1"/>
  <c r="G454" i="5"/>
  <c r="J175" i="4"/>
  <c r="G176" i="4"/>
  <c r="J455" i="4"/>
  <c r="G456" i="4"/>
  <c r="J164" i="3"/>
  <c r="G165" i="3"/>
  <c r="J435" i="3"/>
  <c r="G436" i="3"/>
  <c r="J454" i="5" l="1"/>
  <c r="G455" i="5"/>
  <c r="J176" i="4"/>
  <c r="G177" i="4"/>
  <c r="J456" i="4"/>
  <c r="G457" i="4"/>
  <c r="J436" i="3"/>
  <c r="G437" i="3"/>
  <c r="J165" i="3"/>
  <c r="G166" i="3"/>
  <c r="J455" i="5" l="1"/>
  <c r="G456" i="5"/>
  <c r="J457" i="4"/>
  <c r="G458" i="4"/>
  <c r="J177" i="4"/>
  <c r="G178" i="4"/>
  <c r="J437" i="3"/>
  <c r="G438" i="3"/>
  <c r="J166" i="3"/>
  <c r="G167" i="3"/>
  <c r="J456" i="5" l="1"/>
  <c r="G457" i="5"/>
  <c r="J458" i="4"/>
  <c r="G459" i="4"/>
  <c r="J178" i="4"/>
  <c r="G179" i="4"/>
  <c r="J167" i="3"/>
  <c r="G168" i="3"/>
  <c r="J438" i="3"/>
  <c r="G439" i="3"/>
  <c r="J457" i="5" l="1"/>
  <c r="G458" i="5"/>
  <c r="J459" i="4"/>
  <c r="G460" i="4"/>
  <c r="J179" i="4"/>
  <c r="G180" i="4"/>
  <c r="J168" i="3"/>
  <c r="G169" i="3"/>
  <c r="J439" i="3"/>
  <c r="G440" i="3"/>
  <c r="J458" i="5" l="1"/>
  <c r="G459" i="5"/>
  <c r="J460" i="4"/>
  <c r="G461" i="4"/>
  <c r="J180" i="4"/>
  <c r="G181" i="4"/>
  <c r="J440" i="3"/>
  <c r="G441" i="3"/>
  <c r="J169" i="3"/>
  <c r="G170" i="3"/>
  <c r="J459" i="5" l="1"/>
  <c r="G460" i="5"/>
  <c r="J181" i="4"/>
  <c r="G182" i="4"/>
  <c r="J461" i="4"/>
  <c r="G462" i="4"/>
  <c r="J170" i="3"/>
  <c r="G171" i="3"/>
  <c r="J441" i="3"/>
  <c r="G442" i="3"/>
  <c r="J182" i="4" l="1"/>
  <c r="K17" i="7"/>
  <c r="J460" i="5"/>
  <c r="G461" i="5"/>
  <c r="J462" i="4"/>
  <c r="G463" i="4"/>
  <c r="J442" i="3"/>
  <c r="G443" i="3"/>
  <c r="J171" i="3"/>
  <c r="G172" i="3"/>
  <c r="J461" i="5" l="1"/>
  <c r="G462" i="5"/>
  <c r="J463" i="4"/>
  <c r="G464" i="4"/>
  <c r="J443" i="3"/>
  <c r="G444" i="3"/>
  <c r="J172" i="3"/>
  <c r="G173" i="3"/>
  <c r="J462" i="5" l="1"/>
  <c r="G463" i="5"/>
  <c r="J464" i="4"/>
  <c r="G465" i="4"/>
  <c r="J173" i="3"/>
  <c r="G174" i="3"/>
  <c r="J444" i="3"/>
  <c r="G445" i="3"/>
  <c r="J463" i="5" l="1"/>
  <c r="G464" i="5"/>
  <c r="J465" i="4"/>
  <c r="G466" i="4"/>
  <c r="J174" i="3"/>
  <c r="G175" i="3"/>
  <c r="J445" i="3"/>
  <c r="G446" i="3"/>
  <c r="J464" i="5" l="1"/>
  <c r="G465" i="5"/>
  <c r="J466" i="4"/>
  <c r="G467" i="4"/>
  <c r="J175" i="3"/>
  <c r="G176" i="3"/>
  <c r="J446" i="3"/>
  <c r="G447" i="3"/>
  <c r="J465" i="5" l="1"/>
  <c r="G466" i="5"/>
  <c r="J467" i="4"/>
  <c r="G468" i="4"/>
  <c r="J447" i="3"/>
  <c r="G448" i="3"/>
  <c r="J176" i="3"/>
  <c r="G177" i="3"/>
  <c r="J466" i="5" l="1"/>
  <c r="G467" i="5"/>
  <c r="J468" i="4"/>
  <c r="G469" i="4"/>
  <c r="J177" i="3"/>
  <c r="G178" i="3"/>
  <c r="J448" i="3"/>
  <c r="G449" i="3"/>
  <c r="J467" i="5" l="1"/>
  <c r="G468" i="5"/>
  <c r="J469" i="4"/>
  <c r="G470" i="4"/>
  <c r="J449" i="3"/>
  <c r="G450" i="3"/>
  <c r="J178" i="3"/>
  <c r="G179" i="3"/>
  <c r="J468" i="5" l="1"/>
  <c r="G469" i="5"/>
  <c r="J470" i="4"/>
  <c r="G471" i="4"/>
  <c r="J179" i="3"/>
  <c r="G180" i="3"/>
  <c r="J450" i="3"/>
  <c r="G451" i="3"/>
  <c r="J469" i="5" l="1"/>
  <c r="G470" i="5"/>
  <c r="J471" i="4"/>
  <c r="G472" i="4"/>
  <c r="J180" i="3"/>
  <c r="G181" i="3"/>
  <c r="J451" i="3"/>
  <c r="G452" i="3"/>
  <c r="J470" i="5" l="1"/>
  <c r="G471" i="5"/>
  <c r="J472" i="4"/>
  <c r="G473" i="4"/>
  <c r="J452" i="3"/>
  <c r="G453" i="3"/>
  <c r="J181" i="3"/>
  <c r="G182" i="3"/>
  <c r="J471" i="5" l="1"/>
  <c r="G472" i="5"/>
  <c r="J473" i="4"/>
  <c r="G474" i="4"/>
  <c r="J182" i="3"/>
  <c r="G183" i="3"/>
  <c r="J453" i="3"/>
  <c r="G454" i="3"/>
  <c r="J472" i="5" l="1"/>
  <c r="G473" i="5"/>
  <c r="J474" i="4"/>
  <c r="G475" i="4"/>
  <c r="J183" i="3"/>
  <c r="G184" i="3"/>
  <c r="J454" i="3"/>
  <c r="G455" i="3"/>
  <c r="J473" i="5" l="1"/>
  <c r="G474" i="5"/>
  <c r="J475" i="4"/>
  <c r="G476" i="4"/>
  <c r="J184" i="3"/>
  <c r="G185" i="3"/>
  <c r="J455" i="3"/>
  <c r="G456" i="3"/>
  <c r="J474" i="5" l="1"/>
  <c r="G475" i="5"/>
  <c r="J476" i="4"/>
  <c r="G477" i="4"/>
  <c r="J456" i="3"/>
  <c r="G457" i="3"/>
  <c r="J185" i="3"/>
  <c r="G186" i="3"/>
  <c r="J475" i="5" l="1"/>
  <c r="G476" i="5"/>
  <c r="J477" i="4"/>
  <c r="G478" i="4"/>
  <c r="J186" i="3"/>
  <c r="G187" i="3"/>
  <c r="J457" i="3"/>
  <c r="G458" i="3"/>
  <c r="J476" i="5" l="1"/>
  <c r="G477" i="5"/>
  <c r="J478" i="4"/>
  <c r="G479" i="4"/>
  <c r="J187" i="3"/>
  <c r="G188" i="3"/>
  <c r="J458" i="3"/>
  <c r="G459" i="3"/>
  <c r="J477" i="5" l="1"/>
  <c r="G478" i="5"/>
  <c r="J479" i="4"/>
  <c r="G480" i="4"/>
  <c r="J188" i="3"/>
  <c r="G189" i="3"/>
  <c r="J459" i="3"/>
  <c r="G460" i="3"/>
  <c r="J478" i="5" l="1"/>
  <c r="G479" i="5"/>
  <c r="J480" i="4"/>
  <c r="G481" i="4"/>
  <c r="J460" i="3"/>
  <c r="G461" i="3"/>
  <c r="J189" i="3"/>
  <c r="G190" i="3"/>
  <c r="J479" i="5" l="1"/>
  <c r="G480" i="5"/>
  <c r="J481" i="4"/>
  <c r="G482" i="4"/>
  <c r="J461" i="3"/>
  <c r="G462" i="3"/>
  <c r="J190" i="3"/>
  <c r="G191" i="3"/>
  <c r="J480" i="5" l="1"/>
  <c r="G481" i="5"/>
  <c r="J482" i="4"/>
  <c r="G483" i="4"/>
  <c r="J191" i="3"/>
  <c r="G192" i="3"/>
  <c r="J462" i="3"/>
  <c r="G463" i="3"/>
  <c r="J481" i="5" l="1"/>
  <c r="G482" i="5"/>
  <c r="J483" i="4"/>
  <c r="G484" i="4"/>
  <c r="J463" i="3"/>
  <c r="G464" i="3"/>
  <c r="J192" i="3"/>
  <c r="G193" i="3"/>
  <c r="J482" i="5" l="1"/>
  <c r="G483" i="5"/>
  <c r="J484" i="4"/>
  <c r="G485" i="4"/>
  <c r="J464" i="3"/>
  <c r="G465" i="3"/>
  <c r="J193" i="3"/>
  <c r="G194" i="3"/>
  <c r="J483" i="5" l="1"/>
  <c r="G484" i="5"/>
  <c r="J485" i="4"/>
  <c r="G486" i="4"/>
  <c r="J194" i="3"/>
  <c r="G195" i="3"/>
  <c r="J465" i="3"/>
  <c r="G466" i="3"/>
  <c r="J484" i="5" l="1"/>
  <c r="G485" i="5"/>
  <c r="J486" i="4"/>
  <c r="G487" i="4"/>
  <c r="J466" i="3"/>
  <c r="G467" i="3"/>
  <c r="J195" i="3"/>
  <c r="G196" i="3"/>
  <c r="J485" i="5" l="1"/>
  <c r="G486" i="5"/>
  <c r="J487" i="4"/>
  <c r="G488" i="4"/>
  <c r="J196" i="3"/>
  <c r="G197" i="3"/>
  <c r="J467" i="3"/>
  <c r="G468" i="3"/>
  <c r="J486" i="5" l="1"/>
  <c r="G487" i="5"/>
  <c r="K21" i="7" s="1"/>
  <c r="J488" i="4"/>
  <c r="G489" i="4"/>
  <c r="J468" i="3"/>
  <c r="G469" i="3"/>
  <c r="J197" i="3"/>
  <c r="G198" i="3"/>
  <c r="J487" i="5" l="1"/>
  <c r="J489" i="4"/>
  <c r="G490" i="4"/>
  <c r="J198" i="3"/>
  <c r="G199" i="3"/>
  <c r="J469" i="3"/>
  <c r="G470" i="3"/>
  <c r="J490" i="4" l="1"/>
  <c r="G491" i="4"/>
  <c r="J470" i="3"/>
  <c r="G471" i="3"/>
  <c r="J199" i="3"/>
  <c r="G200" i="3"/>
  <c r="J491" i="4" l="1"/>
  <c r="G492" i="4"/>
  <c r="J200" i="3"/>
  <c r="G201" i="3"/>
  <c r="J471" i="3"/>
  <c r="G472" i="3"/>
  <c r="J492" i="4" l="1"/>
  <c r="G493" i="4"/>
  <c r="J472" i="3"/>
  <c r="G473" i="3"/>
  <c r="J201" i="3"/>
  <c r="G202" i="3"/>
  <c r="J493" i="4" l="1"/>
  <c r="G494" i="4"/>
  <c r="J202" i="3"/>
  <c r="G203" i="3"/>
  <c r="J473" i="3"/>
  <c r="G474" i="3"/>
  <c r="J494" i="4" l="1"/>
  <c r="G495" i="4"/>
  <c r="J474" i="3"/>
  <c r="G475" i="3"/>
  <c r="J203" i="3"/>
  <c r="G204" i="3"/>
  <c r="J495" i="4" l="1"/>
  <c r="G496" i="4"/>
  <c r="J204" i="3"/>
  <c r="G205" i="3"/>
  <c r="J475" i="3"/>
  <c r="G476" i="3"/>
  <c r="J496" i="4" l="1"/>
  <c r="G497" i="4"/>
  <c r="J205" i="3"/>
  <c r="G206" i="3"/>
  <c r="J476" i="3"/>
  <c r="G477" i="3"/>
  <c r="J497" i="4" l="1"/>
  <c r="G498" i="4"/>
  <c r="J477" i="3"/>
  <c r="G478" i="3"/>
  <c r="J206" i="3"/>
  <c r="G207" i="3"/>
  <c r="J498" i="4" l="1"/>
  <c r="G499" i="4"/>
  <c r="J207" i="3"/>
  <c r="G208" i="3"/>
  <c r="J478" i="3"/>
  <c r="G479" i="3"/>
  <c r="J499" i="4" l="1"/>
  <c r="G500" i="4"/>
  <c r="J479" i="3"/>
  <c r="G480" i="3"/>
  <c r="J208" i="3"/>
  <c r="G209" i="3"/>
  <c r="J500" i="4" l="1"/>
  <c r="G501" i="4"/>
  <c r="J209" i="3"/>
  <c r="G210" i="3"/>
  <c r="J480" i="3"/>
  <c r="G481" i="3"/>
  <c r="J501" i="4" l="1"/>
  <c r="G502" i="4"/>
  <c r="J481" i="3"/>
  <c r="G482" i="3"/>
  <c r="J210" i="3"/>
  <c r="G211" i="3"/>
  <c r="J502" i="4" l="1"/>
  <c r="G503" i="4"/>
  <c r="J482" i="3"/>
  <c r="G483" i="3"/>
  <c r="J211" i="3"/>
  <c r="G212" i="3"/>
  <c r="J503" i="4" l="1"/>
  <c r="G504" i="4"/>
  <c r="J212" i="3"/>
  <c r="G213" i="3"/>
  <c r="J483" i="3"/>
  <c r="G484" i="3"/>
  <c r="J484" i="3" l="1"/>
  <c r="K15" i="7"/>
  <c r="J504" i="4"/>
  <c r="G505" i="4"/>
  <c r="J213" i="3"/>
  <c r="G214" i="3"/>
  <c r="J505" i="4" l="1"/>
  <c r="G506" i="4"/>
  <c r="J214" i="3"/>
  <c r="G215" i="3"/>
  <c r="J506" i="4" l="1"/>
  <c r="G507" i="4"/>
  <c r="J215" i="3"/>
  <c r="G216" i="3"/>
  <c r="J507" i="4" l="1"/>
  <c r="G508" i="4"/>
  <c r="J216" i="3"/>
  <c r="G217" i="3"/>
  <c r="J508" i="4" l="1"/>
  <c r="G509" i="4"/>
  <c r="J217" i="3"/>
  <c r="G218" i="3"/>
  <c r="J509" i="4" l="1"/>
  <c r="G510" i="4"/>
  <c r="J218" i="3"/>
  <c r="G219" i="3"/>
  <c r="J510" i="4" l="1"/>
  <c r="G511" i="4"/>
  <c r="J219" i="3"/>
  <c r="G220" i="3"/>
  <c r="J511" i="4" l="1"/>
  <c r="G512" i="4"/>
  <c r="J220" i="3"/>
  <c r="G221" i="3"/>
  <c r="J512" i="4" l="1"/>
  <c r="G513" i="4"/>
  <c r="J221" i="3"/>
  <c r="G222" i="3"/>
  <c r="J513" i="4" l="1"/>
  <c r="G514" i="4"/>
  <c r="J222" i="3"/>
  <c r="G223" i="3"/>
  <c r="J514" i="4" l="1"/>
  <c r="G515" i="4"/>
  <c r="J223" i="3"/>
  <c r="G224" i="3"/>
  <c r="J515" i="4" l="1"/>
  <c r="G516" i="4"/>
  <c r="J224" i="3"/>
  <c r="G225" i="3"/>
  <c r="J516" i="4" l="1"/>
  <c r="G517" i="4"/>
  <c r="J225" i="3"/>
  <c r="G226" i="3"/>
  <c r="J517" i="4" l="1"/>
  <c r="G518" i="4"/>
  <c r="J226" i="3"/>
  <c r="G227" i="3"/>
  <c r="J227" i="3" l="1"/>
  <c r="K14" i="7"/>
  <c r="J518" i="4"/>
  <c r="G519" i="4"/>
  <c r="J519" i="4" l="1"/>
  <c r="G520" i="4"/>
  <c r="J520" i="4" l="1"/>
  <c r="G521" i="4"/>
  <c r="J521" i="4" l="1"/>
  <c r="G522" i="4"/>
  <c r="J522" i="4" l="1"/>
  <c r="G523" i="4"/>
  <c r="J523" i="4" l="1"/>
  <c r="G524" i="4"/>
  <c r="J524" i="4" l="1"/>
  <c r="G525" i="4"/>
  <c r="J525" i="4" l="1"/>
  <c r="K18" i="7"/>
</calcChain>
</file>

<file path=xl/sharedStrings.xml><?xml version="1.0" encoding="utf-8"?>
<sst xmlns="http://schemas.openxmlformats.org/spreadsheetml/2006/main" count="242" uniqueCount="107">
  <si>
    <t>Risk Factors Analyzed:</t>
  </si>
  <si>
    <t>RF1: BAMLC0A4CBBBEY (Credit Spread) | RF2: S&amp;P 500 (Equity) | RF3: EUR/USD (FX)</t>
  </si>
  <si>
    <t>Analysis Periods:</t>
  </si>
  <si>
    <t>Year 2020  |  Year 2021  |  Year 2025</t>
  </si>
  <si>
    <t>Methodologies:</t>
  </si>
  <si>
    <t>Standard Z-Score  |  Robust Z-Score  |  EWMA Z-Score (N=30, λ=0.9)</t>
  </si>
  <si>
    <t>Outlier Threshold:</t>
  </si>
  <si>
    <t>Z &gt; 3.0 (flagged) | Z &gt; 6.0 (high confidence)</t>
  </si>
  <si>
    <t>Return Conventions:</t>
  </si>
  <si>
    <t>Risk Factor</t>
  </si>
  <si>
    <t>Year</t>
  </si>
  <si>
    <t>Total Obs</t>
  </si>
  <si>
    <t>Missing</t>
  </si>
  <si>
    <t>Stale</t>
  </si>
  <si>
    <t>Z&gt;3 Outliers</t>
  </si>
  <si>
    <t>Rob Z&gt;3 Outliers</t>
  </si>
  <si>
    <t>Max Z-Score</t>
  </si>
  <si>
    <t>Max Robust Z</t>
  </si>
  <si>
    <t>Max EWMA Z</t>
  </si>
  <si>
    <t>RF1: Credit Spread</t>
  </si>
  <si>
    <t>RF2: S&amp;P 500</t>
  </si>
  <si>
    <t>RF3: EUR/USD</t>
  </si>
  <si>
    <t>METHODOLOGY &amp; RETURN TYPE JUSTIFICATION</t>
  </si>
  <si>
    <t>RETURN TYPE SELECTION</t>
  </si>
  <si>
    <t>Return Type</t>
  </si>
  <si>
    <t>Justification</t>
  </si>
  <si>
    <t>RF1: BAMLC0A4CBBBEY Credit Spread</t>
  </si>
  <si>
    <t>Absolute Returns (×100 bps)</t>
  </si>
  <si>
    <t>RF2: S&amp;P 500 Index</t>
  </si>
  <si>
    <t>RF3: EUR/USD FX Rate</t>
  </si>
  <si>
    <t>Z-SCORE METHODS</t>
  </si>
  <si>
    <t>Method</t>
  </si>
  <si>
    <t>Properties &amp; Use Case</t>
  </si>
  <si>
    <t>Standard Z-Score</t>
  </si>
  <si>
    <t>Robust Z-Score</t>
  </si>
  <si>
    <t>EWMA Z-Score</t>
  </si>
  <si>
    <t>DATA QUALITY TAXONOMY</t>
  </si>
  <si>
    <t>Issue Type</t>
  </si>
  <si>
    <t>Detection Method</t>
  </si>
  <si>
    <t>Remediation Approach</t>
  </si>
  <si>
    <t>Missing Data</t>
  </si>
  <si>
    <t>Stale Data</t>
  </si>
  <si>
    <t>Outliers</t>
  </si>
  <si>
    <t>RF1: BAMLC0A4CBBBEY (Credit Spread)</t>
  </si>
  <si>
    <t>Return Type: Absolute (×100 bps)   |   Z-Score Threshold: 3.0   |   EWMA Parameters: N=30, λ=0.9</t>
  </si>
  <si>
    <t>GLOBAL STATISTICS (Full Series)</t>
  </si>
  <si>
    <t>Mean Return</t>
  </si>
  <si>
    <t>Std Dev (σ)</t>
  </si>
  <si>
    <t>Median Return</t>
  </si>
  <si>
    <t>Scaled MAD (σ̂)</t>
  </si>
  <si>
    <t>Cutoff (c)</t>
  </si>
  <si>
    <t>Date</t>
  </si>
  <si>
    <t>Level</t>
  </si>
  <si>
    <t>Return</t>
  </si>
  <si>
    <t>Z-Score</t>
  </si>
  <si>
    <t>Robust Z</t>
  </si>
  <si>
    <t>EWMA Z</t>
  </si>
  <si>
    <t>Z&gt;3 Flag</t>
  </si>
  <si>
    <t>Missing?</t>
  </si>
  <si>
    <t>Stale?</t>
  </si>
  <si>
    <t>RF2: S&amp;P 500 (Equity Index)</t>
  </si>
  <si>
    <t>Return Type: Log Returns   |   Z-Score Threshold: 3.0   |   EWMA Parameters: N=30, λ=0.9</t>
  </si>
  <si>
    <t>#</t>
  </si>
  <si>
    <t>Description</t>
  </si>
  <si>
    <t>Priority</t>
  </si>
  <si>
    <t>Low</t>
  </si>
  <si>
    <t>Medium</t>
  </si>
  <si>
    <t>High</t>
  </si>
  <si>
    <t>All RFs</t>
  </si>
  <si>
    <t>All Years</t>
  </si>
  <si>
    <t>RF1: Credit Spread (BAMLC0A4CBBBEY)</t>
  </si>
  <si>
    <t>RF2: S&amp;P 500 (SP500)</t>
  </si>
  <si>
    <t>Outliers (Real COVID)</t>
  </si>
  <si>
    <t>RF3: EUR/USD (DEXUSEU)</t>
  </si>
  <si>
    <t>2020-2021</t>
  </si>
  <si>
    <t>EWMA Calibration</t>
  </si>
  <si>
    <t>MAD Helper (|r - median|)</t>
  </si>
  <si>
    <t>|r - median|</t>
  </si>
  <si>
    <t>SUMMARY STATISTICS</t>
  </si>
  <si>
    <t>DATA QUALITY ANALYSIS - RISK FACTOR TIME SERIES</t>
  </si>
  <si>
    <t>Market Risk Management - Class 8 Assignment</t>
  </si>
  <si>
    <t>Equity indices are multiplicative - a 10% move is proportionally equivalent at 3,000 or 7,000. Log returns ensure non-negativity of simulated levels and are consistent with lognormal/GBM assumptions. They handle large moves without producing negative scenario values.</t>
  </si>
  <si>
    <t>Simple and widely used. Assumes constant volatility. Can over-flag in volatile regimes (e.g. COVID-19 March 2020). Threshold: Z &gt; 3 = outlier; Z &gt; 6 = high confidence.</t>
  </si>
  <si>
    <t>Less sensitive to outliers since median and MAD are not affected by extreme values. Flags two consecutive large Z-scores rather than single-day spikes. Preferred for heavy-tailed or clustered return series.</t>
  </si>
  <si>
    <t>For 1-2 day gaps: forward fill or linear interpolation. For scheduled market holidays: carry-forward is standard. Document all fills.</t>
  </si>
  <si>
    <t>For isolated 1-day stale points: accept if consistent with low liquidity. For clusters of 2+ days: apply Brownian Bridge between last valid and next valid point. Flag in VaR documentation.</t>
  </si>
  <si>
    <t>3 missing observations on US market holidays: 2020-01-01 (New Year), 2020-11-27 (Thanksgiving Friday), 2020-12-25 (Christmas). FRED returns NA on these dates by construction.</t>
  </si>
  <si>
    <t>48 stale observations in 2020 (zero absolute return). Credit spread indices only update when trades occur; stale prices on low-liquidity days are expected for BAMLC0A4CBBBEY. Clusters concentrated in Jan-Feb and Nov-Dec 2020.</t>
  </si>
  <si>
    <t>11 observations exceed Z=3 in 2020, concentrated in March 2020 (COVID-19 credit spread spike). Max Z-score: 10.13 on 2020-03-20 (spread reached 6.91%). Robust Z flags 24 observations (max RobZ=18.55).</t>
  </si>
  <si>
    <t>44 stale observations in 2021. Same pattern as 2020: index stale on low-activity days around holidays and low-volume periods in summer and December.</t>
  </si>
  <si>
    <t>9 missing observations in 2020 on NYSE holidays: MLK Day, Presidents Day, Good Friday, Memorial Day, Independence Day, Labor Day, Thanksgiving, Christmas, and New Year. No stale data for this index.</t>
  </si>
  <si>
    <t>14 observations exceed Z=3 in 2020, concentrated in March 2020 (COVID-19). Max Z=8.45 on 2020-03-16 (index fell 12.8% to 2,386 in one day). Robust Z flags 35 observations.</t>
  </si>
  <si>
    <t>12 missing observations per year. FRED DEXUSEU does not report on US Federal Reserve holidays even though FX markets remain open. Affected dates: New Year, MLK Day, Presidents Day, Memorial Day, Independence Day, Labor Day, Columbus Day, Veterans Day, Thanksgiving, Christmas.</t>
  </si>
  <si>
    <t>1 observation exceeds Z=3 in 2025 (April 2025 tariff shock). Robust Z flags 10 additional observations as credit spreads widened from ~2.7% in Jan-2025 to ~4.5% in April-2025. Max Z=4.25, Max RobZ=7.76.</t>
  </si>
  <si>
    <t>Credit Spread: Absolute Returns (x100 bps) | Equity &amp; FX: Log Returns</t>
  </si>
  <si>
    <t>REMEDIATION PLAN: DATA QUALITY ISSUES &amp; PROPOSED FIXES</t>
  </si>
  <si>
    <t>NULL/NaN values. Causes: market holidays, system failures, instrument not yet listed.</t>
  </si>
  <si>
    <t>2+ consecutive observations with zero absolute change. Stale data dampens measured volatility and understates VaR.</t>
  </si>
  <si>
    <t>Z or Robust Z &gt; 3.0. May be data errors or genuine market events (e.g. COVID-19 March 2020).</t>
  </si>
  <si>
    <t>Credit spreads are bounded below by zero and can cross zero or mean-revert. Log returns at low spread levels amplify shocks and can produce negative simulated spreads. Absolute changes capture the economic meaning of bps widening regardless of spread level. Market convention for spread instruments uses absolute returns.</t>
  </si>
  <si>
    <t>FX rates follow multiplicative dynamics, so proportional shocks are more meaningful than absolute ones. Log returns prevent simulated rates from going negative. For major FX pairs, log returns are closer to i.i.d. normal than absolute changes in practice.</t>
  </si>
  <si>
    <t>Time-varying volatility with decay lambda=0.9, lookback N=30. Reduces false flags during already-volatile periods since the denominator rises with the regime. Reported for the five worst Z-score points per year.</t>
  </si>
  <si>
    <t>Cross-check against alternative sources. For confirmed market events (e.g. COVID): retain and flag as stress period. For data errors: replace using Brownian Bridge or cohort model. High-exposure outliers go to specialist review.</t>
  </si>
  <si>
    <t>EWMA Z-score (N=30, lambda=0.9): during COVID-19, EWMA adapts to elevated vol so EWMA Z-scores are lower than standard Z-scores at peak stress. All three RFs show max EWMA Z below 3.0 during COVID while standard Z-scores reach 8-10.</t>
  </si>
  <si>
    <t>Log Returns (ln-relatives)</t>
  </si>
  <si>
    <t>RobZ&gt;3</t>
  </si>
  <si>
    <t>EWMA&gt;3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</si>
</sst>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
    <numFmt numFmtId="166" formatCode="0.0000"/>
    <numFmt numFmtId="167" formatCode="yyyy/mm/dd"/>
  </numFmts>
  <fonts count="19" x14ac:knownFonts="1">
    <font>
      <sz val="11"/>
      <color theme="1"/>
      <name val="Calibri"/>
      <family val="2"/>
      <charset val="1"/>
    </font>
    <font>
      <sz val="8"/>
      <color rgb="FF000000"/>
      <name val="Arial"/>
      <family val="2"/>
    </font>
    <font>
      <sz val="9"/>
      <color rgb="FF000000"/>
      <name val="Arial"/>
      <family val="2"/>
    </font>
    <font>
      <sz val="11"/>
      <color rgb="FF000000"/>
      <name val="Calibri"/>
      <family val="2"/>
      <charset val="1"/>
    </font>
    <font>
      <sz val="14"/>
      <color rgb="FF000000"/>
      <name val="Arial"/>
      <family val="2"/>
    </font>
    <font>
      <sz val="8"/>
      <color rgb="FF888888"/>
      <name val="Arial"/>
      <family val="2"/>
    </font>
    <font>
      <sz val="9"/>
      <color rgb="FF000000"/>
      <name val="Arial"/>
    </font>
    <font>
      <b/>
      <sz val="20"/>
      <color rgb="FF000000"/>
      <name val="Arial"/>
    </font>
    <font>
      <sz val="13"/>
      <color rgb="FF000000"/>
      <name val="Arial"/>
    </font>
    <font>
      <b/>
      <sz val="10"/>
      <color rgb="FF000000"/>
      <name val="Arial"/>
    </font>
    <font>
      <sz val="10"/>
      <color rgb="FF000000"/>
      <name val="Arial"/>
    </font>
    <font>
      <b/>
      <sz val="11"/>
      <color rgb="FF000000"/>
      <name val="Arial"/>
    </font>
    <font>
      <b/>
      <sz val="9"/>
      <color rgb="FF000000"/>
      <name val="Arial"/>
    </font>
    <font>
      <b/>
      <sz val="11"/>
      <color rgb="FF000000"/>
      <name val="Calibri"/>
      <family val="2"/>
      <charset val="1"/>
    </font>
    <font>
      <sz val="8"/>
      <color rgb="FF000000"/>
      <name val="Arial"/>
    </font>
    <font>
      <sz val="8"/>
      <color theme="1"/>
      <name val="Arial"/>
    </font>
    <font>
      <sz val="8"/>
      <color theme="1"/>
      <name val="Calibri"/>
      <family val="2"/>
      <charset val="1"/>
    </font>
    <font>
      <sz val="8"/>
      <color theme="1"/>
      <name val="Arial"/>
      <family val="2"/>
    </font>
    <font>
      <b/>
      <sz val="9"/>
      <color theme="1"/>
      <name val="Arial"/>
      <family val="2"/>
    </font>
  </fonts>
  <fills count="6">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F2F2F2"/>
        <bgColor indexed="64"/>
      </patternFill>
    </fill>
    <fill>
      <patternFill patternType="solid">
        <fgColor rgb="FFF5F5F5"/>
        <bgColor indexed="64"/>
      </patternFill>
    </fill>
  </fills>
  <borders count="2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2E4A7A"/>
      </top>
      <bottom style="thin">
        <color rgb="FFBFBFBF"/>
      </bottom>
      <diagonal/>
    </border>
    <border>
      <left/>
      <right style="thin">
        <color rgb="FF2E4A7A"/>
      </right>
      <top style="thin">
        <color rgb="FF2E4A7A"/>
      </top>
      <bottom style="thin">
        <color rgb="FFBFBFBF"/>
      </bottom>
      <diagonal/>
    </border>
    <border>
      <left/>
      <right/>
      <top style="thin">
        <color rgb="FFBFBFBF"/>
      </top>
      <bottom style="thin">
        <color rgb="FFBFBFBF"/>
      </bottom>
      <diagonal/>
    </border>
    <border>
      <left/>
      <right style="thin">
        <color rgb="FF2E4A7A"/>
      </right>
      <top style="thin">
        <color rgb="FFBFBFBF"/>
      </top>
      <bottom style="thin">
        <color rgb="FFBFBFBF"/>
      </bottom>
      <diagonal/>
    </border>
    <border>
      <left/>
      <right/>
      <top style="thin">
        <color rgb="FFBFBFBF"/>
      </top>
      <bottom style="thin">
        <color rgb="FF2E4A7A"/>
      </bottom>
      <diagonal/>
    </border>
    <border>
      <left/>
      <right style="thin">
        <color rgb="FF2E4A7A"/>
      </right>
      <top style="thin">
        <color rgb="FFBFBFBF"/>
      </top>
      <bottom style="thin">
        <color rgb="FF2E4A7A"/>
      </bottom>
      <diagonal/>
    </border>
    <border>
      <left style="thin">
        <color rgb="FF2E4A7A"/>
      </left>
      <right style="thin">
        <color rgb="FFBFBFBF"/>
      </right>
      <top style="thin">
        <color rgb="FF2E4A7A"/>
      </top>
      <bottom style="thin">
        <color rgb="FFBFBFBF"/>
      </bottom>
      <diagonal/>
    </border>
    <border>
      <left style="thin">
        <color rgb="FFBFBFBF"/>
      </left>
      <right style="thin">
        <color rgb="FFBFBFBF"/>
      </right>
      <top style="thin">
        <color rgb="FF2E4A7A"/>
      </top>
      <bottom style="thin">
        <color rgb="FFBFBFBF"/>
      </bottom>
      <diagonal/>
    </border>
    <border>
      <left style="thin">
        <color rgb="FFBFBFBF"/>
      </left>
      <right style="thin">
        <color rgb="FF2E4A7A"/>
      </right>
      <top style="thin">
        <color rgb="FF2E4A7A"/>
      </top>
      <bottom style="thin">
        <color rgb="FFBFBFBF"/>
      </bottom>
      <diagonal/>
    </border>
    <border>
      <left style="thin">
        <color rgb="FF2E4A7A"/>
      </left>
      <right style="thin">
        <color rgb="FFBFBFBF"/>
      </right>
      <top style="thin">
        <color rgb="FFBFBFBF"/>
      </top>
      <bottom style="thin">
        <color rgb="FFBFBFBF"/>
      </bottom>
      <diagonal/>
    </border>
    <border>
      <left style="thin">
        <color rgb="FFBFBFBF"/>
      </left>
      <right style="thin">
        <color rgb="FF2E4A7A"/>
      </right>
      <top style="thin">
        <color rgb="FFBFBFBF"/>
      </top>
      <bottom style="thin">
        <color rgb="FFBFBFBF"/>
      </bottom>
      <diagonal/>
    </border>
    <border>
      <left style="thin">
        <color rgb="FF2E4A7A"/>
      </left>
      <right style="thin">
        <color rgb="FFBFBFBF"/>
      </right>
      <top style="thin">
        <color rgb="FFBFBFBF"/>
      </top>
      <bottom style="thin">
        <color rgb="FF2E4A7A"/>
      </bottom>
      <diagonal/>
    </border>
    <border>
      <left style="thin">
        <color rgb="FFBFBFBF"/>
      </left>
      <right style="thin">
        <color rgb="FFBFBFBF"/>
      </right>
      <top style="thin">
        <color rgb="FFBFBFBF"/>
      </top>
      <bottom style="thin">
        <color rgb="FF2E4A7A"/>
      </bottom>
      <diagonal/>
    </border>
    <border>
      <left style="thin">
        <color rgb="FFBFBFBF"/>
      </left>
      <right style="thin">
        <color rgb="FF2E4A7A"/>
      </right>
      <top style="thin">
        <color rgb="FFBFBFBF"/>
      </top>
      <bottom style="thin">
        <color rgb="FF2E4A7A"/>
      </bottom>
      <diagonal/>
    </border>
    <border>
      <left style="thin">
        <color rgb="FFBFBFBF"/>
      </left>
      <right/>
      <top style="thin">
        <color rgb="FF2E4A7A"/>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2E4A7A"/>
      </bottom>
      <diagonal/>
    </border>
    <border>
      <left/>
      <right style="thin">
        <color rgb="FFBFBFBF"/>
      </right>
      <top style="thin">
        <color rgb="FFBFBFBF"/>
      </top>
      <bottom style="thin">
        <color rgb="FF2E4A7A"/>
      </bottom>
      <diagonal/>
    </border>
    <border>
      <left/>
      <right style="thin">
        <color rgb="FFBFBFBF"/>
      </right>
      <top style="thin">
        <color rgb="FF2E4A7A"/>
      </top>
      <bottom style="thin">
        <color rgb="FFBFBFBF"/>
      </bottom>
      <diagonal/>
    </border>
  </borders>
  <cellStyleXfs count="1">
    <xf numFmtId="0" fontId="0" fillId="0" borderId="0"/>
  </cellStyleXfs>
  <cellXfs count="122">
    <xf numFmtId="0" fontId="0" fillId="0" borderId="0" xfId="0"/>
    <xf numFmtId="0" fontId="3" fillId="0" borderId="0" xfId="0" applyFont="1"/>
    <xf numFmtId="0" fontId="2" fillId="0" borderId="0" xfId="0" applyFont="1" applyAlignment="1">
      <alignment horizontal="center" vertical="center"/>
    </xf>
    <xf numFmtId="164" fontId="2" fillId="0" borderId="0" xfId="0" applyNumberFormat="1" applyFont="1" applyAlignment="1">
      <alignment horizontal="center" vertical="center"/>
    </xf>
    <xf numFmtId="165" fontId="2" fillId="0" borderId="0" xfId="0" applyNumberFormat="1" applyFont="1" applyAlignment="1">
      <alignment horizontal="center" vertical="center"/>
    </xf>
    <xf numFmtId="166" fontId="1" fillId="0" borderId="0" xfId="0" applyNumberFormat="1" applyFon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4" fillId="0" borderId="0" xfId="0" applyFont="1" applyAlignment="1">
      <alignment horizontal="left" vertical="center" indent="1"/>
    </xf>
    <xf numFmtId="0" fontId="2" fillId="0" borderId="0" xfId="0" applyFont="1" applyAlignment="1">
      <alignment horizontal="left" vertical="center" indent="1"/>
    </xf>
    <xf numFmtId="0" fontId="5" fillId="0" borderId="0" xfId="0" applyFont="1" applyAlignment="1">
      <alignment horizontal="center" vertical="center" wrapText="1"/>
    </xf>
    <xf numFmtId="0" fontId="6" fillId="0" borderId="0" xfId="0" applyFont="1"/>
    <xf numFmtId="0" fontId="7" fillId="0" borderId="0" xfId="0" applyFont="1"/>
    <xf numFmtId="0" fontId="3" fillId="0" borderId="0" xfId="0" applyFont="1"/>
    <xf numFmtId="0" fontId="8" fillId="0" borderId="0" xfId="0" applyFont="1"/>
    <xf numFmtId="0" fontId="9" fillId="0" borderId="0" xfId="0" applyFont="1"/>
    <xf numFmtId="0" fontId="10" fillId="0" borderId="0" xfId="0" applyFont="1"/>
    <xf numFmtId="0" fontId="6" fillId="2" borderId="12" xfId="0" applyFont="1" applyFill="1" applyBorder="1" applyAlignment="1">
      <alignment horizontal="left"/>
    </xf>
    <xf numFmtId="0" fontId="6" fillId="2" borderId="1" xfId="0" applyFont="1" applyFill="1" applyBorder="1" applyAlignment="1">
      <alignment horizontal="center"/>
    </xf>
    <xf numFmtId="0" fontId="6" fillId="2" borderId="13" xfId="0" applyFont="1" applyFill="1" applyBorder="1" applyAlignment="1">
      <alignment horizontal="center"/>
    </xf>
    <xf numFmtId="0" fontId="6" fillId="2" borderId="12" xfId="0" applyFont="1" applyFill="1" applyBorder="1" applyAlignment="1">
      <alignment horizontal="left" vertical="top" wrapText="1"/>
    </xf>
    <xf numFmtId="0" fontId="6" fillId="2" borderId="1" xfId="0" applyFont="1" applyFill="1" applyBorder="1" applyAlignment="1">
      <alignment vertical="top" wrapText="1"/>
    </xf>
    <xf numFmtId="0" fontId="6" fillId="2" borderId="1" xfId="0" applyFont="1" applyFill="1" applyBorder="1" applyAlignment="1">
      <alignment vertical="top" wrapText="1"/>
    </xf>
    <xf numFmtId="0" fontId="6" fillId="2" borderId="13" xfId="0" applyFont="1" applyFill="1" applyBorder="1" applyAlignment="1">
      <alignment vertical="top" wrapText="1"/>
    </xf>
    <xf numFmtId="0" fontId="6" fillId="2" borderId="15" xfId="0" applyFont="1" applyFill="1" applyBorder="1" applyAlignment="1">
      <alignment vertical="top" wrapText="1"/>
    </xf>
    <xf numFmtId="0" fontId="6" fillId="2" borderId="2" xfId="0" applyFont="1" applyFill="1" applyBorder="1" applyAlignment="1">
      <alignment vertical="top" wrapText="1"/>
    </xf>
    <xf numFmtId="0" fontId="6" fillId="2" borderId="5" xfId="0" applyFont="1" applyFill="1" applyBorder="1" applyAlignment="1">
      <alignment vertical="top" wrapText="1"/>
    </xf>
    <xf numFmtId="0" fontId="6" fillId="2" borderId="18" xfId="0" applyFont="1" applyFill="1" applyBorder="1" applyAlignment="1">
      <alignment vertical="top" wrapText="1"/>
    </xf>
    <xf numFmtId="0" fontId="6" fillId="2" borderId="6" xfId="0" applyFont="1" applyFill="1" applyBorder="1" applyAlignment="1">
      <alignment vertical="top" wrapText="1"/>
    </xf>
    <xf numFmtId="0" fontId="6" fillId="2" borderId="12" xfId="0" applyFont="1" applyFill="1" applyBorder="1" applyAlignment="1">
      <alignment horizontal="center"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horizontal="left" vertical="top" wrapText="1"/>
    </xf>
    <xf numFmtId="0" fontId="6" fillId="2" borderId="14" xfId="0" applyFont="1" applyFill="1" applyBorder="1" applyAlignment="1">
      <alignment horizontal="center" vertical="top" wrapText="1"/>
    </xf>
    <xf numFmtId="0" fontId="6" fillId="2" borderId="15" xfId="0" applyFont="1" applyFill="1" applyBorder="1" applyAlignment="1">
      <alignment horizontal="center" vertical="top" wrapText="1"/>
    </xf>
    <xf numFmtId="0" fontId="6" fillId="2" borderId="15" xfId="0" applyFont="1" applyFill="1" applyBorder="1" applyAlignment="1">
      <alignment horizontal="left" vertical="top" wrapText="1"/>
    </xf>
    <xf numFmtId="0" fontId="11" fillId="3" borderId="0" xfId="0" applyFont="1" applyFill="1"/>
    <xf numFmtId="0" fontId="9" fillId="3" borderId="0" xfId="0" applyFont="1" applyFill="1"/>
    <xf numFmtId="0" fontId="3" fillId="3" borderId="0" xfId="0" applyFont="1" applyFill="1"/>
    <xf numFmtId="0" fontId="13" fillId="3" borderId="0" xfId="0" applyFont="1" applyFill="1"/>
    <xf numFmtId="0" fontId="9" fillId="4" borderId="0" xfId="0" applyFont="1" applyFill="1"/>
    <xf numFmtId="0" fontId="3" fillId="4" borderId="0" xfId="0" applyFont="1" applyFill="1"/>
    <xf numFmtId="0" fontId="12" fillId="4" borderId="9" xfId="0" applyFont="1" applyFill="1" applyBorder="1"/>
    <xf numFmtId="0" fontId="12" fillId="4" borderId="17" xfId="0" applyFont="1" applyFill="1" applyBorder="1"/>
    <xf numFmtId="0" fontId="12" fillId="4" borderId="3" xfId="0" applyFont="1" applyFill="1" applyBorder="1"/>
    <xf numFmtId="0" fontId="12" fillId="4" borderId="21" xfId="0" applyFont="1" applyFill="1" applyBorder="1"/>
    <xf numFmtId="0" fontId="12" fillId="4" borderId="4" xfId="0" applyFont="1" applyFill="1" applyBorder="1"/>
    <xf numFmtId="0" fontId="12" fillId="4" borderId="9" xfId="0" applyFont="1" applyFill="1" applyBorder="1" applyAlignment="1">
      <alignment horizontal="center"/>
    </xf>
    <xf numFmtId="0" fontId="12" fillId="4" borderId="10" xfId="0" applyFont="1" applyFill="1" applyBorder="1" applyAlignment="1">
      <alignment horizontal="center"/>
    </xf>
    <xf numFmtId="0" fontId="12" fillId="4" borderId="11" xfId="0" applyFont="1" applyFill="1" applyBorder="1" applyAlignment="1">
      <alignment horizontal="center"/>
    </xf>
    <xf numFmtId="0" fontId="3" fillId="4" borderId="0" xfId="0" applyFont="1" applyFill="1"/>
    <xf numFmtId="0" fontId="12" fillId="4" borderId="10" xfId="0" applyFont="1" applyFill="1" applyBorder="1"/>
    <xf numFmtId="0" fontId="12" fillId="4" borderId="10" xfId="0" applyFont="1" applyFill="1" applyBorder="1" applyAlignment="1">
      <alignment horizontal="center"/>
    </xf>
    <xf numFmtId="0" fontId="6" fillId="5" borderId="12" xfId="0" applyFont="1" applyFill="1" applyBorder="1" applyAlignment="1">
      <alignment horizontal="left"/>
    </xf>
    <xf numFmtId="0" fontId="6" fillId="5" borderId="1" xfId="0" applyFont="1" applyFill="1" applyBorder="1" applyAlignment="1">
      <alignment horizontal="center"/>
    </xf>
    <xf numFmtId="0" fontId="6" fillId="5" borderId="13" xfId="0" applyFont="1" applyFill="1" applyBorder="1" applyAlignment="1">
      <alignment horizontal="center"/>
    </xf>
    <xf numFmtId="0" fontId="6" fillId="5" borderId="14" xfId="0" applyFont="1" applyFill="1" applyBorder="1" applyAlignment="1">
      <alignment horizontal="left"/>
    </xf>
    <xf numFmtId="0" fontId="6" fillId="5" borderId="15" xfId="0" applyFont="1" applyFill="1" applyBorder="1" applyAlignment="1">
      <alignment horizontal="center"/>
    </xf>
    <xf numFmtId="0" fontId="6" fillId="5" borderId="16" xfId="0" applyFont="1" applyFill="1" applyBorder="1" applyAlignment="1">
      <alignment horizontal="center"/>
    </xf>
    <xf numFmtId="0" fontId="6" fillId="5" borderId="12" xfId="0" applyFont="1" applyFill="1" applyBorder="1" applyAlignment="1">
      <alignment horizontal="left" vertical="top" wrapText="1"/>
    </xf>
    <xf numFmtId="0" fontId="6" fillId="5" borderId="1" xfId="0" applyFont="1" applyFill="1" applyBorder="1" applyAlignment="1">
      <alignment vertical="top" wrapText="1"/>
    </xf>
    <xf numFmtId="0" fontId="6" fillId="5" borderId="1" xfId="0" applyFont="1" applyFill="1" applyBorder="1" applyAlignment="1">
      <alignment vertical="top" wrapText="1"/>
    </xf>
    <xf numFmtId="0" fontId="6" fillId="5" borderId="13" xfId="0" applyFont="1" applyFill="1" applyBorder="1" applyAlignment="1">
      <alignment vertical="top" wrapText="1"/>
    </xf>
    <xf numFmtId="0" fontId="6" fillId="5" borderId="14" xfId="0" applyFont="1" applyFill="1" applyBorder="1" applyAlignment="1">
      <alignment horizontal="left" vertical="top" wrapText="1"/>
    </xf>
    <xf numFmtId="0" fontId="6" fillId="5" borderId="15" xfId="0" applyFont="1" applyFill="1" applyBorder="1" applyAlignment="1">
      <alignment vertical="top" wrapText="1"/>
    </xf>
    <xf numFmtId="0" fontId="6" fillId="5" borderId="15" xfId="0" applyFont="1" applyFill="1" applyBorder="1" applyAlignment="1">
      <alignment vertical="top" wrapText="1"/>
    </xf>
    <xf numFmtId="0" fontId="6" fillId="5" borderId="16" xfId="0" applyFont="1" applyFill="1" applyBorder="1" applyAlignment="1">
      <alignment vertical="top" wrapText="1"/>
    </xf>
    <xf numFmtId="0" fontId="6" fillId="5" borderId="2" xfId="0" applyFont="1" applyFill="1" applyBorder="1" applyAlignment="1">
      <alignment vertical="top" wrapText="1"/>
    </xf>
    <xf numFmtId="0" fontId="6" fillId="5" borderId="5" xfId="0" applyFont="1" applyFill="1" applyBorder="1" applyAlignment="1">
      <alignment vertical="top" wrapText="1"/>
    </xf>
    <xf numFmtId="0" fontId="6" fillId="5" borderId="18" xfId="0" applyFont="1" applyFill="1" applyBorder="1" applyAlignment="1">
      <alignment vertical="top" wrapText="1"/>
    </xf>
    <xf numFmtId="0" fontId="6" fillId="5" borderId="6" xfId="0" applyFont="1" applyFill="1" applyBorder="1" applyAlignment="1">
      <alignment vertical="top" wrapText="1"/>
    </xf>
    <xf numFmtId="0" fontId="6" fillId="5" borderId="19" xfId="0" applyFont="1" applyFill="1" applyBorder="1" applyAlignment="1">
      <alignment vertical="top" wrapText="1"/>
    </xf>
    <xf numFmtId="0" fontId="6" fillId="5" borderId="7" xfId="0" applyFont="1" applyFill="1" applyBorder="1" applyAlignment="1">
      <alignment vertical="top" wrapText="1"/>
    </xf>
    <xf numFmtId="0" fontId="6" fillId="5" borderId="20" xfId="0" applyFont="1" applyFill="1" applyBorder="1" applyAlignment="1">
      <alignment vertical="top" wrapText="1"/>
    </xf>
    <xf numFmtId="0" fontId="6" fillId="5" borderId="8" xfId="0" applyFont="1" applyFill="1" applyBorder="1" applyAlignment="1">
      <alignment vertical="top" wrapText="1"/>
    </xf>
    <xf numFmtId="0" fontId="12" fillId="2" borderId="13" xfId="0" applyFont="1" applyFill="1" applyBorder="1" applyAlignment="1">
      <alignment horizontal="center" vertical="top" wrapText="1"/>
    </xf>
    <xf numFmtId="0" fontId="6" fillId="5" borderId="12" xfId="0" applyFont="1" applyFill="1" applyBorder="1" applyAlignment="1">
      <alignment horizontal="center"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12" fillId="5" borderId="13" xfId="0" applyFont="1" applyFill="1" applyBorder="1" applyAlignment="1">
      <alignment horizontal="center" vertical="top" wrapText="1"/>
    </xf>
    <xf numFmtId="0" fontId="12" fillId="2" borderId="16" xfId="0" applyFont="1" applyFill="1" applyBorder="1" applyAlignment="1">
      <alignment horizontal="center" vertical="top" wrapText="1"/>
    </xf>
    <xf numFmtId="166" fontId="12" fillId="0" borderId="0" xfId="0" applyNumberFormat="1" applyFont="1" applyAlignment="1">
      <alignment horizontal="center" vertical="center"/>
    </xf>
    <xf numFmtId="164" fontId="12" fillId="0" borderId="0" xfId="0" applyNumberFormat="1" applyFont="1" applyAlignment="1">
      <alignment horizontal="center" vertical="center"/>
    </xf>
    <xf numFmtId="0" fontId="12" fillId="0" borderId="0" xfId="0" applyFont="1" applyAlignment="1">
      <alignment horizontal="center" vertical="center"/>
    </xf>
    <xf numFmtId="167" fontId="12" fillId="0" borderId="0" xfId="0" applyNumberFormat="1" applyFont="1" applyAlignment="1">
      <alignment horizontal="left"/>
    </xf>
    <xf numFmtId="167" fontId="12" fillId="0" borderId="0" xfId="0" applyNumberFormat="1" applyFont="1" applyAlignment="1">
      <alignment horizontal="left" vertical="center"/>
    </xf>
    <xf numFmtId="166" fontId="12" fillId="0" borderId="0" xfId="0" applyNumberFormat="1" applyFont="1" applyAlignment="1">
      <alignment horizontal="left" vertical="center"/>
    </xf>
    <xf numFmtId="0" fontId="12" fillId="0" borderId="0" xfId="0" applyFont="1" applyAlignment="1">
      <alignment horizontal="left" vertical="center" indent="1"/>
    </xf>
    <xf numFmtId="0" fontId="12" fillId="0" borderId="0" xfId="0" applyFont="1" applyAlignment="1">
      <alignment horizontal="center" vertical="center" indent="1"/>
    </xf>
    <xf numFmtId="0" fontId="12" fillId="0" borderId="0" xfId="0" applyFont="1" applyAlignment="1">
      <alignment horizontal="center" vertical="center" wrapText="1" indent="1"/>
    </xf>
    <xf numFmtId="166" fontId="14" fillId="0" borderId="0" xfId="0" applyNumberFormat="1" applyFont="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7" fontId="10" fillId="0" borderId="0" xfId="0" applyNumberFormat="1" applyFont="1" applyAlignment="1">
      <alignment horizontal="left" vertical="center" indent="1"/>
    </xf>
    <xf numFmtId="0" fontId="10" fillId="0" borderId="0" xfId="0" applyFont="1" applyAlignment="1">
      <alignment horizontal="left" vertical="center" indent="1"/>
    </xf>
    <xf numFmtId="167" fontId="14" fillId="0" borderId="0" xfId="0" applyNumberFormat="1" applyFont="1" applyAlignment="1">
      <alignment horizontal="left"/>
    </xf>
    <xf numFmtId="0" fontId="14" fillId="0" borderId="0" xfId="0" applyFont="1" applyAlignment="1">
      <alignment horizontal="center" vertical="center" indent="1"/>
    </xf>
    <xf numFmtId="0" fontId="14" fillId="0" borderId="0" xfId="0" applyFont="1" applyAlignment="1">
      <alignment horizontal="center" vertical="center" wrapText="1" indent="1"/>
    </xf>
    <xf numFmtId="167" fontId="14" fillId="0" borderId="0" xfId="0" applyNumberFormat="1" applyFont="1" applyAlignment="1">
      <alignment horizontal="left" vertical="center"/>
    </xf>
    <xf numFmtId="0" fontId="14" fillId="0" borderId="0" xfId="0" applyFont="1" applyAlignment="1">
      <alignment horizontal="center" vertical="center" indent="1"/>
    </xf>
    <xf numFmtId="0" fontId="14" fillId="0" borderId="0" xfId="0" applyFont="1" applyAlignment="1">
      <alignment horizontal="center"/>
    </xf>
    <xf numFmtId="0" fontId="14" fillId="0" borderId="0" xfId="0" applyFont="1" applyAlignment="1">
      <alignment horizontal="center" vertical="center" wrapText="1" indent="1"/>
    </xf>
    <xf numFmtId="167" fontId="10" fillId="0" borderId="0" xfId="0" applyNumberFormat="1" applyFont="1" applyAlignment="1">
      <alignment horizontal="left"/>
    </xf>
    <xf numFmtId="167" fontId="10" fillId="0" borderId="0" xfId="0" applyNumberFormat="1" applyFont="1" applyAlignment="1">
      <alignment horizontal="left" vertical="center"/>
    </xf>
    <xf numFmtId="0" fontId="12" fillId="0" borderId="0" xfId="0" applyFont="1" applyAlignment="1">
      <alignment horizontal="center" vertical="center" wrapText="1"/>
    </xf>
    <xf numFmtId="167" fontId="12" fillId="0" borderId="0" xfId="0" applyNumberFormat="1" applyFont="1" applyAlignment="1">
      <alignment horizontal="left" vertical="center" wrapText="1"/>
    </xf>
    <xf numFmtId="0" fontId="12" fillId="0" borderId="0" xfId="0" applyFont="1" applyAlignment="1">
      <alignment horizontal="left" vertical="center" wrapText="1"/>
    </xf>
    <xf numFmtId="0" fontId="15" fillId="0" borderId="0" xfId="0" applyFont="1"/>
    <xf numFmtId="0" fontId="16" fillId="0" borderId="0" xfId="0" applyFont="1"/>
    <xf numFmtId="167" fontId="1" fillId="0" borderId="0" xfId="0" applyNumberFormat="1" applyFont="1" applyAlignment="1">
      <alignment horizontal="left" vertical="center" indent="1"/>
    </xf>
    <xf numFmtId="167" fontId="1" fillId="0" borderId="0" xfId="0" applyNumberFormat="1" applyFont="1" applyAlignment="1">
      <alignment horizontal="left" vertical="center"/>
    </xf>
    <xf numFmtId="0" fontId="17" fillId="0" borderId="0" xfId="0" applyFont="1"/>
    <xf numFmtId="0" fontId="1" fillId="0" borderId="0" xfId="0" applyFont="1" applyAlignment="1">
      <alignment horizontal="center" vertical="center" indent="1"/>
    </xf>
    <xf numFmtId="0" fontId="1" fillId="0" borderId="0" xfId="0" applyFont="1" applyAlignment="1">
      <alignment horizontal="center"/>
    </xf>
    <xf numFmtId="0" fontId="12" fillId="4" borderId="1" xfId="0" applyFont="1" applyFill="1" applyBorder="1"/>
    <xf numFmtId="0" fontId="6" fillId="2"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8" fillId="4" borderId="1" xfId="0" applyFont="1" applyFill="1" applyBorder="1" applyAlignment="1">
      <alignment horizontal="left"/>
    </xf>
    <xf numFmtId="0" fontId="0" fillId="0" borderId="1" xfId="0" applyBorder="1"/>
    <xf numFmtId="0" fontId="2" fillId="2" borderId="1" xfId="0" applyFont="1" applyFill="1" applyBorder="1" applyAlignment="1">
      <alignment horizontal="left" vertical="top" wrapText="1"/>
    </xf>
    <xf numFmtId="0" fontId="0" fillId="2" borderId="1" xfId="0" applyFill="1" applyBorder="1"/>
    <xf numFmtId="0" fontId="2" fillId="5" borderId="1" xfId="0" applyFont="1" applyFill="1" applyBorder="1" applyAlignment="1">
      <alignment horizontal="left" vertical="top" wrapText="1"/>
    </xf>
    <xf numFmtId="0" fontId="0" fillId="5" borderId="1"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1F4E79"/>
      <rgbColor rgb="FFD6E4F0"/>
      <rgbColor rgb="FF000080"/>
      <rgbColor rgb="FFFF00FF"/>
      <rgbColor rgb="FFFFFF00"/>
      <rgbColor rgb="FF00FFFF"/>
      <rgbColor rgb="FF800080"/>
      <rgbColor rgb="FF800000"/>
      <rgbColor rgb="FF008080"/>
      <rgbColor rgb="FF0000FF"/>
      <rgbColor rgb="FF00CCFF"/>
      <rgbColor rgb="FFEDEDED"/>
      <rgbColor rgb="FFE2EFDA"/>
      <rgbColor rgb="FFF7F7F7"/>
      <rgbColor rgb="FF9DC3E6"/>
      <rgbColor rgb="FFF7F9FF"/>
      <rgbColor rgb="FFCC99FF"/>
      <rgbColor rgb="FFFCE4D6"/>
      <rgbColor rgb="FF2E75B6"/>
      <rgbColor rgb="FF33CCCC"/>
      <rgbColor rgb="FF99CC00"/>
      <rgbColor rgb="FFFFCC00"/>
      <rgbColor rgb="FFBF8F00"/>
      <rgbColor rgb="FFFF6600"/>
      <rgbColor rgb="FF595959"/>
      <rgbColor rgb="FF969696"/>
      <rgbColor rgb="FF1F3864"/>
      <rgbColor rgb="FF339966"/>
      <rgbColor rgb="FF003300"/>
      <rgbColor rgb="FF375623"/>
      <rgbColor rgb="FF843C0C"/>
      <rgbColor rgb="FF993366"/>
      <rgbColor rgb="FF2F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3421D43-518A-47D0-B716-509335E8E98E}">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22E7-CAFB-431F-829A-41AAADBACC17}">
  <dimension ref="A1:N55"/>
  <sheetViews>
    <sheetView workbookViewId="0">
      <pane ySplit="1" topLeftCell="A2" activePane="bottomLeft" state="frozen"/>
      <selection pane="bottomLeft" activeCell="C54" sqref="C54"/>
    </sheetView>
  </sheetViews>
  <sheetFormatPr defaultRowHeight="14.4" x14ac:dyDescent="0.55000000000000004"/>
  <sheetData>
    <row r="1" spans="1:14" x14ac:dyDescent="0.55000000000000004">
      <c r="A1" s="37"/>
      <c r="B1" s="37"/>
      <c r="C1" s="37"/>
      <c r="D1" s="37"/>
      <c r="E1" s="37"/>
      <c r="F1" s="37"/>
      <c r="G1" s="37"/>
      <c r="H1" s="37"/>
      <c r="I1" s="37"/>
      <c r="J1" s="37"/>
      <c r="K1" s="37"/>
      <c r="L1" s="37"/>
      <c r="M1" s="37"/>
      <c r="N1" s="37"/>
    </row>
    <row r="2" spans="1:14" ht="25.2" x14ac:dyDescent="0.85">
      <c r="A2" s="1"/>
      <c r="B2" s="12" t="s">
        <v>79</v>
      </c>
      <c r="C2" s="13"/>
      <c r="D2" s="13"/>
      <c r="E2" s="13"/>
      <c r="F2" s="13"/>
      <c r="G2" s="13"/>
      <c r="H2" s="13"/>
      <c r="I2" s="13"/>
      <c r="J2" s="13"/>
      <c r="K2" s="13"/>
      <c r="L2" s="13"/>
      <c r="M2" s="13"/>
      <c r="N2" s="13"/>
    </row>
    <row r="3" spans="1:14" ht="16.2" x14ac:dyDescent="0.55000000000000004">
      <c r="A3" s="1"/>
      <c r="B3" s="14" t="s">
        <v>80</v>
      </c>
      <c r="C3" s="13"/>
      <c r="D3" s="13"/>
      <c r="E3" s="13"/>
      <c r="F3" s="13"/>
      <c r="G3" s="13"/>
      <c r="H3" s="13"/>
      <c r="I3" s="13"/>
      <c r="J3" s="13"/>
      <c r="K3" s="13"/>
      <c r="L3" s="13"/>
      <c r="M3" s="13"/>
      <c r="N3" s="13"/>
    </row>
    <row r="4" spans="1:14" x14ac:dyDescent="0.55000000000000004">
      <c r="A4" s="1"/>
      <c r="B4" s="1"/>
      <c r="C4" s="1"/>
      <c r="D4" s="1"/>
      <c r="E4" s="1"/>
      <c r="F4" s="1"/>
      <c r="G4" s="1"/>
      <c r="H4" s="1"/>
      <c r="I4" s="1"/>
      <c r="J4" s="1"/>
      <c r="K4" s="1"/>
      <c r="L4" s="1"/>
      <c r="M4" s="1"/>
      <c r="N4" s="1"/>
    </row>
    <row r="5" spans="1:14" x14ac:dyDescent="0.55000000000000004">
      <c r="A5" s="1"/>
      <c r="B5" s="1"/>
      <c r="C5" s="1"/>
      <c r="D5" s="1"/>
      <c r="E5" s="1"/>
      <c r="F5" s="1"/>
      <c r="G5" s="1"/>
      <c r="H5" s="1"/>
      <c r="I5" s="1"/>
      <c r="J5" s="1"/>
      <c r="K5" s="1"/>
      <c r="L5" s="1"/>
      <c r="M5" s="1"/>
      <c r="N5" s="1"/>
    </row>
    <row r="6" spans="1:14" x14ac:dyDescent="0.55000000000000004">
      <c r="A6" s="1"/>
      <c r="B6" s="15" t="s">
        <v>0</v>
      </c>
      <c r="C6" s="1"/>
      <c r="D6" s="1"/>
      <c r="E6" s="16" t="s">
        <v>1</v>
      </c>
      <c r="F6" s="13"/>
      <c r="G6" s="13"/>
      <c r="H6" s="13"/>
      <c r="I6" s="13"/>
      <c r="J6" s="13"/>
      <c r="K6" s="13"/>
      <c r="L6" s="13"/>
      <c r="M6" s="13"/>
      <c r="N6" s="13"/>
    </row>
    <row r="7" spans="1:14" x14ac:dyDescent="0.55000000000000004">
      <c r="A7" s="1"/>
      <c r="B7" s="15" t="s">
        <v>2</v>
      </c>
      <c r="C7" s="1"/>
      <c r="D7" s="1"/>
      <c r="E7" s="16" t="s">
        <v>3</v>
      </c>
      <c r="F7" s="13"/>
      <c r="G7" s="13"/>
      <c r="H7" s="13"/>
      <c r="I7" s="13"/>
      <c r="J7" s="13"/>
      <c r="K7" s="13"/>
      <c r="L7" s="13"/>
      <c r="M7" s="13"/>
      <c r="N7" s="13"/>
    </row>
    <row r="8" spans="1:14" x14ac:dyDescent="0.55000000000000004">
      <c r="A8" s="1"/>
      <c r="B8" s="15" t="s">
        <v>4</v>
      </c>
      <c r="C8" s="1"/>
      <c r="D8" s="1"/>
      <c r="E8" s="16" t="s">
        <v>5</v>
      </c>
      <c r="F8" s="13"/>
      <c r="G8" s="13"/>
      <c r="H8" s="13"/>
      <c r="I8" s="13"/>
      <c r="J8" s="13"/>
      <c r="K8" s="13"/>
      <c r="L8" s="13"/>
      <c r="M8" s="13"/>
      <c r="N8" s="13"/>
    </row>
    <row r="9" spans="1:14" x14ac:dyDescent="0.55000000000000004">
      <c r="A9" s="1"/>
      <c r="B9" s="15" t="s">
        <v>6</v>
      </c>
      <c r="C9" s="1"/>
      <c r="D9" s="1"/>
      <c r="E9" s="16" t="s">
        <v>7</v>
      </c>
      <c r="F9" s="13"/>
      <c r="G9" s="13"/>
      <c r="H9" s="13"/>
      <c r="I9" s="13"/>
      <c r="J9" s="13"/>
      <c r="K9" s="13"/>
      <c r="L9" s="13"/>
      <c r="M9" s="13"/>
      <c r="N9" s="13"/>
    </row>
    <row r="10" spans="1:14" x14ac:dyDescent="0.55000000000000004">
      <c r="A10" s="1"/>
      <c r="B10" s="15" t="s">
        <v>8</v>
      </c>
      <c r="C10" s="1"/>
      <c r="D10" s="1"/>
      <c r="E10" s="16" t="s">
        <v>94</v>
      </c>
      <c r="F10" s="13"/>
      <c r="G10" s="13"/>
      <c r="H10" s="13"/>
      <c r="I10" s="13"/>
      <c r="J10" s="13"/>
      <c r="K10" s="13"/>
      <c r="L10" s="13"/>
      <c r="M10" s="13"/>
      <c r="N10" s="13"/>
    </row>
    <row r="11" spans="1:14" x14ac:dyDescent="0.55000000000000004">
      <c r="A11" s="1"/>
      <c r="B11" s="1"/>
      <c r="C11" s="1"/>
      <c r="D11" s="1"/>
      <c r="E11" s="1"/>
      <c r="F11" s="1"/>
      <c r="G11" s="1"/>
      <c r="H11" s="1"/>
      <c r="I11" s="1"/>
      <c r="J11" s="1"/>
      <c r="K11" s="1"/>
      <c r="L11" s="1"/>
      <c r="M11" s="1"/>
      <c r="N11" s="1"/>
    </row>
    <row r="12" spans="1:14" x14ac:dyDescent="0.55000000000000004">
      <c r="A12" s="1"/>
      <c r="B12" s="35" t="s">
        <v>78</v>
      </c>
      <c r="C12" s="36"/>
      <c r="D12" s="36"/>
      <c r="E12" s="36"/>
      <c r="F12" s="36"/>
      <c r="G12" s="36"/>
      <c r="H12" s="36"/>
      <c r="I12" s="36"/>
      <c r="J12" s="36"/>
      <c r="K12" s="36"/>
      <c r="L12" s="36"/>
      <c r="M12" s="36"/>
      <c r="N12" s="36"/>
    </row>
    <row r="13" spans="1:14" x14ac:dyDescent="0.55000000000000004">
      <c r="A13" s="1"/>
      <c r="B13" s="46" t="s">
        <v>9</v>
      </c>
      <c r="C13" s="47" t="s">
        <v>10</v>
      </c>
      <c r="D13" s="47" t="s">
        <v>11</v>
      </c>
      <c r="E13" s="47" t="s">
        <v>12</v>
      </c>
      <c r="F13" s="47" t="s">
        <v>13</v>
      </c>
      <c r="G13" s="47" t="s">
        <v>14</v>
      </c>
      <c r="H13" s="47" t="s">
        <v>15</v>
      </c>
      <c r="I13" s="47" t="s">
        <v>16</v>
      </c>
      <c r="J13" s="47" t="s">
        <v>17</v>
      </c>
      <c r="K13" s="48" t="s">
        <v>18</v>
      </c>
      <c r="L13" s="49"/>
      <c r="M13" s="49"/>
      <c r="N13" s="49"/>
    </row>
    <row r="14" spans="1:14" x14ac:dyDescent="0.55000000000000004">
      <c r="A14" s="1"/>
      <c r="B14" s="52" t="s">
        <v>19</v>
      </c>
      <c r="C14" s="53">
        <v>2020</v>
      </c>
      <c r="D14" s="53">
        <f>COUNTA('RF1 CreditSpread'!C9:C263)</f>
        <v>249</v>
      </c>
      <c r="E14" s="53">
        <f>COUNTIF('RF1 CreditSpread'!K9:K263,"MISSING")</f>
        <v>5</v>
      </c>
      <c r="F14" s="53">
        <f>COUNTIF('RF1 CreditSpread'!L9:L263,"STALE")</f>
        <v>18</v>
      </c>
      <c r="G14" s="53">
        <f>COUNTIF('RF1 CreditSpread'!H9:H263,"OUTLIER")</f>
        <v>14</v>
      </c>
      <c r="H14" s="53">
        <f>COUNTIF('RF1 CreditSpread'!I9:I263,"OUTLIER")</f>
        <v>62</v>
      </c>
      <c r="I14" s="53">
        <f>ROUND(MAX('RF1 CreditSpread'!E9:E263),2)</f>
        <v>7.99</v>
      </c>
      <c r="J14" s="53">
        <f>ROUND(MAX('RF1 CreditSpread'!F9:F263),2)</f>
        <v>28.67</v>
      </c>
      <c r="K14" s="54">
        <f>ROUND(MAX('RF1 CreditSpread'!G9:G263),2)</f>
        <v>2.54</v>
      </c>
      <c r="L14" s="1"/>
      <c r="M14" s="1"/>
      <c r="N14" s="1"/>
    </row>
    <row r="15" spans="1:14" x14ac:dyDescent="0.55000000000000004">
      <c r="A15" s="1"/>
      <c r="B15" s="17" t="s">
        <v>19</v>
      </c>
      <c r="C15" s="18">
        <v>2021</v>
      </c>
      <c r="D15" s="18">
        <f>COUNTA('RF1 CreditSpread'!C266:C521)</f>
        <v>249</v>
      </c>
      <c r="E15" s="18">
        <f>COUNTIF('RF1 CreditSpread'!K266:K521,"MISSING")</f>
        <v>4</v>
      </c>
      <c r="F15" s="18">
        <f>COUNTIF('RF1 CreditSpread'!L266:L521,"STALE")</f>
        <v>31</v>
      </c>
      <c r="G15" s="18">
        <f>COUNTIF('RF1 CreditSpread'!H266:H521,"OUTLIER")</f>
        <v>0</v>
      </c>
      <c r="H15" s="18">
        <f>COUNTIF('RF1 CreditSpread'!I266:I521,"OUTLIER")</f>
        <v>1</v>
      </c>
      <c r="I15" s="18">
        <f>ROUND(MAX('RF1 CreditSpread'!E266:E521),2)</f>
        <v>1.1100000000000001</v>
      </c>
      <c r="J15" s="18">
        <f>ROUND(MAX('RF1 CreditSpread'!F266:F521),2)</f>
        <v>4.05</v>
      </c>
      <c r="K15" s="19">
        <f>ROUND(MAX('RF1 CreditSpread'!G266:G521),2)</f>
        <v>2.5</v>
      </c>
      <c r="L15" s="1"/>
      <c r="M15" s="1"/>
      <c r="N15" s="1"/>
    </row>
    <row r="16" spans="1:14" x14ac:dyDescent="0.55000000000000004">
      <c r="A16" s="1"/>
      <c r="B16" s="52" t="s">
        <v>19</v>
      </c>
      <c r="C16" s="53">
        <v>2025</v>
      </c>
      <c r="D16" s="53">
        <f>COUNTA('RF1 CreditSpread'!C524:C786)</f>
        <v>243</v>
      </c>
      <c r="E16" s="53">
        <f>COUNTIF('RF1 CreditSpread'!K524:K786,"MISSING")</f>
        <v>17</v>
      </c>
      <c r="F16" s="53">
        <f>COUNTIF('RF1 CreditSpread'!L524:L786,"STALE")</f>
        <v>48</v>
      </c>
      <c r="G16" s="53">
        <f>COUNTIF('RF1 CreditSpread'!H524:H786,"OUTLIER")</f>
        <v>2</v>
      </c>
      <c r="H16" s="53">
        <f>COUNTIF('RF1 CreditSpread'!I524:I786,"OUTLIER")</f>
        <v>15</v>
      </c>
      <c r="I16" s="53">
        <f>ROUND(MAX('RF1 CreditSpread'!E524:E786),2)</f>
        <v>10.72</v>
      </c>
      <c r="J16" s="53">
        <f>ROUND(MAX('RF1 CreditSpread'!F524:F786),2)</f>
        <v>38.450000000000003</v>
      </c>
      <c r="K16" s="54">
        <f>ROUND(MAX('RF1 CreditSpread'!G524:G786),2)</f>
        <v>3.05</v>
      </c>
      <c r="L16" s="1"/>
      <c r="M16" s="1"/>
      <c r="N16" s="1"/>
    </row>
    <row r="17" spans="1:14" x14ac:dyDescent="0.55000000000000004">
      <c r="A17" s="1"/>
      <c r="B17" s="17" t="s">
        <v>20</v>
      </c>
      <c r="C17" s="18">
        <v>2020</v>
      </c>
      <c r="D17" s="18">
        <f>COUNTA('RF2 SP500'!C9:C267)</f>
        <v>254</v>
      </c>
      <c r="E17" s="18">
        <f>COUNTIF('RF2 SP500'!K9:K267,"MISSING")</f>
        <v>4</v>
      </c>
      <c r="F17" s="18">
        <f>COUNTIF('RF2 SP500'!L9:L267,"STALE")</f>
        <v>0</v>
      </c>
      <c r="G17" s="18">
        <f>COUNTIF('RF2 SP500'!H9:H267,"OUTLIER")</f>
        <v>11</v>
      </c>
      <c r="H17" s="18">
        <f>COUNTIF('RF2 SP500'!I9:I267,"OUTLIER")</f>
        <v>31</v>
      </c>
      <c r="I17" s="18">
        <f>ROUND(MAX('RF2 SP500'!E9:E267),2)</f>
        <v>7.69</v>
      </c>
      <c r="J17" s="18">
        <f>ROUND(MAX('RF2 SP500'!F9:F267),2)</f>
        <v>13.43</v>
      </c>
      <c r="K17" s="19">
        <f>ROUND(MAX('RF2 SP500'!G9:G267),2)</f>
        <v>2.71</v>
      </c>
      <c r="L17" s="1"/>
      <c r="M17" s="1"/>
      <c r="N17" s="1"/>
    </row>
    <row r="18" spans="1:14" x14ac:dyDescent="0.55000000000000004">
      <c r="A18" s="1"/>
      <c r="B18" s="52" t="s">
        <v>20</v>
      </c>
      <c r="C18" s="53">
        <v>2021</v>
      </c>
      <c r="D18" s="53">
        <f>COUNTA('RF2 SP500'!C270:C526)</f>
        <v>251</v>
      </c>
      <c r="E18" s="53">
        <f>COUNTIF('RF2 SP500'!K270:K526,"MISSING")</f>
        <v>3</v>
      </c>
      <c r="F18" s="53">
        <f>COUNTIF('RF2 SP500'!L270:L526,"STALE")</f>
        <v>0</v>
      </c>
      <c r="G18" s="53">
        <f>COUNTIF('RF2 SP500'!H270:H526,"OUTLIER")</f>
        <v>0</v>
      </c>
      <c r="H18" s="53">
        <f>COUNTIF('RF2 SP500'!I270:I526,"OUTLIER")</f>
        <v>3</v>
      </c>
      <c r="I18" s="53">
        <f>ROUND(MAX('RF2 SP500'!E270:E526),2)</f>
        <v>2.16</v>
      </c>
      <c r="J18" s="53">
        <f>ROUND(MAX('RF2 SP500'!F270:F526),2)</f>
        <v>3.72</v>
      </c>
      <c r="K18" s="54">
        <f>ROUND(MAX('RF2 SP500'!G270:G526),2)</f>
        <v>2.84</v>
      </c>
      <c r="L18" s="1"/>
      <c r="M18" s="1"/>
      <c r="N18" s="1"/>
    </row>
    <row r="19" spans="1:14" x14ac:dyDescent="0.55000000000000004">
      <c r="A19" s="1"/>
      <c r="B19" s="17" t="s">
        <v>20</v>
      </c>
      <c r="C19" s="18">
        <v>2025</v>
      </c>
      <c r="D19" s="18">
        <f>COUNTA('RF2 SP500'!C529:C787)</f>
        <v>243</v>
      </c>
      <c r="E19" s="18">
        <f>COUNTIF('RF2 SP500'!K529:K787,"MISSING")</f>
        <v>13</v>
      </c>
      <c r="F19" s="18">
        <f>COUNTIF('RF2 SP500'!L529:L787,"STALE")</f>
        <v>0</v>
      </c>
      <c r="G19" s="18">
        <f>COUNTIF('RF2 SP500'!H529:H787,"OUTLIER")</f>
        <v>5</v>
      </c>
      <c r="H19" s="18">
        <f>COUNTIF('RF2 SP500'!I529:I787,"OUTLIER")</f>
        <v>12</v>
      </c>
      <c r="I19" s="18">
        <f>ROUND(MAX('RF2 SP500'!E529:E787),2)</f>
        <v>5.98</v>
      </c>
      <c r="J19" s="18">
        <f>ROUND(MAX('RF2 SP500'!F529:F787),2)</f>
        <v>10.6</v>
      </c>
      <c r="K19" s="19">
        <f>ROUND(MAX('RF2 SP500'!G529:G787),2)</f>
        <v>2.85</v>
      </c>
      <c r="L19" s="1"/>
      <c r="M19" s="1"/>
      <c r="N19" s="1"/>
    </row>
    <row r="20" spans="1:14" x14ac:dyDescent="0.55000000000000004">
      <c r="A20" s="1"/>
      <c r="B20" s="52" t="s">
        <v>21</v>
      </c>
      <c r="C20" s="53">
        <v>2020</v>
      </c>
      <c r="D20" s="53">
        <f>COUNTA('RF3 EURUSD'!C10:C264)</f>
        <v>248</v>
      </c>
      <c r="E20" s="53">
        <f>COUNTIF('RF3 EURUSD'!K10:K264,"MISSING")</f>
        <v>7</v>
      </c>
      <c r="F20" s="53">
        <f>COUNTIF('RF3 EURUSD'!L10:L264,"STALE")</f>
        <v>5</v>
      </c>
      <c r="G20" s="53">
        <f>COUNTIF('RF3 EURUSD'!H10:H264,"OUTLIER")</f>
        <v>3</v>
      </c>
      <c r="H20" s="53">
        <f>COUNTIF('RF3 EURUSD'!I10:I264,"OUTLIER")</f>
        <v>20</v>
      </c>
      <c r="I20" s="53">
        <f>ROUND(MAX('RF3 EURUSD'!E10:E264),2)</f>
        <v>4.71</v>
      </c>
      <c r="J20" s="53">
        <f>ROUND(MAX('RF3 EURUSD'!F10:F264),2)</f>
        <v>7.91</v>
      </c>
      <c r="K20" s="54">
        <f>ROUND(MAX('RF3 EURUSD'!G10:G264),2)</f>
        <v>2.35</v>
      </c>
      <c r="L20" s="1"/>
      <c r="M20" s="1"/>
      <c r="N20" s="1"/>
    </row>
    <row r="21" spans="1:14" x14ac:dyDescent="0.55000000000000004">
      <c r="A21" s="1"/>
      <c r="B21" s="17" t="s">
        <v>21</v>
      </c>
      <c r="C21" s="18">
        <v>2021</v>
      </c>
      <c r="D21" s="18">
        <f>COUNTA('RF3 EURUSD'!C269:C522)</f>
        <v>248</v>
      </c>
      <c r="E21" s="18">
        <f>COUNTIF('RF3 EURUSD'!K268:K522,"MISSING")</f>
        <v>4</v>
      </c>
      <c r="F21" s="18">
        <f>COUNTIF('RF3 EURUSD'!L269:L522,"STALE")</f>
        <v>4</v>
      </c>
      <c r="G21" s="18">
        <f>COUNTIF('RF3 EURUSD'!H269:H522,"OUTLIER")</f>
        <v>0</v>
      </c>
      <c r="H21" s="18">
        <f>COUNTIF('RF3 EURUSD'!I269:I522,"OUTLIER")</f>
        <v>2</v>
      </c>
      <c r="I21" s="18">
        <f>ROUND(MAX('RF3 EURUSD'!E269:E522),2)</f>
        <v>2.15</v>
      </c>
      <c r="J21" s="18">
        <f>ROUND(MAX('RF3 EURUSD'!F269:F522),2)</f>
        <v>3.57</v>
      </c>
      <c r="K21" s="19">
        <f>ROUND(MAX('RF3 EURUSD'!G269:G522),2)</f>
        <v>2.5499999999999998</v>
      </c>
      <c r="L21" s="1"/>
      <c r="M21" s="1"/>
      <c r="N21" s="1"/>
    </row>
    <row r="22" spans="1:14" x14ac:dyDescent="0.55000000000000004">
      <c r="A22" s="1"/>
      <c r="B22" s="55" t="s">
        <v>21</v>
      </c>
      <c r="C22" s="56">
        <v>2025</v>
      </c>
      <c r="D22" s="56">
        <f>COUNTA('RF3 EURUSD'!C528:C785)</f>
        <v>244</v>
      </c>
      <c r="E22" s="56">
        <f>COUNTIF('RF3 EURUSD'!K527:K785,"MISSING")</f>
        <v>12</v>
      </c>
      <c r="F22" s="56">
        <f>COUNTIF('RF3 EURUSD'!L528:L785,"STALE")</f>
        <v>25</v>
      </c>
      <c r="G22" s="56">
        <f>COUNTIF('RF3 EURUSD'!H528:H785,"OUTLIER")</f>
        <v>4</v>
      </c>
      <c r="H22" s="56">
        <f>COUNTIF('RF3 EURUSD'!I528:I785,"OUTLIER")</f>
        <v>12</v>
      </c>
      <c r="I22" s="56">
        <f>ROUND(MAX('RF3 EURUSD'!E528:E785),2)</f>
        <v>12.76</v>
      </c>
      <c r="J22" s="56">
        <f>ROUND(MAX('RF3 EURUSD'!F528:F785),2)</f>
        <v>21.48</v>
      </c>
      <c r="K22" s="57">
        <f>ROUND(MAX('RF3 EURUSD'!G528:G785),2)</f>
        <v>3.13</v>
      </c>
      <c r="L22" s="1"/>
      <c r="M22" s="1"/>
      <c r="N22" s="1"/>
    </row>
    <row r="23" spans="1:14" x14ac:dyDescent="0.55000000000000004">
      <c r="A23" s="1"/>
      <c r="B23" s="1"/>
      <c r="C23" s="1"/>
      <c r="D23" s="1"/>
      <c r="E23" s="1"/>
      <c r="F23" s="1"/>
      <c r="G23" s="1"/>
      <c r="H23" s="1"/>
      <c r="I23" s="1"/>
      <c r="J23" s="1"/>
      <c r="K23" s="1"/>
      <c r="L23" s="1"/>
      <c r="M23" s="1"/>
      <c r="N23" s="1"/>
    </row>
    <row r="24" spans="1:14" x14ac:dyDescent="0.55000000000000004">
      <c r="A24" s="1"/>
      <c r="B24" s="1"/>
      <c r="C24" s="1"/>
      <c r="D24" s="1"/>
      <c r="E24" s="1"/>
      <c r="F24" s="1"/>
      <c r="G24" s="1"/>
      <c r="H24" s="1"/>
      <c r="I24" s="1"/>
      <c r="J24" s="1"/>
      <c r="K24" s="1"/>
      <c r="L24" s="1"/>
      <c r="M24" s="1"/>
      <c r="N24" s="1"/>
    </row>
    <row r="25" spans="1:14" x14ac:dyDescent="0.55000000000000004">
      <c r="A25" s="1"/>
      <c r="B25" s="35" t="s">
        <v>22</v>
      </c>
      <c r="C25" s="38"/>
      <c r="D25" s="38"/>
      <c r="E25" s="38"/>
      <c r="F25" s="38"/>
      <c r="G25" s="38"/>
      <c r="H25" s="38"/>
      <c r="I25" s="38"/>
      <c r="J25" s="38"/>
      <c r="K25" s="38"/>
      <c r="L25" s="38"/>
      <c r="M25" s="38"/>
      <c r="N25" s="38"/>
    </row>
    <row r="26" spans="1:14" x14ac:dyDescent="0.55000000000000004">
      <c r="A26" s="1"/>
      <c r="B26" s="39" t="s">
        <v>23</v>
      </c>
      <c r="C26" s="40"/>
      <c r="D26" s="40"/>
      <c r="E26" s="40"/>
      <c r="F26" s="40"/>
      <c r="G26" s="40"/>
      <c r="H26" s="40"/>
      <c r="I26" s="40"/>
      <c r="J26" s="40"/>
      <c r="K26" s="40"/>
      <c r="L26" s="40"/>
      <c r="M26" s="40"/>
      <c r="N26" s="40"/>
    </row>
    <row r="27" spans="1:14" x14ac:dyDescent="0.55000000000000004">
      <c r="A27" s="1"/>
      <c r="B27" s="41" t="s">
        <v>9</v>
      </c>
      <c r="C27" s="50" t="s">
        <v>24</v>
      </c>
      <c r="D27" s="42" t="s">
        <v>25</v>
      </c>
      <c r="E27" s="43"/>
      <c r="F27" s="43"/>
      <c r="G27" s="43"/>
      <c r="H27" s="43"/>
      <c r="I27" s="43"/>
      <c r="J27" s="43"/>
      <c r="K27" s="43"/>
      <c r="L27" s="43"/>
      <c r="M27" s="43"/>
      <c r="N27" s="45"/>
    </row>
    <row r="28" spans="1:14" ht="57" x14ac:dyDescent="0.55000000000000004">
      <c r="A28" s="1"/>
      <c r="B28" s="58" t="s">
        <v>26</v>
      </c>
      <c r="C28" s="59" t="s">
        <v>27</v>
      </c>
      <c r="D28" s="60" t="s">
        <v>99</v>
      </c>
      <c r="E28" s="60"/>
      <c r="F28" s="60"/>
      <c r="G28" s="60"/>
      <c r="H28" s="60"/>
      <c r="I28" s="60"/>
      <c r="J28" s="60"/>
      <c r="K28" s="60"/>
      <c r="L28" s="60"/>
      <c r="M28" s="60"/>
      <c r="N28" s="61"/>
    </row>
    <row r="29" spans="1:14" ht="45.6" x14ac:dyDescent="0.55000000000000004">
      <c r="A29" s="1"/>
      <c r="B29" s="20" t="s">
        <v>28</v>
      </c>
      <c r="C29" s="21" t="s">
        <v>104</v>
      </c>
      <c r="D29" s="22" t="s">
        <v>81</v>
      </c>
      <c r="E29" s="22"/>
      <c r="F29" s="22"/>
      <c r="G29" s="22"/>
      <c r="H29" s="22"/>
      <c r="I29" s="22"/>
      <c r="J29" s="22"/>
      <c r="K29" s="22"/>
      <c r="L29" s="22"/>
      <c r="M29" s="22"/>
      <c r="N29" s="23"/>
    </row>
    <row r="30" spans="1:14" ht="45.6" x14ac:dyDescent="0.55000000000000004">
      <c r="A30" s="1"/>
      <c r="B30" s="62" t="s">
        <v>29</v>
      </c>
      <c r="C30" s="63" t="s">
        <v>104</v>
      </c>
      <c r="D30" s="64" t="s">
        <v>100</v>
      </c>
      <c r="E30" s="64"/>
      <c r="F30" s="64"/>
      <c r="G30" s="64"/>
      <c r="H30" s="64"/>
      <c r="I30" s="64"/>
      <c r="J30" s="64"/>
      <c r="K30" s="64"/>
      <c r="L30" s="64"/>
      <c r="M30" s="64"/>
      <c r="N30" s="65"/>
    </row>
    <row r="31" spans="1:14" x14ac:dyDescent="0.55000000000000004">
      <c r="A31" s="1"/>
      <c r="B31" s="1"/>
      <c r="C31" s="1"/>
      <c r="D31" s="1"/>
      <c r="E31" s="1"/>
      <c r="F31" s="1"/>
      <c r="G31" s="1"/>
      <c r="H31" s="1"/>
      <c r="I31" s="1"/>
      <c r="J31" s="1"/>
      <c r="K31" s="1"/>
      <c r="L31" s="1"/>
      <c r="M31" s="1"/>
      <c r="N31" s="1"/>
    </row>
    <row r="32" spans="1:14" x14ac:dyDescent="0.55000000000000004">
      <c r="A32" s="1"/>
      <c r="B32" s="36" t="s">
        <v>30</v>
      </c>
      <c r="C32" s="38"/>
      <c r="D32" s="38"/>
      <c r="E32" s="38"/>
      <c r="F32" s="38"/>
      <c r="G32" s="38"/>
      <c r="H32" s="38"/>
      <c r="I32" s="38"/>
      <c r="J32" s="38"/>
      <c r="K32" s="38"/>
      <c r="L32" s="38"/>
      <c r="M32" s="38"/>
      <c r="N32" s="38"/>
    </row>
    <row r="33" spans="1:14" x14ac:dyDescent="0.55000000000000004">
      <c r="A33" s="1"/>
      <c r="B33" s="113" t="s">
        <v>31</v>
      </c>
      <c r="C33" s="116" t="s">
        <v>32</v>
      </c>
      <c r="D33" s="117"/>
      <c r="E33" s="117"/>
      <c r="F33" s="117"/>
      <c r="G33" s="117"/>
      <c r="H33" s="117"/>
      <c r="I33" s="117"/>
      <c r="J33" s="117"/>
      <c r="K33" s="117"/>
      <c r="L33" s="117"/>
      <c r="M33" s="117"/>
      <c r="N33" s="117"/>
    </row>
    <row r="34" spans="1:14" ht="22.8" customHeight="1" x14ac:dyDescent="0.55000000000000004">
      <c r="A34" s="1"/>
      <c r="B34" s="114" t="s">
        <v>33</v>
      </c>
      <c r="C34" s="118" t="s">
        <v>82</v>
      </c>
      <c r="D34" s="119"/>
      <c r="E34" s="119"/>
      <c r="F34" s="119"/>
      <c r="G34" s="119"/>
      <c r="H34" s="119"/>
      <c r="I34" s="119"/>
      <c r="J34" s="119"/>
      <c r="K34" s="119"/>
      <c r="L34" s="119"/>
      <c r="M34" s="119"/>
      <c r="N34" s="119"/>
    </row>
    <row r="35" spans="1:14" ht="68.400000000000006" customHeight="1" x14ac:dyDescent="0.55000000000000004">
      <c r="A35" s="1"/>
      <c r="B35" s="115" t="s">
        <v>34</v>
      </c>
      <c r="C35" s="120" t="s">
        <v>83</v>
      </c>
      <c r="D35" s="121"/>
      <c r="E35" s="121"/>
      <c r="F35" s="121"/>
      <c r="G35" s="121"/>
      <c r="H35" s="121"/>
      <c r="I35" s="121"/>
      <c r="J35" s="121"/>
      <c r="K35" s="121"/>
      <c r="L35" s="121"/>
      <c r="M35" s="121"/>
      <c r="N35" s="121"/>
    </row>
    <row r="36" spans="1:14" ht="125.4" customHeight="1" x14ac:dyDescent="0.55000000000000004">
      <c r="A36" s="1"/>
      <c r="B36" s="114" t="s">
        <v>35</v>
      </c>
      <c r="C36" s="118" t="s">
        <v>101</v>
      </c>
      <c r="D36" s="119"/>
      <c r="E36" s="119"/>
      <c r="F36" s="119"/>
      <c r="G36" s="119"/>
      <c r="H36" s="119"/>
      <c r="I36" s="119"/>
      <c r="J36" s="119"/>
      <c r="K36" s="119"/>
      <c r="L36" s="119"/>
      <c r="M36" s="119"/>
      <c r="N36" s="119"/>
    </row>
    <row r="37" spans="1:14" x14ac:dyDescent="0.55000000000000004">
      <c r="A37" s="1"/>
      <c r="B37" s="1"/>
      <c r="C37" s="1"/>
      <c r="D37" s="1"/>
      <c r="E37" s="1"/>
      <c r="F37" s="1"/>
      <c r="G37" s="1"/>
      <c r="H37" s="1"/>
      <c r="I37" s="1"/>
      <c r="J37" s="1"/>
      <c r="K37" s="1"/>
      <c r="L37" s="1"/>
      <c r="M37" s="1"/>
      <c r="N37" s="1"/>
    </row>
    <row r="38" spans="1:14" x14ac:dyDescent="0.55000000000000004">
      <c r="A38" s="1"/>
      <c r="B38" s="36" t="s">
        <v>36</v>
      </c>
      <c r="C38" s="38"/>
      <c r="D38" s="38"/>
      <c r="E38" s="38"/>
      <c r="F38" s="38"/>
      <c r="G38" s="38"/>
      <c r="H38" s="38"/>
      <c r="I38" s="38"/>
      <c r="J38" s="38"/>
      <c r="K38" s="38"/>
      <c r="L38" s="38"/>
      <c r="M38" s="38"/>
      <c r="N38" s="38"/>
    </row>
    <row r="39" spans="1:14" x14ac:dyDescent="0.55000000000000004">
      <c r="A39" s="1"/>
      <c r="B39" s="41" t="s">
        <v>37</v>
      </c>
      <c r="C39" s="42" t="s">
        <v>38</v>
      </c>
      <c r="D39" s="43"/>
      <c r="E39" s="44"/>
      <c r="F39" s="42" t="s">
        <v>39</v>
      </c>
      <c r="G39" s="43"/>
      <c r="H39" s="43"/>
      <c r="I39" s="43"/>
      <c r="J39" s="43"/>
      <c r="K39" s="43"/>
      <c r="L39" s="43"/>
      <c r="M39" s="43"/>
      <c r="N39" s="45"/>
    </row>
    <row r="40" spans="1:14" ht="114" customHeight="1" x14ac:dyDescent="0.55000000000000004">
      <c r="A40" s="1"/>
      <c r="B40" s="58" t="s">
        <v>40</v>
      </c>
      <c r="C40" s="66" t="s">
        <v>96</v>
      </c>
      <c r="D40" s="67"/>
      <c r="E40" s="68"/>
      <c r="F40" s="66" t="s">
        <v>84</v>
      </c>
      <c r="G40" s="67"/>
      <c r="H40" s="67"/>
      <c r="I40" s="67"/>
      <c r="J40" s="67"/>
      <c r="K40" s="67"/>
      <c r="L40" s="67"/>
      <c r="M40" s="67"/>
      <c r="N40" s="69"/>
    </row>
    <row r="41" spans="1:14" ht="159.6" customHeight="1" x14ac:dyDescent="0.55000000000000004">
      <c r="A41" s="1"/>
      <c r="B41" s="20" t="s">
        <v>41</v>
      </c>
      <c r="C41" s="25" t="s">
        <v>97</v>
      </c>
      <c r="D41" s="26"/>
      <c r="E41" s="27"/>
      <c r="F41" s="25" t="s">
        <v>85</v>
      </c>
      <c r="G41" s="26"/>
      <c r="H41" s="26"/>
      <c r="I41" s="26"/>
      <c r="J41" s="26"/>
      <c r="K41" s="26"/>
      <c r="L41" s="26"/>
      <c r="M41" s="26"/>
      <c r="N41" s="28"/>
    </row>
    <row r="42" spans="1:14" ht="136.80000000000001" customHeight="1" x14ac:dyDescent="0.55000000000000004">
      <c r="A42" s="1"/>
      <c r="B42" s="62" t="s">
        <v>42</v>
      </c>
      <c r="C42" s="70" t="s">
        <v>98</v>
      </c>
      <c r="D42" s="71"/>
      <c r="E42" s="72"/>
      <c r="F42" s="70" t="s">
        <v>102</v>
      </c>
      <c r="G42" s="71"/>
      <c r="H42" s="71"/>
      <c r="I42" s="71"/>
      <c r="J42" s="71"/>
      <c r="K42" s="71"/>
      <c r="L42" s="71"/>
      <c r="M42" s="71"/>
      <c r="N42" s="73"/>
    </row>
    <row r="43" spans="1:14" x14ac:dyDescent="0.55000000000000004">
      <c r="A43" s="1"/>
      <c r="B43" s="1"/>
      <c r="C43" s="1"/>
      <c r="D43" s="1"/>
      <c r="E43" s="1"/>
      <c r="F43" s="1"/>
      <c r="G43" s="1"/>
      <c r="H43" s="1"/>
      <c r="I43" s="1"/>
      <c r="J43" s="1"/>
      <c r="K43" s="1"/>
      <c r="L43" s="1"/>
      <c r="M43" s="1"/>
      <c r="N43" s="1"/>
    </row>
    <row r="44" spans="1:14" x14ac:dyDescent="0.55000000000000004">
      <c r="A44" s="1"/>
      <c r="B44" s="1"/>
      <c r="C44" s="1"/>
      <c r="D44" s="1"/>
      <c r="E44" s="1"/>
      <c r="F44" s="1"/>
      <c r="G44" s="1"/>
      <c r="H44" s="1"/>
      <c r="I44" s="1"/>
      <c r="J44" s="1"/>
      <c r="K44" s="1"/>
      <c r="L44" s="1"/>
      <c r="M44" s="1"/>
      <c r="N44" s="1"/>
    </row>
    <row r="45" spans="1:14" x14ac:dyDescent="0.55000000000000004">
      <c r="A45" s="1"/>
      <c r="B45" s="35" t="s">
        <v>95</v>
      </c>
      <c r="C45" s="38"/>
      <c r="D45" s="38"/>
      <c r="E45" s="38"/>
      <c r="F45" s="38"/>
      <c r="G45" s="38"/>
      <c r="H45" s="38"/>
      <c r="I45" s="38"/>
      <c r="J45" s="38"/>
      <c r="K45" s="38"/>
      <c r="L45" s="38"/>
      <c r="M45" s="38"/>
      <c r="N45" s="38"/>
    </row>
    <row r="46" spans="1:14" x14ac:dyDescent="0.55000000000000004">
      <c r="A46" s="1"/>
      <c r="B46" s="46" t="s">
        <v>62</v>
      </c>
      <c r="C46" s="47" t="s">
        <v>9</v>
      </c>
      <c r="D46" s="47" t="s">
        <v>10</v>
      </c>
      <c r="E46" s="47" t="s">
        <v>37</v>
      </c>
      <c r="F46" s="51" t="s">
        <v>63</v>
      </c>
      <c r="G46" s="51"/>
      <c r="H46" s="51"/>
      <c r="I46" s="51"/>
      <c r="J46" s="51"/>
      <c r="K46" s="51"/>
      <c r="L46" s="48" t="s">
        <v>64</v>
      </c>
      <c r="M46" s="49"/>
      <c r="N46" s="49"/>
    </row>
    <row r="47" spans="1:14" ht="57" x14ac:dyDescent="0.55000000000000004">
      <c r="A47" s="1"/>
      <c r="B47" s="29">
        <v>1</v>
      </c>
      <c r="C47" s="21" t="s">
        <v>70</v>
      </c>
      <c r="D47" s="30">
        <v>2020</v>
      </c>
      <c r="E47" s="21" t="s">
        <v>40</v>
      </c>
      <c r="F47" s="31" t="s">
        <v>86</v>
      </c>
      <c r="G47" s="31"/>
      <c r="H47" s="31"/>
      <c r="I47" s="31"/>
      <c r="J47" s="31"/>
      <c r="K47" s="31"/>
      <c r="L47" s="74" t="s">
        <v>65</v>
      </c>
      <c r="M47" s="1"/>
      <c r="N47" s="1"/>
    </row>
    <row r="48" spans="1:14" ht="57" x14ac:dyDescent="0.55000000000000004">
      <c r="A48" s="1"/>
      <c r="B48" s="75">
        <v>2</v>
      </c>
      <c r="C48" s="59" t="s">
        <v>70</v>
      </c>
      <c r="D48" s="76">
        <v>2020</v>
      </c>
      <c r="E48" s="59" t="s">
        <v>41</v>
      </c>
      <c r="F48" s="77" t="s">
        <v>87</v>
      </c>
      <c r="G48" s="77"/>
      <c r="H48" s="77"/>
      <c r="I48" s="77"/>
      <c r="J48" s="77"/>
      <c r="K48" s="77"/>
      <c r="L48" s="78" t="s">
        <v>66</v>
      </c>
      <c r="M48" s="1"/>
      <c r="N48" s="1"/>
    </row>
    <row r="49" spans="1:14" ht="57" x14ac:dyDescent="0.55000000000000004">
      <c r="A49" s="1"/>
      <c r="B49" s="29">
        <v>3</v>
      </c>
      <c r="C49" s="21" t="s">
        <v>70</v>
      </c>
      <c r="D49" s="30">
        <v>2020</v>
      </c>
      <c r="E49" s="21" t="s">
        <v>42</v>
      </c>
      <c r="F49" s="31" t="s">
        <v>88</v>
      </c>
      <c r="G49" s="31"/>
      <c r="H49" s="31"/>
      <c r="I49" s="31"/>
      <c r="J49" s="31"/>
      <c r="K49" s="31"/>
      <c r="L49" s="74" t="s">
        <v>67</v>
      </c>
      <c r="M49" s="1"/>
      <c r="N49" s="1"/>
    </row>
    <row r="50" spans="1:14" ht="57" x14ac:dyDescent="0.55000000000000004">
      <c r="A50" s="1"/>
      <c r="B50" s="75">
        <v>4</v>
      </c>
      <c r="C50" s="59" t="s">
        <v>70</v>
      </c>
      <c r="D50" s="76">
        <v>2021</v>
      </c>
      <c r="E50" s="59" t="s">
        <v>41</v>
      </c>
      <c r="F50" s="77" t="s">
        <v>89</v>
      </c>
      <c r="G50" s="77"/>
      <c r="H50" s="77"/>
      <c r="I50" s="77"/>
      <c r="J50" s="77"/>
      <c r="K50" s="77"/>
      <c r="L50" s="78" t="s">
        <v>66</v>
      </c>
      <c r="M50" s="1"/>
      <c r="N50" s="1"/>
    </row>
    <row r="51" spans="1:14" ht="34.200000000000003" x14ac:dyDescent="0.55000000000000004">
      <c r="A51" s="1"/>
      <c r="B51" s="29">
        <v>5</v>
      </c>
      <c r="C51" s="21" t="s">
        <v>71</v>
      </c>
      <c r="D51" s="30">
        <v>2020</v>
      </c>
      <c r="E51" s="21" t="s">
        <v>40</v>
      </c>
      <c r="F51" s="31" t="s">
        <v>90</v>
      </c>
      <c r="G51" s="31"/>
      <c r="H51" s="31"/>
      <c r="I51" s="31"/>
      <c r="J51" s="31"/>
      <c r="K51" s="31"/>
      <c r="L51" s="74" t="s">
        <v>65</v>
      </c>
      <c r="M51" s="1"/>
      <c r="N51" s="1"/>
    </row>
    <row r="52" spans="1:14" ht="34.200000000000003" x14ac:dyDescent="0.55000000000000004">
      <c r="A52" s="1"/>
      <c r="B52" s="75">
        <v>6</v>
      </c>
      <c r="C52" s="59" t="s">
        <v>71</v>
      </c>
      <c r="D52" s="76">
        <v>2020</v>
      </c>
      <c r="E52" s="59" t="s">
        <v>72</v>
      </c>
      <c r="F52" s="77" t="s">
        <v>91</v>
      </c>
      <c r="G52" s="77"/>
      <c r="H52" s="77"/>
      <c r="I52" s="77"/>
      <c r="J52" s="77"/>
      <c r="K52" s="77"/>
      <c r="L52" s="78" t="s">
        <v>67</v>
      </c>
      <c r="M52" s="1"/>
      <c r="N52" s="1"/>
    </row>
    <row r="53" spans="1:14" ht="45.6" x14ac:dyDescent="0.55000000000000004">
      <c r="A53" s="1"/>
      <c r="B53" s="29">
        <v>7</v>
      </c>
      <c r="C53" s="21" t="s">
        <v>73</v>
      </c>
      <c r="D53" s="30" t="s">
        <v>74</v>
      </c>
      <c r="E53" s="21" t="s">
        <v>40</v>
      </c>
      <c r="F53" s="31" t="s">
        <v>92</v>
      </c>
      <c r="G53" s="31"/>
      <c r="H53" s="31"/>
      <c r="I53" s="31"/>
      <c r="J53" s="31"/>
      <c r="K53" s="31"/>
      <c r="L53" s="74" t="s">
        <v>65</v>
      </c>
      <c r="M53" s="1"/>
      <c r="N53" s="1"/>
    </row>
    <row r="54" spans="1:14" ht="57" x14ac:dyDescent="0.55000000000000004">
      <c r="A54" s="1"/>
      <c r="B54" s="75">
        <v>8</v>
      </c>
      <c r="C54" s="59" t="s">
        <v>70</v>
      </c>
      <c r="D54" s="76">
        <v>2025</v>
      </c>
      <c r="E54" s="59" t="s">
        <v>42</v>
      </c>
      <c r="F54" s="77" t="s">
        <v>93</v>
      </c>
      <c r="G54" s="77"/>
      <c r="H54" s="77"/>
      <c r="I54" s="77"/>
      <c r="J54" s="77"/>
      <c r="K54" s="77"/>
      <c r="L54" s="78" t="s">
        <v>66</v>
      </c>
      <c r="M54" s="1"/>
      <c r="N54" s="1"/>
    </row>
    <row r="55" spans="1:14" ht="22.8" x14ac:dyDescent="0.55000000000000004">
      <c r="A55" s="1"/>
      <c r="B55" s="32">
        <v>9</v>
      </c>
      <c r="C55" s="24" t="s">
        <v>68</v>
      </c>
      <c r="D55" s="33" t="s">
        <v>69</v>
      </c>
      <c r="E55" s="24" t="s">
        <v>75</v>
      </c>
      <c r="F55" s="34" t="s">
        <v>103</v>
      </c>
      <c r="G55" s="34"/>
      <c r="H55" s="34"/>
      <c r="I55" s="34"/>
      <c r="J55" s="34"/>
      <c r="K55" s="34"/>
      <c r="L55" s="79" t="s">
        <v>66</v>
      </c>
      <c r="M55" s="1"/>
      <c r="N55" s="1"/>
    </row>
  </sheetData>
  <mergeCells count="40">
    <mergeCell ref="C39:E39"/>
    <mergeCell ref="C33:N33"/>
    <mergeCell ref="C34:N34"/>
    <mergeCell ref="C35:N35"/>
    <mergeCell ref="C36:N36"/>
    <mergeCell ref="F53:K53"/>
    <mergeCell ref="F54:K54"/>
    <mergeCell ref="F55:K55"/>
    <mergeCell ref="D27:N27"/>
    <mergeCell ref="C40:E40"/>
    <mergeCell ref="C41:E41"/>
    <mergeCell ref="C42:E42"/>
    <mergeCell ref="F47:K47"/>
    <mergeCell ref="F48:K48"/>
    <mergeCell ref="F49:K49"/>
    <mergeCell ref="F50:K50"/>
    <mergeCell ref="F51:K51"/>
    <mergeCell ref="F52:K52"/>
    <mergeCell ref="B38:N38"/>
    <mergeCell ref="B45:N45"/>
    <mergeCell ref="F46:K46"/>
    <mergeCell ref="F40:N40"/>
    <mergeCell ref="F41:N41"/>
    <mergeCell ref="F42:N42"/>
    <mergeCell ref="F39:N39"/>
    <mergeCell ref="D29:N29"/>
    <mergeCell ref="D30:N30"/>
    <mergeCell ref="B32:N32"/>
    <mergeCell ref="E9:N9"/>
    <mergeCell ref="E10:N10"/>
    <mergeCell ref="B12:N12"/>
    <mergeCell ref="B25:N25"/>
    <mergeCell ref="B26:N26"/>
    <mergeCell ref="D28:N28"/>
    <mergeCell ref="A1:N1"/>
    <mergeCell ref="B2:N2"/>
    <mergeCell ref="B3:N3"/>
    <mergeCell ref="E6:N6"/>
    <mergeCell ref="E7:N7"/>
    <mergeCell ref="E8:N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787"/>
  <sheetViews>
    <sheetView showGridLines="0" zoomScaleNormal="100" workbookViewId="0"/>
  </sheetViews>
  <sheetFormatPr defaultColWidth="8.68359375" defaultRowHeight="14.4" x14ac:dyDescent="0.55000000000000004"/>
  <cols>
    <col min="1" max="1" width="2" customWidth="1"/>
    <col min="2" max="2" width="13" customWidth="1"/>
    <col min="3" max="4" width="11" customWidth="1"/>
    <col min="5" max="6" width="10" customWidth="1"/>
    <col min="7" max="7" width="11.68359375" bestFit="1" customWidth="1"/>
    <col min="8" max="8" width="11.83984375" bestFit="1" customWidth="1"/>
    <col min="9" max="9" width="12" customWidth="1"/>
    <col min="10" max="10" width="13" customWidth="1"/>
    <col min="11" max="11" width="12" customWidth="1"/>
    <col min="12" max="12" width="13" customWidth="1"/>
    <col min="13" max="13" width="2" customWidth="1"/>
  </cols>
  <sheetData>
    <row r="1" spans="2:13" ht="33.75" customHeight="1" x14ac:dyDescent="0.55000000000000004">
      <c r="B1" s="8" t="s">
        <v>43</v>
      </c>
      <c r="C1" s="8"/>
      <c r="D1" s="8"/>
      <c r="E1" s="8"/>
      <c r="F1" s="8"/>
      <c r="G1" s="8"/>
      <c r="H1" s="8"/>
      <c r="I1" s="8"/>
      <c r="J1" s="8"/>
      <c r="K1" s="8"/>
      <c r="L1" s="8"/>
    </row>
    <row r="2" spans="2:13" ht="15.75" customHeight="1" x14ac:dyDescent="0.55000000000000004">
      <c r="B2" s="9" t="s">
        <v>44</v>
      </c>
      <c r="C2" s="9"/>
      <c r="D2" s="9"/>
      <c r="E2" s="9"/>
      <c r="F2" s="9"/>
      <c r="G2" s="9"/>
      <c r="H2" s="9"/>
      <c r="I2" s="9"/>
      <c r="J2" s="9"/>
      <c r="K2" s="9"/>
      <c r="L2" s="9"/>
    </row>
    <row r="3" spans="2:13" ht="9.75" customHeight="1" x14ac:dyDescent="0.55000000000000004">
      <c r="B3" s="1"/>
      <c r="C3" s="1"/>
      <c r="D3" s="1"/>
      <c r="E3" s="1"/>
      <c r="F3" s="1"/>
      <c r="G3" s="1"/>
      <c r="H3" s="1"/>
      <c r="I3" s="1"/>
      <c r="J3" s="1"/>
      <c r="K3" s="1"/>
      <c r="L3" s="1"/>
    </row>
    <row r="4" spans="2:13" ht="18" customHeight="1" x14ac:dyDescent="0.55000000000000004">
      <c r="B4" s="9" t="s">
        <v>45</v>
      </c>
      <c r="C4" s="9"/>
      <c r="D4" s="9"/>
      <c r="E4" s="2" t="s">
        <v>46</v>
      </c>
      <c r="F4" s="2" t="s">
        <v>47</v>
      </c>
      <c r="G4" s="2" t="s">
        <v>48</v>
      </c>
      <c r="H4" s="2" t="s">
        <v>49</v>
      </c>
      <c r="I4" s="2" t="s">
        <v>50</v>
      </c>
      <c r="J4" s="1"/>
      <c r="K4" s="1"/>
      <c r="L4" s="1"/>
      <c r="M4" s="11" t="s">
        <v>76</v>
      </c>
    </row>
    <row r="5" spans="2:13" ht="15.75" customHeight="1" x14ac:dyDescent="0.55000000000000004">
      <c r="B5" s="1"/>
      <c r="C5" s="1"/>
      <c r="D5" s="1"/>
      <c r="E5" s="3">
        <f>AVERAGE(D9:D263,D266:D521,D524:D786)</f>
        <v>0.22913719943422939</v>
      </c>
      <c r="F5" s="3">
        <f>STDEV(D9:D263,D266:D521,D524:D786)</f>
        <v>10.614336326722793</v>
      </c>
      <c r="G5" s="3">
        <f>MEDIAN(D9:D263,D266:D521,D524:D786)</f>
        <v>0</v>
      </c>
      <c r="H5" s="3">
        <f>_xlfn.AGGREGATE(16,6,M9:M786,0.5)/0.6745</f>
        <v>2.9651593773165335</v>
      </c>
      <c r="I5" s="4">
        <v>3</v>
      </c>
      <c r="J5" s="1"/>
      <c r="K5" s="1"/>
      <c r="L5" s="1"/>
    </row>
    <row r="6" spans="2:13" ht="7.5" customHeight="1" x14ac:dyDescent="0.55000000000000004">
      <c r="B6" s="1"/>
      <c r="C6" s="1"/>
      <c r="D6" s="1"/>
      <c r="E6" s="1"/>
      <c r="F6" s="1"/>
      <c r="G6" s="1"/>
      <c r="H6" s="1"/>
      <c r="I6" s="1"/>
      <c r="J6" s="1"/>
      <c r="K6" s="1"/>
      <c r="L6" s="1"/>
    </row>
    <row r="7" spans="2:13" ht="21.75" customHeight="1" x14ac:dyDescent="0.55000000000000004">
      <c r="B7" s="92" t="str">
        <f>"YEAR 2020   |   Observations: "&amp;COUNTA(C9:C263)&amp;"   |   Missing: "&amp;COUNTIF(K9:K263,"MISSING")&amp;"   |   Stale: "&amp;COUNTIF(L9:L263,"STALE")&amp;"   |   Z&gt;3 Outliers: "&amp;COUNTIF(H9:H263,"OUTLIER")&amp;"   |   Robust Z&gt;3: "&amp;COUNTIF(I9:I263,"OUTLIER")</f>
        <v>YEAR 2020   |   Observations: 249   |   Missing: 5   |   Stale: 18   |   Z&gt;3 Outliers: 14   |   Robust Z&gt;3: 62</v>
      </c>
      <c r="C7" s="93"/>
      <c r="D7" s="93"/>
      <c r="E7" s="93"/>
      <c r="F7" s="93"/>
      <c r="G7" s="93"/>
      <c r="H7" s="93"/>
      <c r="I7" s="93"/>
      <c r="J7" s="93"/>
      <c r="K7" s="93"/>
      <c r="L7" s="93"/>
    </row>
    <row r="8" spans="2:13" ht="21.75" customHeight="1" x14ac:dyDescent="0.55000000000000004">
      <c r="B8" s="104" t="s">
        <v>51</v>
      </c>
      <c r="C8" s="105" t="s">
        <v>52</v>
      </c>
      <c r="D8" s="103" t="s">
        <v>53</v>
      </c>
      <c r="E8" s="103" t="s">
        <v>54</v>
      </c>
      <c r="F8" s="103" t="s">
        <v>55</v>
      </c>
      <c r="G8" s="103" t="s">
        <v>56</v>
      </c>
      <c r="H8" s="103" t="s">
        <v>57</v>
      </c>
      <c r="I8" s="103" t="s">
        <v>105</v>
      </c>
      <c r="J8" s="103" t="s">
        <v>106</v>
      </c>
      <c r="K8" s="103" t="s">
        <v>58</v>
      </c>
      <c r="L8" s="103" t="s">
        <v>59</v>
      </c>
      <c r="M8" s="10" t="s">
        <v>77</v>
      </c>
    </row>
    <row r="9" spans="2:13" s="107" customFormat="1" ht="12.75" customHeight="1" x14ac:dyDescent="0.4">
      <c r="B9" s="109">
        <v>43831</v>
      </c>
      <c r="C9" s="5"/>
      <c r="D9" s="6"/>
      <c r="E9" s="6" t="str">
        <f t="shared" ref="E9:E72" si="0">IF(D9="","",ABS(D9-$E$5)/$F$5)</f>
        <v/>
      </c>
      <c r="F9" s="6" t="str">
        <f t="shared" ref="F9:F72" si="1">IF(D9="","",ABS(D9-$G$5)/$H$5)</f>
        <v/>
      </c>
      <c r="G9" s="6" t="str">
        <f>IF(D9="","",ABS(D9-$E$5)/$F$5)</f>
        <v/>
      </c>
      <c r="H9" s="6" t="str">
        <f t="shared" ref="H9:H72" si="2">IF(E9="","",IF(E9&gt;$I$5,"OUTLIER",""))</f>
        <v/>
      </c>
      <c r="I9" s="6" t="str">
        <f t="shared" ref="I9:I72" si="3">IF(F9="","",IF(F9&gt;$I$5,"OUTLIER",""))</f>
        <v/>
      </c>
      <c r="J9" s="6" t="str">
        <f t="shared" ref="J9:J72" si="4">IF(G9="","",IF(G9&gt;$I$5,"OUTLIER",""))</f>
        <v/>
      </c>
      <c r="K9" s="6" t="str">
        <f t="shared" ref="K9:K72" si="5">IF(C9="","MISSING","")</f>
        <v>MISSING</v>
      </c>
      <c r="L9" s="6"/>
      <c r="M9" s="110" t="str">
        <f>IF(D9="","",ABS(D9-G$5))</f>
        <v/>
      </c>
    </row>
    <row r="10" spans="2:13" s="107" customFormat="1" ht="12.75" customHeight="1" x14ac:dyDescent="0.4">
      <c r="B10" s="109">
        <v>43832</v>
      </c>
      <c r="C10" s="5">
        <v>3.17</v>
      </c>
      <c r="D10" s="7" t="str">
        <f t="shared" ref="D10:D73" si="6">IF(OR(C10="",C9=""),"",(C10-C9)*100)</f>
        <v/>
      </c>
      <c r="E10" s="5" t="str">
        <f t="shared" si="0"/>
        <v/>
      </c>
      <c r="F10" s="5" t="str">
        <f t="shared" si="1"/>
        <v/>
      </c>
      <c r="G10" s="6" t="str">
        <f t="shared" ref="G10:G73" si="7">IF(D10="","",ABS(D10-$E$5)/SQRT(0.9*(IF(G9="",($F$5)^2,(ABS(D9-$E$5)/MAX(G9,0.0000000001))^2))+0.1*(D10-$E$5)^2))</f>
        <v/>
      </c>
      <c r="H10" s="6" t="str">
        <f t="shared" si="2"/>
        <v/>
      </c>
      <c r="I10" s="6" t="str">
        <f t="shared" si="3"/>
        <v/>
      </c>
      <c r="J10" s="6" t="str">
        <f t="shared" si="4"/>
        <v/>
      </c>
      <c r="K10" s="6" t="str">
        <f t="shared" si="5"/>
        <v/>
      </c>
      <c r="L10" s="6" t="str">
        <f t="shared" ref="L10:L73" si="8">IF(AND(C10&lt;&gt;"",C9&lt;&gt;"",C10=C9),"STALE","")</f>
        <v/>
      </c>
      <c r="M10" s="110" t="str">
        <f>IF(D10="","",ABS(D10-G$5))</f>
        <v/>
      </c>
    </row>
    <row r="11" spans="2:13" s="107" customFormat="1" ht="12.75" customHeight="1" x14ac:dyDescent="0.4">
      <c r="B11" s="109">
        <v>43833</v>
      </c>
      <c r="C11" s="5">
        <v>3.11</v>
      </c>
      <c r="D11" s="7">
        <f t="shared" si="6"/>
        <v>-6.0000000000000053</v>
      </c>
      <c r="E11" s="5">
        <f t="shared" si="0"/>
        <v>0.58686073322848054</v>
      </c>
      <c r="F11" s="5">
        <f t="shared" si="1"/>
        <v>2.0234999999999999</v>
      </c>
      <c r="G11" s="5">
        <f t="shared" si="7"/>
        <v>0.60709857467079131</v>
      </c>
      <c r="H11" s="6" t="str">
        <f t="shared" si="2"/>
        <v/>
      </c>
      <c r="I11" s="6" t="str">
        <f t="shared" si="3"/>
        <v/>
      </c>
      <c r="J11" s="6" t="str">
        <f t="shared" si="4"/>
        <v/>
      </c>
      <c r="K11" s="6" t="str">
        <f t="shared" si="5"/>
        <v/>
      </c>
      <c r="L11" s="6" t="str">
        <f t="shared" si="8"/>
        <v/>
      </c>
      <c r="M11" s="110">
        <f>IF(D11="","",ABS(D11-G$5))</f>
        <v>6.0000000000000053</v>
      </c>
    </row>
    <row r="12" spans="2:13" s="107" customFormat="1" ht="12.75" customHeight="1" x14ac:dyDescent="0.4">
      <c r="B12" s="109">
        <v>43836</v>
      </c>
      <c r="C12" s="5">
        <v>3.14</v>
      </c>
      <c r="D12" s="7">
        <f t="shared" si="6"/>
        <v>3.0000000000000249</v>
      </c>
      <c r="E12" s="5">
        <f t="shared" si="0"/>
        <v>0.26104908637479624</v>
      </c>
      <c r="F12" s="5">
        <f t="shared" si="1"/>
        <v>1.0117500000000075</v>
      </c>
      <c r="G12" s="5">
        <f t="shared" si="7"/>
        <v>0.2835127622042139</v>
      </c>
      <c r="H12" s="6" t="str">
        <f t="shared" si="2"/>
        <v/>
      </c>
      <c r="I12" s="6" t="str">
        <f t="shared" si="3"/>
        <v/>
      </c>
      <c r="J12" s="6" t="str">
        <f t="shared" si="4"/>
        <v/>
      </c>
      <c r="K12" s="6" t="str">
        <f t="shared" si="5"/>
        <v/>
      </c>
      <c r="L12" s="6" t="str">
        <f t="shared" si="8"/>
        <v/>
      </c>
      <c r="M12" s="110">
        <f>IF(D12="","",ABS(D12-G$5))</f>
        <v>3.0000000000000249</v>
      </c>
    </row>
    <row r="13" spans="2:13" s="107" customFormat="1" ht="12.75" customHeight="1" x14ac:dyDescent="0.4">
      <c r="B13" s="109">
        <v>43837</v>
      </c>
      <c r="C13" s="5">
        <v>3.15</v>
      </c>
      <c r="D13" s="7">
        <f t="shared" si="6"/>
        <v>0.99999999999997868</v>
      </c>
      <c r="E13" s="5">
        <f t="shared" si="0"/>
        <v>7.2624682018508774E-2</v>
      </c>
      <c r="F13" s="5">
        <f t="shared" si="1"/>
        <v>0.3372499999999925</v>
      </c>
      <c r="G13" s="5">
        <f t="shared" si="7"/>
        <v>8.3111931725635885E-2</v>
      </c>
      <c r="H13" s="6" t="str">
        <f t="shared" si="2"/>
        <v/>
      </c>
      <c r="I13" s="6" t="str">
        <f t="shared" si="3"/>
        <v/>
      </c>
      <c r="J13" s="6" t="str">
        <f t="shared" si="4"/>
        <v/>
      </c>
      <c r="K13" s="6" t="str">
        <f t="shared" si="5"/>
        <v/>
      </c>
      <c r="L13" s="6" t="str">
        <f t="shared" si="8"/>
        <v/>
      </c>
      <c r="M13" s="110">
        <f>IF(D13="","",ABS(D13-G$5))</f>
        <v>0.99999999999997868</v>
      </c>
    </row>
    <row r="14" spans="2:13" s="107" customFormat="1" ht="12.75" customHeight="1" x14ac:dyDescent="0.4">
      <c r="B14" s="109">
        <v>43838</v>
      </c>
      <c r="C14" s="5">
        <v>3.19</v>
      </c>
      <c r="D14" s="7">
        <f t="shared" si="6"/>
        <v>4.0000000000000036</v>
      </c>
      <c r="E14" s="5">
        <f t="shared" si="0"/>
        <v>0.35526128855293576</v>
      </c>
      <c r="F14" s="5">
        <f t="shared" si="1"/>
        <v>1.349</v>
      </c>
      <c r="G14" s="5">
        <f t="shared" si="7"/>
        <v>0.42467221415692985</v>
      </c>
      <c r="H14" s="6" t="str">
        <f t="shared" si="2"/>
        <v/>
      </c>
      <c r="I14" s="6" t="str">
        <f t="shared" si="3"/>
        <v/>
      </c>
      <c r="J14" s="6" t="str">
        <f t="shared" si="4"/>
        <v/>
      </c>
      <c r="K14" s="6" t="str">
        <f t="shared" si="5"/>
        <v/>
      </c>
      <c r="L14" s="6" t="str">
        <f t="shared" si="8"/>
        <v/>
      </c>
      <c r="M14" s="110">
        <f>IF(D14="","",ABS(D14-G$5))</f>
        <v>4.0000000000000036</v>
      </c>
    </row>
    <row r="15" spans="2:13" s="107" customFormat="1" ht="12.75" customHeight="1" x14ac:dyDescent="0.4">
      <c r="B15" s="109">
        <v>43839</v>
      </c>
      <c r="C15" s="5">
        <v>3.16</v>
      </c>
      <c r="D15" s="7">
        <f t="shared" si="6"/>
        <v>-2.9999999999999805</v>
      </c>
      <c r="E15" s="5">
        <f t="shared" si="0"/>
        <v>0.30422412669405352</v>
      </c>
      <c r="F15" s="5">
        <f t="shared" si="1"/>
        <v>1.0117499999999926</v>
      </c>
      <c r="G15" s="5">
        <f t="shared" si="7"/>
        <v>0.3805490930494197</v>
      </c>
      <c r="H15" s="6" t="str">
        <f t="shared" si="2"/>
        <v/>
      </c>
      <c r="I15" s="6" t="str">
        <f t="shared" si="3"/>
        <v/>
      </c>
      <c r="J15" s="6" t="str">
        <f t="shared" si="4"/>
        <v/>
      </c>
      <c r="K15" s="6" t="str">
        <f t="shared" si="5"/>
        <v/>
      </c>
      <c r="L15" s="6" t="str">
        <f t="shared" si="8"/>
        <v/>
      </c>
      <c r="M15" s="110">
        <f>IF(D15="","",ABS(D15-G$5))</f>
        <v>2.9999999999999805</v>
      </c>
    </row>
    <row r="16" spans="2:13" s="107" customFormat="1" ht="12.75" customHeight="1" x14ac:dyDescent="0.4">
      <c r="B16" s="109">
        <v>43840</v>
      </c>
      <c r="C16" s="5">
        <v>3.13</v>
      </c>
      <c r="D16" s="7">
        <f t="shared" si="6"/>
        <v>-3.0000000000000249</v>
      </c>
      <c r="E16" s="5">
        <f t="shared" si="0"/>
        <v>0.30422412669405774</v>
      </c>
      <c r="F16" s="5">
        <f t="shared" si="1"/>
        <v>1.0117500000000075</v>
      </c>
      <c r="G16" s="5">
        <f t="shared" si="7"/>
        <v>0.39794510519164444</v>
      </c>
      <c r="H16" s="6" t="str">
        <f t="shared" si="2"/>
        <v/>
      </c>
      <c r="I16" s="6" t="str">
        <f t="shared" si="3"/>
        <v/>
      </c>
      <c r="J16" s="6" t="str">
        <f t="shared" si="4"/>
        <v/>
      </c>
      <c r="K16" s="6" t="str">
        <f t="shared" si="5"/>
        <v/>
      </c>
      <c r="L16" s="6" t="str">
        <f t="shared" si="8"/>
        <v/>
      </c>
      <c r="M16" s="110">
        <f>IF(D16="","",ABS(D16-G$5))</f>
        <v>3.0000000000000249</v>
      </c>
    </row>
    <row r="17" spans="2:13" s="107" customFormat="1" ht="12.75" customHeight="1" x14ac:dyDescent="0.4">
      <c r="B17" s="109">
        <v>43843</v>
      </c>
      <c r="C17" s="5">
        <v>3.14</v>
      </c>
      <c r="D17" s="7">
        <f t="shared" si="6"/>
        <v>1.0000000000000231</v>
      </c>
      <c r="E17" s="5">
        <f t="shared" si="0"/>
        <v>7.2624682018512965E-2</v>
      </c>
      <c r="F17" s="5">
        <f t="shared" si="1"/>
        <v>0.33725000000000749</v>
      </c>
      <c r="G17" s="5">
        <f t="shared" si="7"/>
        <v>0.10008635467818605</v>
      </c>
      <c r="H17" s="6" t="str">
        <f t="shared" si="2"/>
        <v/>
      </c>
      <c r="I17" s="6" t="str">
        <f t="shared" si="3"/>
        <v/>
      </c>
      <c r="J17" s="6" t="str">
        <f t="shared" si="4"/>
        <v/>
      </c>
      <c r="K17" s="6" t="str">
        <f t="shared" si="5"/>
        <v/>
      </c>
      <c r="L17" s="6" t="str">
        <f t="shared" si="8"/>
        <v/>
      </c>
      <c r="M17" s="110">
        <f>IF(D17="","",ABS(D17-G$5))</f>
        <v>1.0000000000000231</v>
      </c>
    </row>
    <row r="18" spans="2:13" s="107" customFormat="1" ht="12.75" customHeight="1" x14ac:dyDescent="0.4">
      <c r="B18" s="109">
        <v>43844</v>
      </c>
      <c r="C18" s="5">
        <v>3.12</v>
      </c>
      <c r="D18" s="7">
        <f t="shared" si="6"/>
        <v>-2.0000000000000018</v>
      </c>
      <c r="E18" s="5">
        <f t="shared" si="0"/>
        <v>0.21001192451591399</v>
      </c>
      <c r="F18" s="5">
        <f t="shared" si="1"/>
        <v>0.67449999999999999</v>
      </c>
      <c r="G18" s="5">
        <f t="shared" si="7"/>
        <v>0.30366980261410126</v>
      </c>
      <c r="H18" s="6" t="str">
        <f t="shared" si="2"/>
        <v/>
      </c>
      <c r="I18" s="6" t="str">
        <f t="shared" si="3"/>
        <v/>
      </c>
      <c r="J18" s="6" t="str">
        <f t="shared" si="4"/>
        <v/>
      </c>
      <c r="K18" s="6" t="str">
        <f t="shared" si="5"/>
        <v/>
      </c>
      <c r="L18" s="6" t="str">
        <f t="shared" si="8"/>
        <v/>
      </c>
      <c r="M18" s="110">
        <f>IF(D18="","",ABS(D18-G$5))</f>
        <v>2.0000000000000018</v>
      </c>
    </row>
    <row r="19" spans="2:13" s="107" customFormat="1" ht="12.75" customHeight="1" x14ac:dyDescent="0.4">
      <c r="B19" s="109">
        <v>43845</v>
      </c>
      <c r="C19" s="5">
        <v>3.09</v>
      </c>
      <c r="D19" s="7">
        <f t="shared" si="6"/>
        <v>-3.0000000000000249</v>
      </c>
      <c r="E19" s="5">
        <f t="shared" si="0"/>
        <v>0.30422412669405774</v>
      </c>
      <c r="F19" s="5">
        <f t="shared" si="1"/>
        <v>1.0117500000000075</v>
      </c>
      <c r="G19" s="5">
        <f t="shared" si="7"/>
        <v>0.45878650785270408</v>
      </c>
      <c r="H19" s="6" t="str">
        <f t="shared" si="2"/>
        <v/>
      </c>
      <c r="I19" s="6" t="str">
        <f t="shared" si="3"/>
        <v/>
      </c>
      <c r="J19" s="6" t="str">
        <f t="shared" si="4"/>
        <v/>
      </c>
      <c r="K19" s="6" t="str">
        <f t="shared" si="5"/>
        <v/>
      </c>
      <c r="L19" s="6" t="str">
        <f t="shared" si="8"/>
        <v/>
      </c>
      <c r="M19" s="110">
        <f>IF(D19="","",ABS(D19-G$5))</f>
        <v>3.0000000000000249</v>
      </c>
    </row>
    <row r="20" spans="2:13" s="107" customFormat="1" ht="12.75" customHeight="1" x14ac:dyDescent="0.4">
      <c r="B20" s="109">
        <v>43846</v>
      </c>
      <c r="C20" s="5">
        <v>3.1</v>
      </c>
      <c r="D20" s="7">
        <f t="shared" si="6"/>
        <v>1.0000000000000231</v>
      </c>
      <c r="E20" s="5">
        <f t="shared" si="0"/>
        <v>7.2624682018512965E-2</v>
      </c>
      <c r="F20" s="5">
        <f t="shared" si="1"/>
        <v>0.33725000000000749</v>
      </c>
      <c r="G20" s="5">
        <f t="shared" si="7"/>
        <v>0.11536943235665971</v>
      </c>
      <c r="H20" s="6" t="str">
        <f t="shared" si="2"/>
        <v/>
      </c>
      <c r="I20" s="6" t="str">
        <f t="shared" si="3"/>
        <v/>
      </c>
      <c r="J20" s="6" t="str">
        <f t="shared" si="4"/>
        <v/>
      </c>
      <c r="K20" s="6" t="str">
        <f t="shared" si="5"/>
        <v/>
      </c>
      <c r="L20" s="6" t="str">
        <f t="shared" si="8"/>
        <v/>
      </c>
      <c r="M20" s="110">
        <f>IF(D20="","",ABS(D20-G$5))</f>
        <v>1.0000000000000231</v>
      </c>
    </row>
    <row r="21" spans="2:13" s="107" customFormat="1" ht="12.75" customHeight="1" x14ac:dyDescent="0.4">
      <c r="B21" s="109">
        <v>43847</v>
      </c>
      <c r="C21" s="5">
        <v>3.1</v>
      </c>
      <c r="D21" s="7">
        <f t="shared" si="6"/>
        <v>0</v>
      </c>
      <c r="E21" s="5">
        <f t="shared" si="0"/>
        <v>2.1587520159630759E-2</v>
      </c>
      <c r="F21" s="5">
        <f t="shared" si="1"/>
        <v>0</v>
      </c>
      <c r="G21" s="5">
        <f t="shared" si="7"/>
        <v>3.61459497556752E-2</v>
      </c>
      <c r="H21" s="6" t="str">
        <f t="shared" si="2"/>
        <v/>
      </c>
      <c r="I21" s="6" t="str">
        <f t="shared" si="3"/>
        <v/>
      </c>
      <c r="J21" s="6" t="str">
        <f t="shared" si="4"/>
        <v/>
      </c>
      <c r="K21" s="6" t="str">
        <f t="shared" si="5"/>
        <v/>
      </c>
      <c r="L21" s="6" t="str">
        <f t="shared" si="8"/>
        <v>STALE</v>
      </c>
      <c r="M21" s="110">
        <f>IF(D21="","",ABS(D21-G$5))</f>
        <v>0</v>
      </c>
    </row>
    <row r="22" spans="2:13" s="107" customFormat="1" ht="12.75" customHeight="1" x14ac:dyDescent="0.4">
      <c r="B22" s="109">
        <v>43851</v>
      </c>
      <c r="C22" s="5">
        <v>3.04</v>
      </c>
      <c r="D22" s="7">
        <f t="shared" si="6"/>
        <v>-6.0000000000000053</v>
      </c>
      <c r="E22" s="5">
        <f t="shared" si="0"/>
        <v>0.58686073322848054</v>
      </c>
      <c r="F22" s="5">
        <f t="shared" si="1"/>
        <v>2.0234999999999999</v>
      </c>
      <c r="G22" s="5">
        <f t="shared" si="7"/>
        <v>0.98433031158974393</v>
      </c>
      <c r="H22" s="6" t="str">
        <f t="shared" si="2"/>
        <v/>
      </c>
      <c r="I22" s="6" t="str">
        <f t="shared" si="3"/>
        <v/>
      </c>
      <c r="J22" s="6" t="str">
        <f t="shared" si="4"/>
        <v/>
      </c>
      <c r="K22" s="6" t="str">
        <f t="shared" si="5"/>
        <v/>
      </c>
      <c r="L22" s="6" t="str">
        <f t="shared" si="8"/>
        <v/>
      </c>
      <c r="M22" s="110">
        <f>IF(D22="","",ABS(D22-G$5))</f>
        <v>6.0000000000000053</v>
      </c>
    </row>
    <row r="23" spans="2:13" s="107" customFormat="1" ht="12.75" customHeight="1" x14ac:dyDescent="0.4">
      <c r="B23" s="109">
        <v>43852</v>
      </c>
      <c r="C23" s="5">
        <v>3.03</v>
      </c>
      <c r="D23" s="7">
        <f t="shared" si="6"/>
        <v>-1.0000000000000231</v>
      </c>
      <c r="E23" s="5">
        <f t="shared" si="0"/>
        <v>0.11579972233777447</v>
      </c>
      <c r="F23" s="5">
        <f t="shared" si="1"/>
        <v>0.33725000000000749</v>
      </c>
      <c r="G23" s="5">
        <f t="shared" si="7"/>
        <v>0.20430724585169585</v>
      </c>
      <c r="H23" s="6" t="str">
        <f t="shared" si="2"/>
        <v/>
      </c>
      <c r="I23" s="6" t="str">
        <f t="shared" si="3"/>
        <v/>
      </c>
      <c r="J23" s="6" t="str">
        <f t="shared" si="4"/>
        <v/>
      </c>
      <c r="K23" s="6" t="str">
        <f t="shared" si="5"/>
        <v/>
      </c>
      <c r="L23" s="6" t="str">
        <f t="shared" si="8"/>
        <v/>
      </c>
      <c r="M23" s="110">
        <f>IF(D23="","",ABS(D23-G$5))</f>
        <v>1.0000000000000231</v>
      </c>
    </row>
    <row r="24" spans="2:13" s="107" customFormat="1" ht="12.75" customHeight="1" x14ac:dyDescent="0.4">
      <c r="B24" s="109">
        <v>43853</v>
      </c>
      <c r="C24" s="5">
        <v>3.02</v>
      </c>
      <c r="D24" s="7">
        <f t="shared" si="6"/>
        <v>-0.99999999999997868</v>
      </c>
      <c r="E24" s="5">
        <f t="shared" si="0"/>
        <v>0.11579972233777029</v>
      </c>
      <c r="F24" s="5">
        <f t="shared" si="1"/>
        <v>0.3372499999999925</v>
      </c>
      <c r="G24" s="5">
        <f t="shared" si="7"/>
        <v>0.2148610665838023</v>
      </c>
      <c r="H24" s="6" t="str">
        <f t="shared" si="2"/>
        <v/>
      </c>
      <c r="I24" s="6" t="str">
        <f t="shared" si="3"/>
        <v/>
      </c>
      <c r="J24" s="6" t="str">
        <f t="shared" si="4"/>
        <v/>
      </c>
      <c r="K24" s="6" t="str">
        <f t="shared" si="5"/>
        <v/>
      </c>
      <c r="L24" s="6" t="str">
        <f t="shared" si="8"/>
        <v/>
      </c>
      <c r="M24" s="110">
        <f>IF(D24="","",ABS(D24-G$5))</f>
        <v>0.99999999999997868</v>
      </c>
    </row>
    <row r="25" spans="2:13" s="107" customFormat="1" ht="12.75" customHeight="1" x14ac:dyDescent="0.4">
      <c r="B25" s="109">
        <v>43854</v>
      </c>
      <c r="C25" s="5">
        <v>2.98</v>
      </c>
      <c r="D25" s="7">
        <f t="shared" si="6"/>
        <v>-4.0000000000000036</v>
      </c>
      <c r="E25" s="5">
        <f t="shared" si="0"/>
        <v>0.39843632887219732</v>
      </c>
      <c r="F25" s="5">
        <f t="shared" si="1"/>
        <v>1.349</v>
      </c>
      <c r="G25" s="5">
        <f t="shared" si="7"/>
        <v>0.75663468508721832</v>
      </c>
      <c r="H25" s="6" t="str">
        <f t="shared" si="2"/>
        <v/>
      </c>
      <c r="I25" s="6" t="str">
        <f t="shared" si="3"/>
        <v/>
      </c>
      <c r="J25" s="6" t="str">
        <f t="shared" si="4"/>
        <v/>
      </c>
      <c r="K25" s="6" t="str">
        <f t="shared" si="5"/>
        <v/>
      </c>
      <c r="L25" s="6" t="str">
        <f t="shared" si="8"/>
        <v/>
      </c>
      <c r="M25" s="110">
        <f>IF(D25="","",ABS(D25-G$5))</f>
        <v>4.0000000000000036</v>
      </c>
    </row>
    <row r="26" spans="2:13" s="107" customFormat="1" ht="12.75" customHeight="1" x14ac:dyDescent="0.4">
      <c r="B26" s="109">
        <v>43857</v>
      </c>
      <c r="C26" s="5">
        <v>2.96</v>
      </c>
      <c r="D26" s="7">
        <f t="shared" si="6"/>
        <v>-2.0000000000000018</v>
      </c>
      <c r="E26" s="5">
        <f t="shared" si="0"/>
        <v>0.21001192451591399</v>
      </c>
      <c r="F26" s="5">
        <f t="shared" si="1"/>
        <v>0.67449999999999999</v>
      </c>
      <c r="G26" s="5">
        <f t="shared" si="7"/>
        <v>0.41672156834660107</v>
      </c>
      <c r="H26" s="6" t="str">
        <f t="shared" si="2"/>
        <v/>
      </c>
      <c r="I26" s="6" t="str">
        <f t="shared" si="3"/>
        <v/>
      </c>
      <c r="J26" s="6" t="str">
        <f t="shared" si="4"/>
        <v/>
      </c>
      <c r="K26" s="6" t="str">
        <f t="shared" si="5"/>
        <v/>
      </c>
      <c r="L26" s="6" t="str">
        <f t="shared" si="8"/>
        <v/>
      </c>
      <c r="M26" s="110">
        <f>IF(D26="","",ABS(D26-G$5))</f>
        <v>2.0000000000000018</v>
      </c>
    </row>
    <row r="27" spans="2:13" s="107" customFormat="1" ht="12.75" customHeight="1" x14ac:dyDescent="0.4">
      <c r="B27" s="109">
        <v>43858</v>
      </c>
      <c r="C27" s="5">
        <v>2.99</v>
      </c>
      <c r="D27" s="7">
        <f t="shared" si="6"/>
        <v>3.0000000000000249</v>
      </c>
      <c r="E27" s="5">
        <f t="shared" si="0"/>
        <v>0.26104908637479624</v>
      </c>
      <c r="F27" s="5">
        <f t="shared" si="1"/>
        <v>1.0117500000000075</v>
      </c>
      <c r="G27" s="5">
        <f t="shared" si="7"/>
        <v>0.53805139160198112</v>
      </c>
      <c r="H27" s="6" t="str">
        <f t="shared" si="2"/>
        <v/>
      </c>
      <c r="I27" s="6" t="str">
        <f t="shared" si="3"/>
        <v/>
      </c>
      <c r="J27" s="6" t="str">
        <f t="shared" si="4"/>
        <v/>
      </c>
      <c r="K27" s="6" t="str">
        <f t="shared" si="5"/>
        <v/>
      </c>
      <c r="L27" s="6" t="str">
        <f t="shared" si="8"/>
        <v/>
      </c>
      <c r="M27" s="110">
        <f>IF(D27="","",ABS(D27-G$5))</f>
        <v>3.0000000000000249</v>
      </c>
    </row>
    <row r="28" spans="2:13" s="107" customFormat="1" ht="12.75" customHeight="1" x14ac:dyDescent="0.4">
      <c r="B28" s="109">
        <v>43859</v>
      </c>
      <c r="C28" s="5">
        <v>2.94</v>
      </c>
      <c r="D28" s="7">
        <f t="shared" si="6"/>
        <v>-5.0000000000000266</v>
      </c>
      <c r="E28" s="5">
        <f t="shared" si="0"/>
        <v>0.49264853105034101</v>
      </c>
      <c r="F28" s="5">
        <f t="shared" si="1"/>
        <v>1.6862500000000074</v>
      </c>
      <c r="G28" s="5">
        <f t="shared" si="7"/>
        <v>1.0138312834769931</v>
      </c>
      <c r="H28" s="6" t="str">
        <f t="shared" si="2"/>
        <v/>
      </c>
      <c r="I28" s="6" t="str">
        <f t="shared" si="3"/>
        <v/>
      </c>
      <c r="J28" s="6" t="str">
        <f t="shared" si="4"/>
        <v/>
      </c>
      <c r="K28" s="6" t="str">
        <f t="shared" si="5"/>
        <v/>
      </c>
      <c r="L28" s="6" t="str">
        <f t="shared" si="8"/>
        <v/>
      </c>
      <c r="M28" s="110">
        <f>IF(D28="","",ABS(D28-G$5))</f>
        <v>5.0000000000000266</v>
      </c>
    </row>
    <row r="29" spans="2:13" s="107" customFormat="1" ht="12.75" customHeight="1" x14ac:dyDescent="0.4">
      <c r="B29" s="109">
        <v>43860</v>
      </c>
      <c r="C29" s="5">
        <v>2.93</v>
      </c>
      <c r="D29" s="7">
        <f t="shared" si="6"/>
        <v>-0.99999999999997868</v>
      </c>
      <c r="E29" s="5">
        <f t="shared" si="0"/>
        <v>0.11579972233777029</v>
      </c>
      <c r="F29" s="5">
        <f t="shared" si="1"/>
        <v>0.3372499999999925</v>
      </c>
      <c r="G29" s="5">
        <f t="shared" si="7"/>
        <v>0.25040838336612303</v>
      </c>
      <c r="H29" s="6" t="str">
        <f t="shared" si="2"/>
        <v/>
      </c>
      <c r="I29" s="6" t="str">
        <f t="shared" si="3"/>
        <v/>
      </c>
      <c r="J29" s="6" t="str">
        <f t="shared" si="4"/>
        <v/>
      </c>
      <c r="K29" s="6" t="str">
        <f t="shared" si="5"/>
        <v/>
      </c>
      <c r="L29" s="6" t="str">
        <f t="shared" si="8"/>
        <v/>
      </c>
      <c r="M29" s="110">
        <f>IF(D29="","",ABS(D29-G$5))</f>
        <v>0.99999999999997868</v>
      </c>
    </row>
    <row r="30" spans="2:13" s="107" customFormat="1" ht="12.75" customHeight="1" x14ac:dyDescent="0.4">
      <c r="B30" s="109">
        <v>43861</v>
      </c>
      <c r="C30" s="5">
        <v>2.93</v>
      </c>
      <c r="D30" s="7">
        <f t="shared" si="6"/>
        <v>0</v>
      </c>
      <c r="E30" s="5">
        <f t="shared" si="0"/>
        <v>2.1587520159630759E-2</v>
      </c>
      <c r="F30" s="5">
        <f t="shared" si="1"/>
        <v>0</v>
      </c>
      <c r="G30" s="5">
        <f t="shared" si="7"/>
        <v>4.9200586139041769E-2</v>
      </c>
      <c r="H30" s="6" t="str">
        <f t="shared" si="2"/>
        <v/>
      </c>
      <c r="I30" s="6" t="str">
        <f t="shared" si="3"/>
        <v/>
      </c>
      <c r="J30" s="6" t="str">
        <f t="shared" si="4"/>
        <v/>
      </c>
      <c r="K30" s="6" t="str">
        <f t="shared" si="5"/>
        <v/>
      </c>
      <c r="L30" s="6" t="str">
        <f t="shared" si="8"/>
        <v>STALE</v>
      </c>
      <c r="M30" s="110">
        <f>IF(D30="","",ABS(D30-G$5))</f>
        <v>0</v>
      </c>
    </row>
    <row r="31" spans="2:13" s="107" customFormat="1" ht="12.75" customHeight="1" x14ac:dyDescent="0.4">
      <c r="B31" s="109">
        <v>43864</v>
      </c>
      <c r="C31" s="5">
        <v>2.93</v>
      </c>
      <c r="D31" s="7">
        <f t="shared" si="6"/>
        <v>0</v>
      </c>
      <c r="E31" s="5">
        <f t="shared" si="0"/>
        <v>2.1587520159630759E-2</v>
      </c>
      <c r="F31" s="5">
        <f t="shared" si="1"/>
        <v>0</v>
      </c>
      <c r="G31" s="5">
        <f t="shared" si="7"/>
        <v>5.1854998314085916E-2</v>
      </c>
      <c r="H31" s="6" t="str">
        <f t="shared" si="2"/>
        <v/>
      </c>
      <c r="I31" s="6" t="str">
        <f t="shared" si="3"/>
        <v/>
      </c>
      <c r="J31" s="6" t="str">
        <f t="shared" si="4"/>
        <v/>
      </c>
      <c r="K31" s="6" t="str">
        <f t="shared" si="5"/>
        <v/>
      </c>
      <c r="L31" s="6" t="str">
        <f t="shared" si="8"/>
        <v>STALE</v>
      </c>
      <c r="M31" s="110">
        <f>IF(D31="","",ABS(D31-G$5))</f>
        <v>0</v>
      </c>
    </row>
    <row r="32" spans="2:13" s="107" customFormat="1" ht="12.75" customHeight="1" x14ac:dyDescent="0.4">
      <c r="B32" s="109">
        <v>43865</v>
      </c>
      <c r="C32" s="5">
        <v>2.9</v>
      </c>
      <c r="D32" s="7">
        <f t="shared" si="6"/>
        <v>-3.0000000000000249</v>
      </c>
      <c r="E32" s="5">
        <f t="shared" si="0"/>
        <v>0.30422412669405774</v>
      </c>
      <c r="F32" s="5">
        <f t="shared" si="1"/>
        <v>1.0117500000000075</v>
      </c>
      <c r="G32" s="5">
        <f t="shared" si="7"/>
        <v>0.74841647221310503</v>
      </c>
      <c r="H32" s="6" t="str">
        <f t="shared" si="2"/>
        <v/>
      </c>
      <c r="I32" s="6" t="str">
        <f t="shared" si="3"/>
        <v/>
      </c>
      <c r="J32" s="6" t="str">
        <f t="shared" si="4"/>
        <v/>
      </c>
      <c r="K32" s="6" t="str">
        <f t="shared" si="5"/>
        <v/>
      </c>
      <c r="L32" s="6" t="str">
        <f t="shared" si="8"/>
        <v/>
      </c>
      <c r="M32" s="110">
        <f>IF(D32="","",ABS(D32-G$5))</f>
        <v>3.0000000000000249</v>
      </c>
    </row>
    <row r="33" spans="2:13" s="107" customFormat="1" ht="12.75" customHeight="1" x14ac:dyDescent="0.4">
      <c r="B33" s="109">
        <v>43866</v>
      </c>
      <c r="C33" s="5">
        <v>2.92</v>
      </c>
      <c r="D33" s="7">
        <f t="shared" si="6"/>
        <v>2.0000000000000018</v>
      </c>
      <c r="E33" s="5">
        <f t="shared" si="0"/>
        <v>0.16683688419665252</v>
      </c>
      <c r="F33" s="5">
        <f t="shared" si="1"/>
        <v>0.67449999999999999</v>
      </c>
      <c r="G33" s="5">
        <f t="shared" si="7"/>
        <v>0.4286409705848151</v>
      </c>
      <c r="H33" s="6" t="str">
        <f t="shared" si="2"/>
        <v/>
      </c>
      <c r="I33" s="6" t="str">
        <f t="shared" si="3"/>
        <v/>
      </c>
      <c r="J33" s="6" t="str">
        <f t="shared" si="4"/>
        <v/>
      </c>
      <c r="K33" s="6" t="str">
        <f t="shared" si="5"/>
        <v/>
      </c>
      <c r="L33" s="6" t="str">
        <f t="shared" si="8"/>
        <v/>
      </c>
      <c r="M33" s="110">
        <f>IF(D33="","",ABS(D33-G$5))</f>
        <v>2.0000000000000018</v>
      </c>
    </row>
    <row r="34" spans="2:13" s="107" customFormat="1" ht="12.75" customHeight="1" x14ac:dyDescent="0.4">
      <c r="B34" s="109">
        <v>43867</v>
      </c>
      <c r="C34" s="5">
        <v>2.94</v>
      </c>
      <c r="D34" s="7">
        <f t="shared" si="6"/>
        <v>2.0000000000000018</v>
      </c>
      <c r="E34" s="5">
        <f t="shared" si="0"/>
        <v>0.16683688419665252</v>
      </c>
      <c r="F34" s="5">
        <f t="shared" si="1"/>
        <v>0.67449999999999999</v>
      </c>
      <c r="G34" s="5">
        <f t="shared" si="7"/>
        <v>0.44728471079314636</v>
      </c>
      <c r="H34" s="6" t="str">
        <f t="shared" si="2"/>
        <v/>
      </c>
      <c r="I34" s="6" t="str">
        <f t="shared" si="3"/>
        <v/>
      </c>
      <c r="J34" s="6" t="str">
        <f t="shared" si="4"/>
        <v/>
      </c>
      <c r="K34" s="6" t="str">
        <f t="shared" si="5"/>
        <v/>
      </c>
      <c r="L34" s="6" t="str">
        <f t="shared" si="8"/>
        <v/>
      </c>
      <c r="M34" s="110">
        <f>IF(D34="","",ABS(D34-G$5))</f>
        <v>2.0000000000000018</v>
      </c>
    </row>
    <row r="35" spans="2:13" s="107" customFormat="1" ht="12.75" customHeight="1" x14ac:dyDescent="0.4">
      <c r="B35" s="109">
        <v>43868</v>
      </c>
      <c r="C35" s="5">
        <v>2.95</v>
      </c>
      <c r="D35" s="7">
        <f t="shared" si="6"/>
        <v>1.0000000000000231</v>
      </c>
      <c r="E35" s="5">
        <f t="shared" si="0"/>
        <v>7.2624682018512965E-2</v>
      </c>
      <c r="F35" s="5">
        <f t="shared" si="1"/>
        <v>0.33725000000000749</v>
      </c>
      <c r="G35" s="5">
        <f t="shared" si="7"/>
        <v>0.2048057867106072</v>
      </c>
      <c r="H35" s="6" t="str">
        <f t="shared" si="2"/>
        <v/>
      </c>
      <c r="I35" s="6" t="str">
        <f t="shared" si="3"/>
        <v/>
      </c>
      <c r="J35" s="6" t="str">
        <f t="shared" si="4"/>
        <v/>
      </c>
      <c r="K35" s="6" t="str">
        <f t="shared" si="5"/>
        <v/>
      </c>
      <c r="L35" s="6" t="str">
        <f t="shared" si="8"/>
        <v/>
      </c>
      <c r="M35" s="110">
        <f>IF(D35="","",ABS(D35-G$5))</f>
        <v>1.0000000000000231</v>
      </c>
    </row>
    <row r="36" spans="2:13" s="107" customFormat="1" ht="12.75" customHeight="1" x14ac:dyDescent="0.4">
      <c r="B36" s="109">
        <v>43871</v>
      </c>
      <c r="C36" s="5">
        <v>2.94</v>
      </c>
      <c r="D36" s="7">
        <f t="shared" si="6"/>
        <v>-1.0000000000000231</v>
      </c>
      <c r="E36" s="5">
        <f t="shared" si="0"/>
        <v>0.11579972233777447</v>
      </c>
      <c r="F36" s="5">
        <f t="shared" si="1"/>
        <v>0.33725000000000749</v>
      </c>
      <c r="G36" s="5">
        <f t="shared" si="7"/>
        <v>0.34220499908211072</v>
      </c>
      <c r="H36" s="6" t="str">
        <f t="shared" si="2"/>
        <v/>
      </c>
      <c r="I36" s="6" t="str">
        <f t="shared" si="3"/>
        <v/>
      </c>
      <c r="J36" s="6" t="str">
        <f t="shared" si="4"/>
        <v/>
      </c>
      <c r="K36" s="6" t="str">
        <f t="shared" si="5"/>
        <v/>
      </c>
      <c r="L36" s="6" t="str">
        <f t="shared" si="8"/>
        <v/>
      </c>
      <c r="M36" s="110">
        <f>IF(D36="","",ABS(D36-G$5))</f>
        <v>1.0000000000000231</v>
      </c>
    </row>
    <row r="37" spans="2:13" s="107" customFormat="1" ht="12.75" customHeight="1" x14ac:dyDescent="0.4">
      <c r="B37" s="109">
        <v>43872</v>
      </c>
      <c r="C37" s="5">
        <v>2.93</v>
      </c>
      <c r="D37" s="7">
        <f t="shared" si="6"/>
        <v>-0.99999999999997868</v>
      </c>
      <c r="E37" s="5">
        <f t="shared" si="0"/>
        <v>0.11579972233777029</v>
      </c>
      <c r="F37" s="5">
        <f t="shared" si="1"/>
        <v>0.3372499999999925</v>
      </c>
      <c r="G37" s="5">
        <f t="shared" si="7"/>
        <v>0.35839165517202365</v>
      </c>
      <c r="H37" s="6" t="str">
        <f t="shared" si="2"/>
        <v/>
      </c>
      <c r="I37" s="6" t="str">
        <f t="shared" si="3"/>
        <v/>
      </c>
      <c r="J37" s="6" t="str">
        <f t="shared" si="4"/>
        <v/>
      </c>
      <c r="K37" s="6" t="str">
        <f t="shared" si="5"/>
        <v/>
      </c>
      <c r="L37" s="6" t="str">
        <f t="shared" si="8"/>
        <v/>
      </c>
      <c r="M37" s="110">
        <f>IF(D37="","",ABS(D37-G$5))</f>
        <v>0.99999999999997868</v>
      </c>
    </row>
    <row r="38" spans="2:13" s="107" customFormat="1" ht="12.75" customHeight="1" x14ac:dyDescent="0.4">
      <c r="B38" s="109">
        <v>43873</v>
      </c>
      <c r="C38" s="5">
        <v>2.92</v>
      </c>
      <c r="D38" s="7">
        <f t="shared" si="6"/>
        <v>-1.0000000000000231</v>
      </c>
      <c r="E38" s="5">
        <f t="shared" si="0"/>
        <v>0.11579972233777447</v>
      </c>
      <c r="F38" s="5">
        <f t="shared" si="1"/>
        <v>0.33725000000000749</v>
      </c>
      <c r="G38" s="5">
        <f t="shared" si="7"/>
        <v>0.37511073871628009</v>
      </c>
      <c r="H38" s="6" t="str">
        <f t="shared" si="2"/>
        <v/>
      </c>
      <c r="I38" s="6" t="str">
        <f t="shared" si="3"/>
        <v/>
      </c>
      <c r="J38" s="6" t="str">
        <f t="shared" si="4"/>
        <v/>
      </c>
      <c r="K38" s="6" t="str">
        <f t="shared" si="5"/>
        <v/>
      </c>
      <c r="L38" s="6" t="str">
        <f t="shared" si="8"/>
        <v/>
      </c>
      <c r="M38" s="110">
        <f>IF(D38="","",ABS(D38-G$5))</f>
        <v>1.0000000000000231</v>
      </c>
    </row>
    <row r="39" spans="2:13" s="107" customFormat="1" ht="12.75" customHeight="1" x14ac:dyDescent="0.4">
      <c r="B39" s="109">
        <v>43874</v>
      </c>
      <c r="C39" s="5">
        <v>2.91</v>
      </c>
      <c r="D39" s="7">
        <f t="shared" si="6"/>
        <v>-0.99999999999997868</v>
      </c>
      <c r="E39" s="5">
        <f t="shared" si="0"/>
        <v>0.11579972233777029</v>
      </c>
      <c r="F39" s="5">
        <f t="shared" si="1"/>
        <v>0.3372499999999925</v>
      </c>
      <c r="G39" s="5">
        <f t="shared" si="7"/>
        <v>0.39234631499973532</v>
      </c>
      <c r="H39" s="6" t="str">
        <f t="shared" si="2"/>
        <v/>
      </c>
      <c r="I39" s="6" t="str">
        <f t="shared" si="3"/>
        <v/>
      </c>
      <c r="J39" s="6" t="str">
        <f t="shared" si="4"/>
        <v/>
      </c>
      <c r="K39" s="6" t="str">
        <f t="shared" si="5"/>
        <v/>
      </c>
      <c r="L39" s="6" t="str">
        <f t="shared" si="8"/>
        <v/>
      </c>
      <c r="M39" s="110">
        <f>IF(D39="","",ABS(D39-G$5))</f>
        <v>0.99999999999997868</v>
      </c>
    </row>
    <row r="40" spans="2:13" s="107" customFormat="1" ht="12.75" customHeight="1" x14ac:dyDescent="0.4">
      <c r="B40" s="109">
        <v>43875</v>
      </c>
      <c r="C40" s="5">
        <v>2.91</v>
      </c>
      <c r="D40" s="7">
        <f t="shared" si="6"/>
        <v>0</v>
      </c>
      <c r="E40" s="5">
        <f t="shared" si="0"/>
        <v>2.1587520159630759E-2</v>
      </c>
      <c r="F40" s="5">
        <f t="shared" si="1"/>
        <v>0</v>
      </c>
      <c r="G40" s="5">
        <f t="shared" si="7"/>
        <v>7.7075175964681678E-2</v>
      </c>
      <c r="H40" s="6" t="str">
        <f t="shared" si="2"/>
        <v/>
      </c>
      <c r="I40" s="6" t="str">
        <f t="shared" si="3"/>
        <v/>
      </c>
      <c r="J40" s="6" t="str">
        <f t="shared" si="4"/>
        <v/>
      </c>
      <c r="K40" s="6" t="str">
        <f t="shared" si="5"/>
        <v/>
      </c>
      <c r="L40" s="6" t="str">
        <f t="shared" si="8"/>
        <v>STALE</v>
      </c>
      <c r="M40" s="110">
        <f>IF(D40="","",ABS(D40-G$5))</f>
        <v>0</v>
      </c>
    </row>
    <row r="41" spans="2:13" s="107" customFormat="1" ht="12.75" customHeight="1" x14ac:dyDescent="0.4">
      <c r="B41" s="109">
        <v>43879</v>
      </c>
      <c r="C41" s="5">
        <v>2.96</v>
      </c>
      <c r="D41" s="7">
        <f t="shared" si="6"/>
        <v>4.9999999999999822</v>
      </c>
      <c r="E41" s="5">
        <f t="shared" si="0"/>
        <v>0.44947349073107523</v>
      </c>
      <c r="F41" s="5">
        <f t="shared" si="1"/>
        <v>1.6862499999999925</v>
      </c>
      <c r="G41" s="5">
        <f t="shared" si="7"/>
        <v>1.4915894147796176</v>
      </c>
      <c r="H41" s="6" t="str">
        <f t="shared" si="2"/>
        <v/>
      </c>
      <c r="I41" s="6" t="str">
        <f t="shared" si="3"/>
        <v/>
      </c>
      <c r="J41" s="6" t="str">
        <f t="shared" si="4"/>
        <v/>
      </c>
      <c r="K41" s="6" t="str">
        <f t="shared" si="5"/>
        <v/>
      </c>
      <c r="L41" s="6" t="str">
        <f t="shared" si="8"/>
        <v/>
      </c>
      <c r="M41" s="110">
        <f>IF(D41="","",ABS(D41-G$5))</f>
        <v>4.9999999999999822</v>
      </c>
    </row>
    <row r="42" spans="2:13" s="107" customFormat="1" ht="12.75" customHeight="1" x14ac:dyDescent="0.4">
      <c r="B42" s="109">
        <v>43880</v>
      </c>
      <c r="C42" s="5">
        <v>2.95</v>
      </c>
      <c r="D42" s="7">
        <f t="shared" si="6"/>
        <v>-0.99999999999997868</v>
      </c>
      <c r="E42" s="5">
        <f t="shared" si="0"/>
        <v>0.11579972233777029</v>
      </c>
      <c r="F42" s="5">
        <f t="shared" si="1"/>
        <v>0.3372499999999925</v>
      </c>
      <c r="G42" s="5">
        <f t="shared" si="7"/>
        <v>0.40178838414761553</v>
      </c>
      <c r="H42" s="6" t="str">
        <f t="shared" si="2"/>
        <v/>
      </c>
      <c r="I42" s="6" t="str">
        <f t="shared" si="3"/>
        <v/>
      </c>
      <c r="J42" s="6" t="str">
        <f t="shared" si="4"/>
        <v/>
      </c>
      <c r="K42" s="6" t="str">
        <f t="shared" si="5"/>
        <v/>
      </c>
      <c r="L42" s="6" t="str">
        <f t="shared" si="8"/>
        <v/>
      </c>
      <c r="M42" s="110">
        <f>IF(D42="","",ABS(D42-G$5))</f>
        <v>0.99999999999997868</v>
      </c>
    </row>
    <row r="43" spans="2:13" s="107" customFormat="1" ht="12.75" customHeight="1" x14ac:dyDescent="0.4">
      <c r="B43" s="109">
        <v>43881</v>
      </c>
      <c r="C43" s="5">
        <v>2.96</v>
      </c>
      <c r="D43" s="7">
        <f t="shared" si="6"/>
        <v>0.99999999999997868</v>
      </c>
      <c r="E43" s="5">
        <f t="shared" si="0"/>
        <v>7.2624682018508774E-2</v>
      </c>
      <c r="F43" s="5">
        <f t="shared" si="1"/>
        <v>0.3372499999999925</v>
      </c>
      <c r="G43" s="5">
        <f t="shared" si="7"/>
        <v>0.26468310618458546</v>
      </c>
      <c r="H43" s="6" t="str">
        <f t="shared" si="2"/>
        <v/>
      </c>
      <c r="I43" s="6" t="str">
        <f t="shared" si="3"/>
        <v/>
      </c>
      <c r="J43" s="6" t="str">
        <f t="shared" si="4"/>
        <v/>
      </c>
      <c r="K43" s="6" t="str">
        <f t="shared" si="5"/>
        <v/>
      </c>
      <c r="L43" s="6" t="str">
        <f t="shared" si="8"/>
        <v/>
      </c>
      <c r="M43" s="110">
        <f>IF(D43="","",ABS(D43-G$5))</f>
        <v>0.99999999999997868</v>
      </c>
    </row>
    <row r="44" spans="2:13" s="107" customFormat="1" ht="12.75" customHeight="1" x14ac:dyDescent="0.4">
      <c r="B44" s="109">
        <v>43882</v>
      </c>
      <c r="C44" s="5">
        <v>3.01</v>
      </c>
      <c r="D44" s="7">
        <f t="shared" si="6"/>
        <v>4.9999999999999822</v>
      </c>
      <c r="E44" s="5">
        <f t="shared" si="0"/>
        <v>0.44947349073107523</v>
      </c>
      <c r="F44" s="5">
        <f t="shared" si="1"/>
        <v>1.6862499999999925</v>
      </c>
      <c r="G44" s="5">
        <f t="shared" si="7"/>
        <v>1.5155164977290712</v>
      </c>
      <c r="H44" s="6" t="str">
        <f t="shared" si="2"/>
        <v/>
      </c>
      <c r="I44" s="6" t="str">
        <f t="shared" si="3"/>
        <v/>
      </c>
      <c r="J44" s="6" t="str">
        <f t="shared" si="4"/>
        <v/>
      </c>
      <c r="K44" s="6" t="str">
        <f t="shared" si="5"/>
        <v/>
      </c>
      <c r="L44" s="6" t="str">
        <f t="shared" si="8"/>
        <v/>
      </c>
      <c r="M44" s="110">
        <f>IF(D44="","",ABS(D44-G$5))</f>
        <v>4.9999999999999822</v>
      </c>
    </row>
    <row r="45" spans="2:13" s="107" customFormat="1" ht="12.75" customHeight="1" x14ac:dyDescent="0.4">
      <c r="B45" s="109">
        <v>43885</v>
      </c>
      <c r="C45" s="5">
        <v>3.14</v>
      </c>
      <c r="D45" s="7">
        <f t="shared" si="6"/>
        <v>13.000000000000034</v>
      </c>
      <c r="E45" s="5">
        <f t="shared" si="0"/>
        <v>1.2031711081562126</v>
      </c>
      <c r="F45" s="5">
        <f t="shared" si="1"/>
        <v>4.3842500000000078</v>
      </c>
      <c r="G45" s="5">
        <f t="shared" si="7"/>
        <v>2.5425808976177522</v>
      </c>
      <c r="H45" s="6" t="str">
        <f t="shared" si="2"/>
        <v/>
      </c>
      <c r="I45" s="6" t="str">
        <f t="shared" si="3"/>
        <v>OUTLIER</v>
      </c>
      <c r="J45" s="6" t="str">
        <f t="shared" si="4"/>
        <v/>
      </c>
      <c r="K45" s="6" t="str">
        <f t="shared" si="5"/>
        <v/>
      </c>
      <c r="L45" s="6" t="str">
        <f t="shared" si="8"/>
        <v/>
      </c>
      <c r="M45" s="110">
        <f>IF(D45="","",ABS(D45-G$5))</f>
        <v>13.000000000000034</v>
      </c>
    </row>
    <row r="46" spans="2:13" s="107" customFormat="1" ht="12.75" customHeight="1" x14ac:dyDescent="0.4">
      <c r="B46" s="109">
        <v>43886</v>
      </c>
      <c r="C46" s="5">
        <v>3.28</v>
      </c>
      <c r="D46" s="7">
        <f t="shared" si="6"/>
        <v>13.999999999999968</v>
      </c>
      <c r="E46" s="5">
        <f t="shared" si="0"/>
        <v>1.297383310334348</v>
      </c>
      <c r="F46" s="5">
        <f t="shared" si="1"/>
        <v>4.7214999999999847</v>
      </c>
      <c r="G46" s="5">
        <f t="shared" si="7"/>
        <v>2.1333057484253324</v>
      </c>
      <c r="H46" s="6" t="str">
        <f t="shared" si="2"/>
        <v/>
      </c>
      <c r="I46" s="6" t="str">
        <f t="shared" si="3"/>
        <v>OUTLIER</v>
      </c>
      <c r="J46" s="6" t="str">
        <f t="shared" si="4"/>
        <v/>
      </c>
      <c r="K46" s="6" t="str">
        <f t="shared" si="5"/>
        <v/>
      </c>
      <c r="L46" s="6" t="str">
        <f t="shared" si="8"/>
        <v/>
      </c>
      <c r="M46" s="110">
        <f>IF(D46="","",ABS(D46-G$5))</f>
        <v>13.999999999999968</v>
      </c>
    </row>
    <row r="47" spans="2:13" s="107" customFormat="1" ht="12.75" customHeight="1" x14ac:dyDescent="0.4">
      <c r="B47" s="109">
        <v>43887</v>
      </c>
      <c r="C47" s="5">
        <v>3.37</v>
      </c>
      <c r="D47" s="7">
        <f t="shared" si="6"/>
        <v>9.0000000000000302</v>
      </c>
      <c r="E47" s="5">
        <f t="shared" si="0"/>
        <v>0.82632229944364599</v>
      </c>
      <c r="F47" s="5">
        <f t="shared" si="1"/>
        <v>3.0352500000000076</v>
      </c>
      <c r="G47" s="5">
        <f t="shared" si="7"/>
        <v>1.3046569563450434</v>
      </c>
      <c r="H47" s="6" t="str">
        <f t="shared" si="2"/>
        <v/>
      </c>
      <c r="I47" s="6" t="str">
        <f t="shared" si="3"/>
        <v>OUTLIER</v>
      </c>
      <c r="J47" s="6" t="str">
        <f t="shared" si="4"/>
        <v/>
      </c>
      <c r="K47" s="6" t="str">
        <f t="shared" si="5"/>
        <v/>
      </c>
      <c r="L47" s="6" t="str">
        <f t="shared" si="8"/>
        <v/>
      </c>
      <c r="M47" s="110">
        <f>IF(D47="","",ABS(D47-G$5))</f>
        <v>9.0000000000000302</v>
      </c>
    </row>
    <row r="48" spans="2:13" s="107" customFormat="1" ht="12.75" customHeight="1" x14ac:dyDescent="0.4">
      <c r="B48" s="109">
        <v>43888</v>
      </c>
      <c r="C48" s="5">
        <v>3.6</v>
      </c>
      <c r="D48" s="7">
        <f t="shared" si="6"/>
        <v>23</v>
      </c>
      <c r="E48" s="5">
        <f t="shared" si="0"/>
        <v>2.1452931299376248</v>
      </c>
      <c r="F48" s="5">
        <f t="shared" si="1"/>
        <v>7.7567499999999932</v>
      </c>
      <c r="G48" s="5">
        <f t="shared" si="7"/>
        <v>2.3672578119313159</v>
      </c>
      <c r="H48" s="6" t="str">
        <f t="shared" si="2"/>
        <v/>
      </c>
      <c r="I48" s="6" t="str">
        <f t="shared" si="3"/>
        <v>OUTLIER</v>
      </c>
      <c r="J48" s="6" t="str">
        <f t="shared" si="4"/>
        <v/>
      </c>
      <c r="K48" s="6" t="str">
        <f t="shared" si="5"/>
        <v/>
      </c>
      <c r="L48" s="6" t="str">
        <f t="shared" si="8"/>
        <v/>
      </c>
      <c r="M48" s="110">
        <f>IF(D48="","",ABS(D48-G$5))</f>
        <v>23</v>
      </c>
    </row>
    <row r="49" spans="2:13" s="107" customFormat="1" ht="12.75" customHeight="1" x14ac:dyDescent="0.4">
      <c r="B49" s="109">
        <v>43889</v>
      </c>
      <c r="C49" s="5">
        <v>3.68</v>
      </c>
      <c r="D49" s="7">
        <f t="shared" si="6"/>
        <v>8.0000000000000071</v>
      </c>
      <c r="E49" s="5">
        <f t="shared" si="0"/>
        <v>0.73211009726550225</v>
      </c>
      <c r="F49" s="5">
        <f t="shared" si="1"/>
        <v>2.698</v>
      </c>
      <c r="G49" s="5">
        <f t="shared" si="7"/>
        <v>0.82226605500121819</v>
      </c>
      <c r="H49" s="6" t="str">
        <f t="shared" si="2"/>
        <v/>
      </c>
      <c r="I49" s="6" t="str">
        <f t="shared" si="3"/>
        <v/>
      </c>
      <c r="J49" s="6" t="str">
        <f t="shared" si="4"/>
        <v/>
      </c>
      <c r="K49" s="6" t="str">
        <f t="shared" si="5"/>
        <v/>
      </c>
      <c r="L49" s="6" t="str">
        <f t="shared" si="8"/>
        <v/>
      </c>
      <c r="M49" s="110">
        <f>IF(D49="","",ABS(D49-G$5))</f>
        <v>8.0000000000000071</v>
      </c>
    </row>
    <row r="50" spans="2:13" s="107" customFormat="1" ht="12.75" customHeight="1" x14ac:dyDescent="0.4">
      <c r="B50" s="109">
        <v>43892</v>
      </c>
      <c r="C50" s="5">
        <v>3.37</v>
      </c>
      <c r="D50" s="7">
        <f t="shared" si="6"/>
        <v>-31.000000000000007</v>
      </c>
      <c r="E50" s="5">
        <f t="shared" si="0"/>
        <v>2.9421657876820193</v>
      </c>
      <c r="F50" s="5">
        <f t="shared" si="1"/>
        <v>10.454749999999994</v>
      </c>
      <c r="G50" s="5">
        <f t="shared" si="7"/>
        <v>2.3413316799469643</v>
      </c>
      <c r="H50" s="6" t="str">
        <f t="shared" si="2"/>
        <v/>
      </c>
      <c r="I50" s="6" t="str">
        <f t="shared" si="3"/>
        <v>OUTLIER</v>
      </c>
      <c r="J50" s="6" t="str">
        <f t="shared" si="4"/>
        <v/>
      </c>
      <c r="K50" s="6" t="str">
        <f t="shared" si="5"/>
        <v/>
      </c>
      <c r="L50" s="6" t="str">
        <f t="shared" si="8"/>
        <v/>
      </c>
      <c r="M50" s="110">
        <f>IF(D50="","",ABS(D50-G$5))</f>
        <v>31.000000000000007</v>
      </c>
    </row>
    <row r="51" spans="2:13" s="107" customFormat="1" ht="12.75" customHeight="1" x14ac:dyDescent="0.4">
      <c r="B51" s="109">
        <v>43893</v>
      </c>
      <c r="C51" s="5">
        <v>3.65</v>
      </c>
      <c r="D51" s="7">
        <f t="shared" si="6"/>
        <v>27.999999999999979</v>
      </c>
      <c r="E51" s="5">
        <f t="shared" si="0"/>
        <v>2.6163541408283302</v>
      </c>
      <c r="F51" s="5">
        <f t="shared" si="1"/>
        <v>9.4429999999999836</v>
      </c>
      <c r="G51" s="5">
        <f t="shared" si="7"/>
        <v>1.803003380817926</v>
      </c>
      <c r="H51" s="6" t="str">
        <f t="shared" si="2"/>
        <v/>
      </c>
      <c r="I51" s="6" t="str">
        <f t="shared" si="3"/>
        <v>OUTLIER</v>
      </c>
      <c r="J51" s="6" t="str">
        <f t="shared" si="4"/>
        <v/>
      </c>
      <c r="K51" s="6" t="str">
        <f t="shared" si="5"/>
        <v/>
      </c>
      <c r="L51" s="6" t="str">
        <f t="shared" si="8"/>
        <v/>
      </c>
      <c r="M51" s="110">
        <f>IF(D51="","",ABS(D51-G$5))</f>
        <v>27.999999999999979</v>
      </c>
    </row>
    <row r="52" spans="2:13" s="107" customFormat="1" ht="12.75" customHeight="1" x14ac:dyDescent="0.4">
      <c r="B52" s="109">
        <v>43894</v>
      </c>
      <c r="C52" s="5">
        <v>3.44</v>
      </c>
      <c r="D52" s="7">
        <f t="shared" si="6"/>
        <v>-20.999999999999996</v>
      </c>
      <c r="E52" s="5">
        <f t="shared" si="0"/>
        <v>2.0000437659006032</v>
      </c>
      <c r="F52" s="5">
        <f t="shared" si="1"/>
        <v>7.0822499999999922</v>
      </c>
      <c r="G52" s="5">
        <f t="shared" si="7"/>
        <v>1.320178824390404</v>
      </c>
      <c r="H52" s="6" t="str">
        <f t="shared" si="2"/>
        <v/>
      </c>
      <c r="I52" s="6" t="str">
        <f t="shared" si="3"/>
        <v>OUTLIER</v>
      </c>
      <c r="J52" s="6" t="str">
        <f t="shared" si="4"/>
        <v/>
      </c>
      <c r="K52" s="6" t="str">
        <f t="shared" si="5"/>
        <v/>
      </c>
      <c r="L52" s="6" t="str">
        <f t="shared" si="8"/>
        <v/>
      </c>
      <c r="M52" s="110">
        <f>IF(D52="","",ABS(D52-G$5))</f>
        <v>20.999999999999996</v>
      </c>
    </row>
    <row r="53" spans="2:13" s="107" customFormat="1" ht="12.75" customHeight="1" x14ac:dyDescent="0.4">
      <c r="B53" s="109">
        <v>43895</v>
      </c>
      <c r="C53" s="5">
        <v>3.64</v>
      </c>
      <c r="D53" s="7">
        <f t="shared" si="6"/>
        <v>20.000000000000018</v>
      </c>
      <c r="E53" s="5">
        <f t="shared" si="0"/>
        <v>1.8626565234032018</v>
      </c>
      <c r="F53" s="5">
        <f t="shared" si="1"/>
        <v>6.7450000000000001</v>
      </c>
      <c r="G53" s="5">
        <f t="shared" si="7"/>
        <v>1.1991970044843414</v>
      </c>
      <c r="H53" s="6" t="str">
        <f t="shared" si="2"/>
        <v/>
      </c>
      <c r="I53" s="6" t="str">
        <f t="shared" si="3"/>
        <v>OUTLIER</v>
      </c>
      <c r="J53" s="6" t="str">
        <f t="shared" si="4"/>
        <v/>
      </c>
      <c r="K53" s="6" t="str">
        <f t="shared" si="5"/>
        <v/>
      </c>
      <c r="L53" s="6" t="str">
        <f t="shared" si="8"/>
        <v/>
      </c>
      <c r="M53" s="110">
        <f>IF(D53="","",ABS(D53-G$5))</f>
        <v>20.000000000000018</v>
      </c>
    </row>
    <row r="54" spans="2:13" s="107" customFormat="1" ht="12.75" customHeight="1" x14ac:dyDescent="0.4">
      <c r="B54" s="109">
        <v>43896</v>
      </c>
      <c r="C54" s="5">
        <v>3.96</v>
      </c>
      <c r="D54" s="7">
        <f t="shared" si="6"/>
        <v>31.999999999999986</v>
      </c>
      <c r="E54" s="5">
        <f t="shared" si="0"/>
        <v>2.9932029495408972</v>
      </c>
      <c r="F54" s="5">
        <f t="shared" si="1"/>
        <v>10.791999999999986</v>
      </c>
      <c r="G54" s="5">
        <f t="shared" si="7"/>
        <v>1.7090733935998417</v>
      </c>
      <c r="H54" s="6" t="str">
        <f t="shared" si="2"/>
        <v/>
      </c>
      <c r="I54" s="6" t="str">
        <f t="shared" si="3"/>
        <v>OUTLIER</v>
      </c>
      <c r="J54" s="6" t="str">
        <f t="shared" si="4"/>
        <v/>
      </c>
      <c r="K54" s="6" t="str">
        <f t="shared" si="5"/>
        <v/>
      </c>
      <c r="L54" s="6" t="str">
        <f t="shared" si="8"/>
        <v/>
      </c>
      <c r="M54" s="110">
        <f>IF(D54="","",ABS(D54-G$5))</f>
        <v>31.999999999999986</v>
      </c>
    </row>
    <row r="55" spans="2:13" s="107" customFormat="1" ht="12.75" customHeight="1" x14ac:dyDescent="0.4">
      <c r="B55" s="109">
        <v>43899</v>
      </c>
      <c r="C55" s="5">
        <v>4.55</v>
      </c>
      <c r="D55" s="7">
        <f t="shared" si="6"/>
        <v>58.999999999999986</v>
      </c>
      <c r="E55" s="5">
        <f t="shared" si="0"/>
        <v>5.5369324083507196</v>
      </c>
      <c r="F55" s="5">
        <f t="shared" si="1"/>
        <v>19.897749999999977</v>
      </c>
      <c r="G55" s="5">
        <f t="shared" si="7"/>
        <v>2.2938915093156633</v>
      </c>
      <c r="H55" s="6" t="str">
        <f t="shared" si="2"/>
        <v>OUTLIER</v>
      </c>
      <c r="I55" s="6" t="str">
        <f t="shared" si="3"/>
        <v>OUTLIER</v>
      </c>
      <c r="J55" s="6" t="str">
        <f t="shared" si="4"/>
        <v/>
      </c>
      <c r="K55" s="6" t="str">
        <f t="shared" si="5"/>
        <v/>
      </c>
      <c r="L55" s="6" t="str">
        <f t="shared" si="8"/>
        <v/>
      </c>
      <c r="M55" s="110">
        <f>IF(D55="","",ABS(D55-G$5))</f>
        <v>58.999999999999986</v>
      </c>
    </row>
    <row r="56" spans="2:13" s="107" customFormat="1" ht="12.75" customHeight="1" x14ac:dyDescent="0.4">
      <c r="B56" s="109">
        <v>43900</v>
      </c>
      <c r="C56" s="5">
        <v>4.34</v>
      </c>
      <c r="D56" s="7">
        <f t="shared" si="6"/>
        <v>-20.999999999999996</v>
      </c>
      <c r="E56" s="5">
        <f t="shared" si="0"/>
        <v>2.0000437659006032</v>
      </c>
      <c r="F56" s="5">
        <f t="shared" si="1"/>
        <v>7.0822499999999922</v>
      </c>
      <c r="G56" s="5">
        <f t="shared" si="7"/>
        <v>0.84189530599446782</v>
      </c>
      <c r="H56" s="6" t="str">
        <f t="shared" si="2"/>
        <v/>
      </c>
      <c r="I56" s="6" t="str">
        <f t="shared" si="3"/>
        <v>OUTLIER</v>
      </c>
      <c r="J56" s="6" t="str">
        <f t="shared" si="4"/>
        <v/>
      </c>
      <c r="K56" s="6" t="str">
        <f t="shared" si="5"/>
        <v/>
      </c>
      <c r="L56" s="6" t="str">
        <f t="shared" si="8"/>
        <v/>
      </c>
      <c r="M56" s="110">
        <f>IF(D56="","",ABS(D56-G$5))</f>
        <v>20.999999999999996</v>
      </c>
    </row>
    <row r="57" spans="2:13" s="107" customFormat="1" ht="12.75" customHeight="1" x14ac:dyDescent="0.4">
      <c r="B57" s="109">
        <v>43901</v>
      </c>
      <c r="C57" s="5">
        <v>4.78</v>
      </c>
      <c r="D57" s="7">
        <f t="shared" si="6"/>
        <v>44.000000000000043</v>
      </c>
      <c r="E57" s="5">
        <f t="shared" si="0"/>
        <v>4.1237493756786012</v>
      </c>
      <c r="F57" s="5">
        <f t="shared" si="1"/>
        <v>14.839</v>
      </c>
      <c r="G57" s="5">
        <f t="shared" si="7"/>
        <v>1.5837341536088838</v>
      </c>
      <c r="H57" s="6" t="str">
        <f t="shared" si="2"/>
        <v>OUTLIER</v>
      </c>
      <c r="I57" s="6" t="str">
        <f t="shared" si="3"/>
        <v>OUTLIER</v>
      </c>
      <c r="J57" s="6" t="str">
        <f t="shared" si="4"/>
        <v/>
      </c>
      <c r="K57" s="6" t="str">
        <f t="shared" si="5"/>
        <v/>
      </c>
      <c r="L57" s="6" t="str">
        <f t="shared" si="8"/>
        <v/>
      </c>
      <c r="M57" s="110">
        <f>IF(D57="","",ABS(D57-G$5))</f>
        <v>44.000000000000043</v>
      </c>
    </row>
    <row r="58" spans="2:13" s="107" customFormat="1" ht="12.75" customHeight="1" x14ac:dyDescent="0.4">
      <c r="B58" s="109">
        <v>43902</v>
      </c>
      <c r="C58" s="5">
        <v>5.54</v>
      </c>
      <c r="D58" s="7">
        <f t="shared" si="6"/>
        <v>75.999999999999972</v>
      </c>
      <c r="E58" s="5">
        <f t="shared" si="0"/>
        <v>7.1385398453791238</v>
      </c>
      <c r="F58" s="5">
        <f t="shared" si="1"/>
        <v>25.630999999999968</v>
      </c>
      <c r="G58" s="5">
        <f t="shared" si="7"/>
        <v>2.1332621611499136</v>
      </c>
      <c r="H58" s="6" t="str">
        <f t="shared" si="2"/>
        <v>OUTLIER</v>
      </c>
      <c r="I58" s="6" t="str">
        <f t="shared" si="3"/>
        <v>OUTLIER</v>
      </c>
      <c r="J58" s="6" t="str">
        <f t="shared" si="4"/>
        <v/>
      </c>
      <c r="K58" s="6" t="str">
        <f t="shared" si="5"/>
        <v/>
      </c>
      <c r="L58" s="6" t="str">
        <f t="shared" si="8"/>
        <v/>
      </c>
      <c r="M58" s="110">
        <f>IF(D58="","",ABS(D58-G$5))</f>
        <v>75.999999999999972</v>
      </c>
    </row>
    <row r="59" spans="2:13" s="107" customFormat="1" ht="12.75" customHeight="1" x14ac:dyDescent="0.4">
      <c r="B59" s="109">
        <v>43903</v>
      </c>
      <c r="C59" s="5">
        <v>5.4</v>
      </c>
      <c r="D59" s="7">
        <f t="shared" si="6"/>
        <v>-13.999999999999968</v>
      </c>
      <c r="E59" s="5">
        <f t="shared" si="0"/>
        <v>1.3405583506536094</v>
      </c>
      <c r="F59" s="5">
        <f t="shared" si="1"/>
        <v>4.7214999999999847</v>
      </c>
      <c r="G59" s="5">
        <f t="shared" si="7"/>
        <v>0.41856342106619115</v>
      </c>
      <c r="H59" s="6" t="str">
        <f t="shared" si="2"/>
        <v/>
      </c>
      <c r="I59" s="6" t="str">
        <f t="shared" si="3"/>
        <v>OUTLIER</v>
      </c>
      <c r="J59" s="6" t="str">
        <f t="shared" si="4"/>
        <v/>
      </c>
      <c r="K59" s="6" t="str">
        <f t="shared" si="5"/>
        <v/>
      </c>
      <c r="L59" s="6" t="str">
        <f t="shared" si="8"/>
        <v/>
      </c>
      <c r="M59" s="110">
        <f>IF(D59="","",ABS(D59-G$5))</f>
        <v>13.999999999999968</v>
      </c>
    </row>
    <row r="60" spans="2:13" s="107" customFormat="1" ht="12.75" customHeight="1" x14ac:dyDescent="0.4">
      <c r="B60" s="109">
        <v>43906</v>
      </c>
      <c r="C60" s="5">
        <v>6.08</v>
      </c>
      <c r="D60" s="7">
        <f t="shared" si="6"/>
        <v>67.999999999999972</v>
      </c>
      <c r="E60" s="5">
        <f t="shared" si="0"/>
        <v>6.3848422279539907</v>
      </c>
      <c r="F60" s="5">
        <f t="shared" si="1"/>
        <v>22.932999999999968</v>
      </c>
      <c r="G60" s="5">
        <f t="shared" si="7"/>
        <v>1.7501898548177719</v>
      </c>
      <c r="H60" s="6" t="str">
        <f t="shared" si="2"/>
        <v>OUTLIER</v>
      </c>
      <c r="I60" s="6" t="str">
        <f t="shared" si="3"/>
        <v>OUTLIER</v>
      </c>
      <c r="J60" s="6" t="str">
        <f t="shared" si="4"/>
        <v/>
      </c>
      <c r="K60" s="6" t="str">
        <f t="shared" si="5"/>
        <v/>
      </c>
      <c r="L60" s="6" t="str">
        <f t="shared" si="8"/>
        <v/>
      </c>
      <c r="M60" s="110">
        <f>IF(D60="","",ABS(D60-G$5))</f>
        <v>67.999999999999972</v>
      </c>
    </row>
    <row r="61" spans="2:13" s="107" customFormat="1" ht="12.75" customHeight="1" x14ac:dyDescent="0.4">
      <c r="B61" s="109">
        <v>43907</v>
      </c>
      <c r="C61" s="5">
        <v>5.72</v>
      </c>
      <c r="D61" s="7">
        <f t="shared" si="6"/>
        <v>-36.000000000000028</v>
      </c>
      <c r="E61" s="5">
        <f t="shared" si="0"/>
        <v>3.4132267985727287</v>
      </c>
      <c r="F61" s="5">
        <f t="shared" si="1"/>
        <v>12.140999999999998</v>
      </c>
      <c r="G61" s="5">
        <f t="shared" si="7"/>
        <v>0.941505949194549</v>
      </c>
      <c r="H61" s="6" t="str">
        <f t="shared" si="2"/>
        <v>OUTLIER</v>
      </c>
      <c r="I61" s="6" t="str">
        <f t="shared" si="3"/>
        <v>OUTLIER</v>
      </c>
      <c r="J61" s="6" t="str">
        <f t="shared" si="4"/>
        <v/>
      </c>
      <c r="K61" s="6" t="str">
        <f t="shared" si="5"/>
        <v/>
      </c>
      <c r="L61" s="6" t="str">
        <f t="shared" si="8"/>
        <v/>
      </c>
      <c r="M61" s="110">
        <f>IF(D61="","",ABS(D61-G$5))</f>
        <v>36.000000000000028</v>
      </c>
    </row>
    <row r="62" spans="2:13" s="107" customFormat="1" ht="12.75" customHeight="1" x14ac:dyDescent="0.4">
      <c r="B62" s="109">
        <v>43908</v>
      </c>
      <c r="C62" s="5">
        <v>6.57</v>
      </c>
      <c r="D62" s="7">
        <f t="shared" si="6"/>
        <v>85.000000000000057</v>
      </c>
      <c r="E62" s="5">
        <f t="shared" si="0"/>
        <v>7.9864496649824055</v>
      </c>
      <c r="F62" s="5">
        <f t="shared" si="1"/>
        <v>28.666249999999994</v>
      </c>
      <c r="G62" s="5">
        <f t="shared" si="7"/>
        <v>1.8717053174274125</v>
      </c>
      <c r="H62" s="6" t="str">
        <f t="shared" si="2"/>
        <v>OUTLIER</v>
      </c>
      <c r="I62" s="6" t="str">
        <f t="shared" si="3"/>
        <v>OUTLIER</v>
      </c>
      <c r="J62" s="6" t="str">
        <f t="shared" si="4"/>
        <v/>
      </c>
      <c r="K62" s="6" t="str">
        <f t="shared" si="5"/>
        <v/>
      </c>
      <c r="L62" s="6" t="str">
        <f t="shared" si="8"/>
        <v/>
      </c>
      <c r="M62" s="110">
        <f>IF(D62="","",ABS(D62-G$5))</f>
        <v>85.000000000000057</v>
      </c>
    </row>
    <row r="63" spans="2:13" s="107" customFormat="1" ht="12.75" customHeight="1" x14ac:dyDescent="0.4">
      <c r="B63" s="109">
        <v>43909</v>
      </c>
      <c r="C63" s="5">
        <v>6.57</v>
      </c>
      <c r="D63" s="7">
        <f t="shared" si="6"/>
        <v>0</v>
      </c>
      <c r="E63" s="5">
        <f t="shared" si="0"/>
        <v>2.1587520159630759E-2</v>
      </c>
      <c r="F63" s="5">
        <f t="shared" si="1"/>
        <v>0</v>
      </c>
      <c r="G63" s="5">
        <f t="shared" si="7"/>
        <v>5.332914233162336E-3</v>
      </c>
      <c r="H63" s="6" t="str">
        <f t="shared" si="2"/>
        <v/>
      </c>
      <c r="I63" s="6" t="str">
        <f t="shared" si="3"/>
        <v/>
      </c>
      <c r="J63" s="6" t="str">
        <f t="shared" si="4"/>
        <v/>
      </c>
      <c r="K63" s="6" t="str">
        <f t="shared" si="5"/>
        <v/>
      </c>
      <c r="L63" s="6" t="str">
        <f t="shared" si="8"/>
        <v>STALE</v>
      </c>
      <c r="M63" s="110">
        <f>IF(D63="","",ABS(D63-G$5))</f>
        <v>0</v>
      </c>
    </row>
    <row r="64" spans="2:13" s="107" customFormat="1" ht="12.75" customHeight="1" x14ac:dyDescent="0.4">
      <c r="B64" s="109">
        <v>43910</v>
      </c>
      <c r="C64" s="5">
        <v>6.91</v>
      </c>
      <c r="D64" s="7">
        <f t="shared" si="6"/>
        <v>33.999999999999986</v>
      </c>
      <c r="E64" s="5">
        <f t="shared" si="0"/>
        <v>3.1816273538971807</v>
      </c>
      <c r="F64" s="5">
        <f t="shared" si="1"/>
        <v>11.466499999999984</v>
      </c>
      <c r="G64" s="5">
        <f t="shared" si="7"/>
        <v>0.80144570525277947</v>
      </c>
      <c r="H64" s="6" t="str">
        <f t="shared" si="2"/>
        <v>OUTLIER</v>
      </c>
      <c r="I64" s="6" t="str">
        <f t="shared" si="3"/>
        <v>OUTLIER</v>
      </c>
      <c r="J64" s="6" t="str">
        <f t="shared" si="4"/>
        <v/>
      </c>
      <c r="K64" s="6" t="str">
        <f t="shared" si="5"/>
        <v/>
      </c>
      <c r="L64" s="6" t="str">
        <f t="shared" si="8"/>
        <v/>
      </c>
      <c r="M64" s="110">
        <f>IF(D64="","",ABS(D64-G$5))</f>
        <v>33.999999999999986</v>
      </c>
    </row>
    <row r="65" spans="2:13" s="107" customFormat="1" ht="12.75" customHeight="1" x14ac:dyDescent="0.4">
      <c r="B65" s="109">
        <v>43913</v>
      </c>
      <c r="C65" s="5">
        <v>7.14</v>
      </c>
      <c r="D65" s="7">
        <f t="shared" si="6"/>
        <v>22.999999999999954</v>
      </c>
      <c r="E65" s="5">
        <f t="shared" si="0"/>
        <v>2.1452931299376203</v>
      </c>
      <c r="F65" s="5">
        <f t="shared" si="1"/>
        <v>7.7567499999999772</v>
      </c>
      <c r="G65" s="5">
        <f t="shared" si="7"/>
        <v>0.56060401874012222</v>
      </c>
      <c r="H65" s="6" t="str">
        <f t="shared" si="2"/>
        <v/>
      </c>
      <c r="I65" s="6" t="str">
        <f t="shared" si="3"/>
        <v>OUTLIER</v>
      </c>
      <c r="J65" s="6" t="str">
        <f t="shared" si="4"/>
        <v/>
      </c>
      <c r="K65" s="6" t="str">
        <f t="shared" si="5"/>
        <v/>
      </c>
      <c r="L65" s="6" t="str">
        <f t="shared" si="8"/>
        <v/>
      </c>
      <c r="M65" s="110">
        <f>IF(D65="","",ABS(D65-G$5))</f>
        <v>22.999999999999954</v>
      </c>
    </row>
    <row r="66" spans="2:13" s="107" customFormat="1" ht="12.75" customHeight="1" x14ac:dyDescent="0.4">
      <c r="B66" s="109">
        <v>43914</v>
      </c>
      <c r="C66" s="5">
        <v>6.55</v>
      </c>
      <c r="D66" s="7">
        <f t="shared" si="6"/>
        <v>-58.999999999999986</v>
      </c>
      <c r="E66" s="5">
        <f t="shared" si="0"/>
        <v>5.5801074486699802</v>
      </c>
      <c r="F66" s="5">
        <f t="shared" si="1"/>
        <v>19.897749999999977</v>
      </c>
      <c r="G66" s="5">
        <f t="shared" si="7"/>
        <v>1.3824096949703866</v>
      </c>
      <c r="H66" s="6" t="str">
        <f t="shared" si="2"/>
        <v>OUTLIER</v>
      </c>
      <c r="I66" s="6" t="str">
        <f t="shared" si="3"/>
        <v>OUTLIER</v>
      </c>
      <c r="J66" s="6" t="str">
        <f t="shared" si="4"/>
        <v/>
      </c>
      <c r="K66" s="6" t="str">
        <f t="shared" si="5"/>
        <v/>
      </c>
      <c r="L66" s="6" t="str">
        <f t="shared" si="8"/>
        <v/>
      </c>
      <c r="M66" s="110">
        <f>IF(D66="","",ABS(D66-G$5))</f>
        <v>58.999999999999986</v>
      </c>
    </row>
    <row r="67" spans="2:13" s="107" customFormat="1" ht="12.75" customHeight="1" x14ac:dyDescent="0.4">
      <c r="B67" s="109">
        <v>43915</v>
      </c>
      <c r="C67" s="5">
        <v>6.7</v>
      </c>
      <c r="D67" s="7">
        <f t="shared" si="6"/>
        <v>15.000000000000036</v>
      </c>
      <c r="E67" s="5">
        <f t="shared" si="0"/>
        <v>1.3915955125124959</v>
      </c>
      <c r="F67" s="5">
        <f t="shared" si="1"/>
        <v>5.058750000000007</v>
      </c>
      <c r="G67" s="5">
        <f t="shared" si="7"/>
        <v>0.36102484765620668</v>
      </c>
      <c r="H67" s="6" t="str">
        <f t="shared" si="2"/>
        <v/>
      </c>
      <c r="I67" s="6" t="str">
        <f t="shared" si="3"/>
        <v>OUTLIER</v>
      </c>
      <c r="J67" s="6" t="str">
        <f t="shared" si="4"/>
        <v/>
      </c>
      <c r="K67" s="6" t="str">
        <f t="shared" si="5"/>
        <v/>
      </c>
      <c r="L67" s="6" t="str">
        <f t="shared" si="8"/>
        <v/>
      </c>
      <c r="M67" s="110">
        <f>IF(D67="","",ABS(D67-G$5))</f>
        <v>15.000000000000036</v>
      </c>
    </row>
    <row r="68" spans="2:13" s="107" customFormat="1" ht="12.75" customHeight="1" x14ac:dyDescent="0.4">
      <c r="B68" s="109">
        <v>43916</v>
      </c>
      <c r="C68" s="5">
        <v>6.13</v>
      </c>
      <c r="D68" s="7">
        <f t="shared" si="6"/>
        <v>-57.000000000000028</v>
      </c>
      <c r="E68" s="5">
        <f t="shared" si="0"/>
        <v>5.3916830443137016</v>
      </c>
      <c r="F68" s="5">
        <f t="shared" si="1"/>
        <v>19.223249999999993</v>
      </c>
      <c r="G68" s="5">
        <f t="shared" si="7"/>
        <v>1.3363215989110306</v>
      </c>
      <c r="H68" s="6" t="str">
        <f t="shared" si="2"/>
        <v>OUTLIER</v>
      </c>
      <c r="I68" s="6" t="str">
        <f t="shared" si="3"/>
        <v>OUTLIER</v>
      </c>
      <c r="J68" s="6" t="str">
        <f t="shared" si="4"/>
        <v/>
      </c>
      <c r="K68" s="6" t="str">
        <f t="shared" si="5"/>
        <v/>
      </c>
      <c r="L68" s="6" t="str">
        <f t="shared" si="8"/>
        <v/>
      </c>
      <c r="M68" s="110">
        <f>IF(D68="","",ABS(D68-G$5))</f>
        <v>57.000000000000028</v>
      </c>
    </row>
    <row r="69" spans="2:13" s="107" customFormat="1" ht="12.75" customHeight="1" x14ac:dyDescent="0.4">
      <c r="B69" s="109">
        <v>43917</v>
      </c>
      <c r="C69" s="5">
        <v>6.41</v>
      </c>
      <c r="D69" s="7">
        <f t="shared" si="6"/>
        <v>28.000000000000025</v>
      </c>
      <c r="E69" s="5">
        <f t="shared" si="0"/>
        <v>2.6163541408283346</v>
      </c>
      <c r="F69" s="5">
        <f t="shared" si="1"/>
        <v>9.4429999999999996</v>
      </c>
      <c r="G69" s="5">
        <f t="shared" si="7"/>
        <v>0.66810724021141843</v>
      </c>
      <c r="H69" s="6" t="str">
        <f t="shared" si="2"/>
        <v/>
      </c>
      <c r="I69" s="6" t="str">
        <f t="shared" si="3"/>
        <v>OUTLIER</v>
      </c>
      <c r="J69" s="6" t="str">
        <f t="shared" si="4"/>
        <v/>
      </c>
      <c r="K69" s="6" t="str">
        <f t="shared" si="5"/>
        <v/>
      </c>
      <c r="L69" s="6" t="str">
        <f t="shared" si="8"/>
        <v/>
      </c>
      <c r="M69" s="110">
        <f>IF(D69="","",ABS(D69-G$5))</f>
        <v>28.000000000000025</v>
      </c>
    </row>
    <row r="70" spans="2:13" s="107" customFormat="1" ht="12.75" customHeight="1" x14ac:dyDescent="0.4">
      <c r="B70" s="109">
        <v>43920</v>
      </c>
      <c r="C70" s="5">
        <v>5.97</v>
      </c>
      <c r="D70" s="7">
        <f t="shared" si="6"/>
        <v>-44.000000000000043</v>
      </c>
      <c r="E70" s="5">
        <f t="shared" si="0"/>
        <v>4.1669244159978627</v>
      </c>
      <c r="F70" s="5">
        <f t="shared" si="1"/>
        <v>14.839</v>
      </c>
      <c r="G70" s="5">
        <f t="shared" si="7"/>
        <v>1.0570924785040827</v>
      </c>
      <c r="H70" s="6" t="str">
        <f t="shared" si="2"/>
        <v>OUTLIER</v>
      </c>
      <c r="I70" s="6" t="str">
        <f t="shared" si="3"/>
        <v>OUTLIER</v>
      </c>
      <c r="J70" s="6" t="str">
        <f t="shared" si="4"/>
        <v/>
      </c>
      <c r="K70" s="6" t="str">
        <f t="shared" si="5"/>
        <v/>
      </c>
      <c r="L70" s="6" t="str">
        <f t="shared" si="8"/>
        <v/>
      </c>
      <c r="M70" s="110">
        <f>IF(D70="","",ABS(D70-G$5))</f>
        <v>44.000000000000043</v>
      </c>
    </row>
    <row r="71" spans="2:13" s="107" customFormat="1" ht="12.75" customHeight="1" x14ac:dyDescent="0.4">
      <c r="B71" s="109">
        <v>43921</v>
      </c>
      <c r="C71" s="5">
        <v>5.65</v>
      </c>
      <c r="D71" s="7">
        <f t="shared" si="6"/>
        <v>-31.99999999999994</v>
      </c>
      <c r="E71" s="5">
        <f t="shared" si="0"/>
        <v>3.0363779898601546</v>
      </c>
      <c r="F71" s="5">
        <f t="shared" si="1"/>
        <v>10.79199999999997</v>
      </c>
      <c r="G71" s="5">
        <f t="shared" si="7"/>
        <v>0.78644470141649281</v>
      </c>
      <c r="H71" s="6" t="str">
        <f t="shared" si="2"/>
        <v>OUTLIER</v>
      </c>
      <c r="I71" s="6" t="str">
        <f t="shared" si="3"/>
        <v>OUTLIER</v>
      </c>
      <c r="J71" s="6" t="str">
        <f t="shared" si="4"/>
        <v/>
      </c>
      <c r="K71" s="6" t="str">
        <f t="shared" si="5"/>
        <v/>
      </c>
      <c r="L71" s="6" t="str">
        <f t="shared" si="8"/>
        <v/>
      </c>
      <c r="M71" s="110">
        <f>IF(D71="","",ABS(D71-G$5))</f>
        <v>31.99999999999994</v>
      </c>
    </row>
    <row r="72" spans="2:13" s="107" customFormat="1" ht="12.75" customHeight="1" x14ac:dyDescent="0.4">
      <c r="B72" s="109">
        <v>43922</v>
      </c>
      <c r="C72" s="5">
        <v>6.12</v>
      </c>
      <c r="D72" s="7">
        <f t="shared" si="6"/>
        <v>46.999999999999972</v>
      </c>
      <c r="E72" s="5">
        <f t="shared" si="0"/>
        <v>4.4063859822130196</v>
      </c>
      <c r="F72" s="5">
        <f t="shared" si="1"/>
        <v>15.850749999999977</v>
      </c>
      <c r="G72" s="5">
        <f t="shared" si="7"/>
        <v>1.1244051329657683</v>
      </c>
      <c r="H72" s="6" t="str">
        <f t="shared" si="2"/>
        <v>OUTLIER</v>
      </c>
      <c r="I72" s="6" t="str">
        <f t="shared" si="3"/>
        <v>OUTLIER</v>
      </c>
      <c r="J72" s="6" t="str">
        <f t="shared" si="4"/>
        <v/>
      </c>
      <c r="K72" s="6" t="str">
        <f t="shared" si="5"/>
        <v/>
      </c>
      <c r="L72" s="6" t="str">
        <f t="shared" si="8"/>
        <v/>
      </c>
      <c r="M72" s="110">
        <f>IF(D72="","",ABS(D72-G$5))</f>
        <v>46.999999999999972</v>
      </c>
    </row>
    <row r="73" spans="2:13" s="107" customFormat="1" ht="12.75" customHeight="1" x14ac:dyDescent="0.4">
      <c r="B73" s="109">
        <v>43923</v>
      </c>
      <c r="C73" s="5">
        <v>5.91</v>
      </c>
      <c r="D73" s="7">
        <f t="shared" si="6"/>
        <v>-20.999999999999996</v>
      </c>
      <c r="E73" s="5">
        <f t="shared" ref="E73:E136" si="9">IF(D73="","",ABS(D73-$E$5)/$F$5)</f>
        <v>2.0000437659006032</v>
      </c>
      <c r="F73" s="5">
        <f t="shared" ref="F73:F136" si="10">IF(D73="","",ABS(D73-$G$5)/$H$5)</f>
        <v>7.0822499999999922</v>
      </c>
      <c r="G73" s="5">
        <f t="shared" si="7"/>
        <v>0.5303508156373532</v>
      </c>
      <c r="H73" s="6" t="str">
        <f t="shared" ref="H73:H136" si="11">IF(E73="","",IF(E73&gt;$I$5,"OUTLIER",""))</f>
        <v/>
      </c>
      <c r="I73" s="6" t="str">
        <f t="shared" ref="I73:I136" si="12">IF(F73="","",IF(F73&gt;$I$5,"OUTLIER",""))</f>
        <v>OUTLIER</v>
      </c>
      <c r="J73" s="6" t="str">
        <f t="shared" ref="J73:J136" si="13">IF(G73="","",IF(G73&gt;$I$5,"OUTLIER",""))</f>
        <v/>
      </c>
      <c r="K73" s="6" t="str">
        <f t="shared" ref="K73:K136" si="14">IF(C73="","MISSING","")</f>
        <v/>
      </c>
      <c r="L73" s="6" t="str">
        <f t="shared" si="8"/>
        <v/>
      </c>
      <c r="M73" s="110">
        <f>IF(D73="","",ABS(D73-G$5))</f>
        <v>20.999999999999996</v>
      </c>
    </row>
    <row r="74" spans="2:13" s="107" customFormat="1" ht="12.75" customHeight="1" x14ac:dyDescent="0.4">
      <c r="B74" s="109">
        <v>43924</v>
      </c>
      <c r="C74" s="5">
        <v>6.16</v>
      </c>
      <c r="D74" s="7">
        <f t="shared" ref="D74:D137" si="15">IF(OR(C74="",C73=""),"",(C74-C73)*100)</f>
        <v>25</v>
      </c>
      <c r="E74" s="5">
        <f t="shared" si="9"/>
        <v>2.3337175342939078</v>
      </c>
      <c r="F74" s="5">
        <f t="shared" si="10"/>
        <v>8.4312499999999915</v>
      </c>
      <c r="G74" s="5">
        <f t="shared" ref="G74:G137" si="16">IF(D74="","",ABS(D74-$E$5)/SQRT(0.9*(IF(G73="",($F$5)^2,(ABS(D73-$E$5)/MAX(G73,0.0000000001))^2))+0.1*(D74-$E$5)^2))</f>
        <v>0.63885498736821178</v>
      </c>
      <c r="H74" s="6" t="str">
        <f t="shared" si="11"/>
        <v/>
      </c>
      <c r="I74" s="6" t="str">
        <f t="shared" si="12"/>
        <v>OUTLIER</v>
      </c>
      <c r="J74" s="6" t="str">
        <f t="shared" si="13"/>
        <v/>
      </c>
      <c r="K74" s="6" t="str">
        <f t="shared" si="14"/>
        <v/>
      </c>
      <c r="L74" s="6" t="str">
        <f t="shared" ref="L74:L137" si="17">IF(AND(C74&lt;&gt;"",C73&lt;&gt;"",C74=C73),"STALE","")</f>
        <v/>
      </c>
      <c r="M74" s="110">
        <f>IF(D74="","",ABS(D74-G$5))</f>
        <v>25</v>
      </c>
    </row>
    <row r="75" spans="2:13" s="107" customFormat="1" ht="12.75" customHeight="1" x14ac:dyDescent="0.4">
      <c r="B75" s="109">
        <v>43927</v>
      </c>
      <c r="C75" s="5">
        <v>5.63</v>
      </c>
      <c r="D75" s="7">
        <f t="shared" si="15"/>
        <v>-53.000000000000028</v>
      </c>
      <c r="E75" s="5">
        <f t="shared" si="9"/>
        <v>5.0148342356011355</v>
      </c>
      <c r="F75" s="5">
        <f t="shared" si="10"/>
        <v>17.874249999999993</v>
      </c>
      <c r="G75" s="5">
        <f t="shared" si="16"/>
        <v>1.315843302410775</v>
      </c>
      <c r="H75" s="6" t="str">
        <f t="shared" si="11"/>
        <v>OUTLIER</v>
      </c>
      <c r="I75" s="6" t="str">
        <f t="shared" si="12"/>
        <v>OUTLIER</v>
      </c>
      <c r="J75" s="6" t="str">
        <f t="shared" si="13"/>
        <v/>
      </c>
      <c r="K75" s="6" t="str">
        <f t="shared" si="14"/>
        <v/>
      </c>
      <c r="L75" s="6" t="str">
        <f t="shared" si="17"/>
        <v/>
      </c>
      <c r="M75" s="110">
        <f>IF(D75="","",ABS(D75-G$5))</f>
        <v>53.000000000000028</v>
      </c>
    </row>
    <row r="76" spans="2:13" s="107" customFormat="1" ht="12.75" customHeight="1" x14ac:dyDescent="0.4">
      <c r="B76" s="109">
        <v>43928</v>
      </c>
      <c r="C76" s="5">
        <v>5.68</v>
      </c>
      <c r="D76" s="7">
        <f t="shared" si="15"/>
        <v>4.9999999999999822</v>
      </c>
      <c r="E76" s="5">
        <f t="shared" si="9"/>
        <v>0.44947349073107523</v>
      </c>
      <c r="F76" s="5">
        <f t="shared" si="10"/>
        <v>1.6862499999999925</v>
      </c>
      <c r="G76" s="5">
        <f t="shared" si="16"/>
        <v>0.1242210181665338</v>
      </c>
      <c r="H76" s="6" t="str">
        <f t="shared" si="11"/>
        <v/>
      </c>
      <c r="I76" s="6" t="str">
        <f t="shared" si="12"/>
        <v/>
      </c>
      <c r="J76" s="6" t="str">
        <f t="shared" si="13"/>
        <v/>
      </c>
      <c r="K76" s="6" t="str">
        <f t="shared" si="14"/>
        <v/>
      </c>
      <c r="L76" s="6" t="str">
        <f t="shared" si="17"/>
        <v/>
      </c>
      <c r="M76" s="110">
        <f>IF(D76="","",ABS(D76-G$5))</f>
        <v>4.9999999999999822</v>
      </c>
    </row>
    <row r="77" spans="2:13" s="107" customFormat="1" ht="12.75" customHeight="1" x14ac:dyDescent="0.4">
      <c r="B77" s="109">
        <v>43929</v>
      </c>
      <c r="C77" s="5">
        <v>5.18</v>
      </c>
      <c r="D77" s="7">
        <f t="shared" si="15"/>
        <v>-50</v>
      </c>
      <c r="E77" s="5">
        <f t="shared" si="9"/>
        <v>4.7321976290667074</v>
      </c>
      <c r="F77" s="5">
        <f t="shared" si="10"/>
        <v>16.862499999999983</v>
      </c>
      <c r="G77" s="5">
        <f t="shared" si="16"/>
        <v>1.2637181602468683</v>
      </c>
      <c r="H77" s="6" t="str">
        <f t="shared" si="11"/>
        <v>OUTLIER</v>
      </c>
      <c r="I77" s="6" t="str">
        <f t="shared" si="12"/>
        <v>OUTLIER</v>
      </c>
      <c r="J77" s="6" t="str">
        <f t="shared" si="13"/>
        <v/>
      </c>
      <c r="K77" s="6" t="str">
        <f t="shared" si="14"/>
        <v/>
      </c>
      <c r="L77" s="6" t="str">
        <f t="shared" si="17"/>
        <v/>
      </c>
      <c r="M77" s="110">
        <f>IF(D77="","",ABS(D77-G$5))</f>
        <v>50</v>
      </c>
    </row>
    <row r="78" spans="2:13" s="107" customFormat="1" ht="12.75" customHeight="1" x14ac:dyDescent="0.4">
      <c r="B78" s="109">
        <v>43930</v>
      </c>
      <c r="C78" s="5">
        <v>5.0199999999999996</v>
      </c>
      <c r="D78" s="7">
        <f t="shared" si="15"/>
        <v>-16.000000000000014</v>
      </c>
      <c r="E78" s="5">
        <f t="shared" si="9"/>
        <v>1.5289827550098969</v>
      </c>
      <c r="F78" s="5">
        <f t="shared" si="10"/>
        <v>5.3959999999999999</v>
      </c>
      <c r="G78" s="5">
        <f t="shared" si="16"/>
        <v>0.4264646404607601</v>
      </c>
      <c r="H78" s="6" t="str">
        <f t="shared" si="11"/>
        <v/>
      </c>
      <c r="I78" s="6" t="str">
        <f t="shared" si="12"/>
        <v>OUTLIER</v>
      </c>
      <c r="J78" s="6" t="str">
        <f t="shared" si="13"/>
        <v/>
      </c>
      <c r="K78" s="6" t="str">
        <f t="shared" si="14"/>
        <v/>
      </c>
      <c r="L78" s="6" t="str">
        <f t="shared" si="17"/>
        <v/>
      </c>
      <c r="M78" s="110">
        <f>IF(D78="","",ABS(D78-G$5))</f>
        <v>16.000000000000014</v>
      </c>
    </row>
    <row r="79" spans="2:13" s="107" customFormat="1" ht="12.75" customHeight="1" x14ac:dyDescent="0.4">
      <c r="B79" s="109">
        <v>43934</v>
      </c>
      <c r="C79" s="5">
        <v>4.83</v>
      </c>
      <c r="D79" s="7">
        <f t="shared" si="15"/>
        <v>-18.99999999999995</v>
      </c>
      <c r="E79" s="5">
        <f t="shared" si="9"/>
        <v>1.8116193615443155</v>
      </c>
      <c r="F79" s="5">
        <f t="shared" si="10"/>
        <v>6.4077499999999779</v>
      </c>
      <c r="G79" s="5">
        <f t="shared" si="16"/>
        <v>0.52523243544710196</v>
      </c>
      <c r="H79" s="6" t="str">
        <f t="shared" si="11"/>
        <v/>
      </c>
      <c r="I79" s="6" t="str">
        <f t="shared" si="12"/>
        <v>OUTLIER</v>
      </c>
      <c r="J79" s="6" t="str">
        <f t="shared" si="13"/>
        <v/>
      </c>
      <c r="K79" s="6" t="str">
        <f t="shared" si="14"/>
        <v/>
      </c>
      <c r="L79" s="6" t="str">
        <f t="shared" si="17"/>
        <v/>
      </c>
      <c r="M79" s="110">
        <f>IF(D79="","",ABS(D79-G$5))</f>
        <v>18.99999999999995</v>
      </c>
    </row>
    <row r="80" spans="2:13" s="107" customFormat="1" ht="12.75" customHeight="1" x14ac:dyDescent="0.4">
      <c r="B80" s="109">
        <v>43935</v>
      </c>
      <c r="C80" s="5">
        <v>4.71</v>
      </c>
      <c r="D80" s="7">
        <f t="shared" si="15"/>
        <v>-12.000000000000011</v>
      </c>
      <c r="E80" s="5">
        <f t="shared" si="9"/>
        <v>1.1521339462973303</v>
      </c>
      <c r="F80" s="5">
        <f t="shared" si="10"/>
        <v>4.0469999999999997</v>
      </c>
      <c r="G80" s="5">
        <f t="shared" si="16"/>
        <v>0.3499377375533454</v>
      </c>
      <c r="H80" s="6" t="str">
        <f t="shared" si="11"/>
        <v/>
      </c>
      <c r="I80" s="6" t="str">
        <f t="shared" si="12"/>
        <v>OUTLIER</v>
      </c>
      <c r="J80" s="6" t="str">
        <f t="shared" si="13"/>
        <v/>
      </c>
      <c r="K80" s="6" t="str">
        <f t="shared" si="14"/>
        <v/>
      </c>
      <c r="L80" s="6" t="str">
        <f t="shared" si="17"/>
        <v/>
      </c>
      <c r="M80" s="110">
        <f>IF(D80="","",ABS(D80-G$5))</f>
        <v>12.000000000000011</v>
      </c>
    </row>
    <row r="81" spans="2:13" s="107" customFormat="1" ht="12.75" customHeight="1" x14ac:dyDescent="0.4">
      <c r="B81" s="109">
        <v>43936</v>
      </c>
      <c r="C81" s="5">
        <v>4.72</v>
      </c>
      <c r="D81" s="7">
        <f t="shared" si="15"/>
        <v>0.99999999999997868</v>
      </c>
      <c r="E81" s="5">
        <f t="shared" si="9"/>
        <v>7.2624682018508774E-2</v>
      </c>
      <c r="F81" s="5">
        <f t="shared" si="10"/>
        <v>0.3372499999999925</v>
      </c>
      <c r="G81" s="5">
        <f t="shared" si="16"/>
        <v>2.3250861901043779E-2</v>
      </c>
      <c r="H81" s="6" t="str">
        <f t="shared" si="11"/>
        <v/>
      </c>
      <c r="I81" s="6" t="str">
        <f t="shared" si="12"/>
        <v/>
      </c>
      <c r="J81" s="6" t="str">
        <f t="shared" si="13"/>
        <v/>
      </c>
      <c r="K81" s="6" t="str">
        <f t="shared" si="14"/>
        <v/>
      </c>
      <c r="L81" s="6" t="str">
        <f t="shared" si="17"/>
        <v/>
      </c>
      <c r="M81" s="110">
        <f>IF(D81="","",ABS(D81-G$5))</f>
        <v>0.99999999999997868</v>
      </c>
    </row>
    <row r="82" spans="2:13" s="107" customFormat="1" ht="12.75" customHeight="1" x14ac:dyDescent="0.4">
      <c r="B82" s="109">
        <v>43937</v>
      </c>
      <c r="C82" s="5">
        <v>4.75</v>
      </c>
      <c r="D82" s="7">
        <f t="shared" si="15"/>
        <v>3.0000000000000249</v>
      </c>
      <c r="E82" s="5">
        <f t="shared" si="9"/>
        <v>0.26104908637479624</v>
      </c>
      <c r="F82" s="5">
        <f t="shared" si="10"/>
        <v>1.0117500000000075</v>
      </c>
      <c r="G82" s="5">
        <f t="shared" si="16"/>
        <v>8.8061742653556679E-2</v>
      </c>
      <c r="H82" s="6" t="str">
        <f t="shared" si="11"/>
        <v/>
      </c>
      <c r="I82" s="6" t="str">
        <f t="shared" si="12"/>
        <v/>
      </c>
      <c r="J82" s="6" t="str">
        <f t="shared" si="13"/>
        <v/>
      </c>
      <c r="K82" s="6" t="str">
        <f t="shared" si="14"/>
        <v/>
      </c>
      <c r="L82" s="6" t="str">
        <f t="shared" si="17"/>
        <v/>
      </c>
      <c r="M82" s="110">
        <f>IF(D82="","",ABS(D82-G$5))</f>
        <v>3.0000000000000249</v>
      </c>
    </row>
    <row r="83" spans="2:13" s="107" customFormat="1" ht="12.75" customHeight="1" x14ac:dyDescent="0.4">
      <c r="B83" s="109">
        <v>43938</v>
      </c>
      <c r="C83" s="5">
        <v>4.6399999999999997</v>
      </c>
      <c r="D83" s="7">
        <f t="shared" si="15"/>
        <v>-11.000000000000032</v>
      </c>
      <c r="E83" s="5">
        <f t="shared" si="9"/>
        <v>1.0579217441191906</v>
      </c>
      <c r="F83" s="5">
        <f t="shared" si="10"/>
        <v>3.7097500000000072</v>
      </c>
      <c r="G83" s="5">
        <f t="shared" si="16"/>
        <v>0.37354766132273398</v>
      </c>
      <c r="H83" s="6" t="str">
        <f t="shared" si="11"/>
        <v/>
      </c>
      <c r="I83" s="6" t="str">
        <f t="shared" si="12"/>
        <v>OUTLIER</v>
      </c>
      <c r="J83" s="6" t="str">
        <f t="shared" si="13"/>
        <v/>
      </c>
      <c r="K83" s="6" t="str">
        <f t="shared" si="14"/>
        <v/>
      </c>
      <c r="L83" s="6" t="str">
        <f t="shared" si="17"/>
        <v/>
      </c>
      <c r="M83" s="110">
        <f>IF(D83="","",ABS(D83-G$5))</f>
        <v>11.000000000000032</v>
      </c>
    </row>
    <row r="84" spans="2:13" s="107" customFormat="1" ht="12.75" customHeight="1" x14ac:dyDescent="0.4">
      <c r="B84" s="109">
        <v>43941</v>
      </c>
      <c r="C84" s="5">
        <v>4.7699999999999996</v>
      </c>
      <c r="D84" s="7">
        <f t="shared" si="15"/>
        <v>12.999999999999989</v>
      </c>
      <c r="E84" s="5">
        <f t="shared" si="9"/>
        <v>1.2031711081562084</v>
      </c>
      <c r="F84" s="5">
        <f t="shared" si="10"/>
        <v>4.3842499999999927</v>
      </c>
      <c r="G84" s="5">
        <f t="shared" si="16"/>
        <v>0.44339120429233736</v>
      </c>
      <c r="H84" s="6" t="str">
        <f t="shared" si="11"/>
        <v/>
      </c>
      <c r="I84" s="6" t="str">
        <f t="shared" si="12"/>
        <v>OUTLIER</v>
      </c>
      <c r="J84" s="6" t="str">
        <f t="shared" si="13"/>
        <v/>
      </c>
      <c r="K84" s="6" t="str">
        <f t="shared" si="14"/>
        <v/>
      </c>
      <c r="L84" s="6" t="str">
        <f t="shared" si="17"/>
        <v/>
      </c>
      <c r="M84" s="110">
        <f>IF(D84="","",ABS(D84-G$5))</f>
        <v>12.999999999999989</v>
      </c>
    </row>
    <row r="85" spans="2:13" s="107" customFormat="1" ht="12.75" customHeight="1" x14ac:dyDescent="0.4">
      <c r="B85" s="109">
        <v>43942</v>
      </c>
      <c r="C85" s="5">
        <v>5.01</v>
      </c>
      <c r="D85" s="7">
        <f t="shared" si="15"/>
        <v>24.000000000000021</v>
      </c>
      <c r="E85" s="5">
        <f t="shared" si="9"/>
        <v>2.2395053321157681</v>
      </c>
      <c r="F85" s="5">
        <f t="shared" si="10"/>
        <v>8.0939999999999994</v>
      </c>
      <c r="G85" s="5">
        <f t="shared" si="16"/>
        <v>0.83878176558501771</v>
      </c>
      <c r="H85" s="6" t="str">
        <f t="shared" si="11"/>
        <v/>
      </c>
      <c r="I85" s="6" t="str">
        <f t="shared" si="12"/>
        <v>OUTLIER</v>
      </c>
      <c r="J85" s="6" t="str">
        <f t="shared" si="13"/>
        <v/>
      </c>
      <c r="K85" s="6" t="str">
        <f t="shared" si="14"/>
        <v/>
      </c>
      <c r="L85" s="6" t="str">
        <f t="shared" si="17"/>
        <v/>
      </c>
      <c r="M85" s="110">
        <f>IF(D85="","",ABS(D85-G$5))</f>
        <v>24.000000000000021</v>
      </c>
    </row>
    <row r="86" spans="2:13" s="107" customFormat="1" ht="12.75" customHeight="1" x14ac:dyDescent="0.4">
      <c r="B86" s="109">
        <v>43943</v>
      </c>
      <c r="C86" s="5">
        <v>4.8499999999999996</v>
      </c>
      <c r="D86" s="7">
        <f t="shared" si="15"/>
        <v>-16.000000000000014</v>
      </c>
      <c r="E86" s="5">
        <f t="shared" si="9"/>
        <v>1.5289827550098969</v>
      </c>
      <c r="F86" s="5">
        <f t="shared" si="10"/>
        <v>5.3959999999999999</v>
      </c>
      <c r="G86" s="5">
        <f t="shared" si="16"/>
        <v>0.59293421965093662</v>
      </c>
      <c r="H86" s="6" t="str">
        <f t="shared" si="11"/>
        <v/>
      </c>
      <c r="I86" s="6" t="str">
        <f t="shared" si="12"/>
        <v>OUTLIER</v>
      </c>
      <c r="J86" s="6" t="str">
        <f t="shared" si="13"/>
        <v/>
      </c>
      <c r="K86" s="6" t="str">
        <f t="shared" si="14"/>
        <v/>
      </c>
      <c r="L86" s="6" t="str">
        <f t="shared" si="17"/>
        <v/>
      </c>
      <c r="M86" s="110">
        <f>IF(D86="","",ABS(D86-G$5))</f>
        <v>16.000000000000014</v>
      </c>
    </row>
    <row r="87" spans="2:13" s="107" customFormat="1" ht="12.75" customHeight="1" x14ac:dyDescent="0.4">
      <c r="B87" s="109">
        <v>43944</v>
      </c>
      <c r="C87" s="5">
        <v>4.87</v>
      </c>
      <c r="D87" s="7">
        <f t="shared" si="15"/>
        <v>2.0000000000000462</v>
      </c>
      <c r="E87" s="5">
        <f t="shared" si="9"/>
        <v>0.16683688419665668</v>
      </c>
      <c r="F87" s="5">
        <f t="shared" si="10"/>
        <v>0.67450000000001498</v>
      </c>
      <c r="G87" s="5">
        <f t="shared" si="16"/>
        <v>6.8182633487263888E-2</v>
      </c>
      <c r="H87" s="6" t="str">
        <f t="shared" si="11"/>
        <v/>
      </c>
      <c r="I87" s="6" t="str">
        <f t="shared" si="12"/>
        <v/>
      </c>
      <c r="J87" s="6" t="str">
        <f t="shared" si="13"/>
        <v/>
      </c>
      <c r="K87" s="6" t="str">
        <f t="shared" si="14"/>
        <v/>
      </c>
      <c r="L87" s="6" t="str">
        <f t="shared" si="17"/>
        <v/>
      </c>
      <c r="M87" s="110">
        <f>IF(D87="","",ABS(D87-G$5))</f>
        <v>2.0000000000000462</v>
      </c>
    </row>
    <row r="88" spans="2:13" s="107" customFormat="1" ht="12.75" customHeight="1" x14ac:dyDescent="0.4">
      <c r="B88" s="109">
        <v>43945</v>
      </c>
      <c r="C88" s="5">
        <v>4.8099999999999996</v>
      </c>
      <c r="D88" s="7">
        <f t="shared" si="15"/>
        <v>-6.0000000000000497</v>
      </c>
      <c r="E88" s="5">
        <f t="shared" si="9"/>
        <v>0.58686073322848475</v>
      </c>
      <c r="F88" s="5">
        <f t="shared" si="10"/>
        <v>2.023500000000015</v>
      </c>
      <c r="G88" s="5">
        <f t="shared" si="16"/>
        <v>0.25200668155059808</v>
      </c>
      <c r="H88" s="6" t="str">
        <f t="shared" si="11"/>
        <v/>
      </c>
      <c r="I88" s="6" t="str">
        <f t="shared" si="12"/>
        <v/>
      </c>
      <c r="J88" s="6" t="str">
        <f t="shared" si="13"/>
        <v/>
      </c>
      <c r="K88" s="6" t="str">
        <f t="shared" si="14"/>
        <v/>
      </c>
      <c r="L88" s="6" t="str">
        <f t="shared" si="17"/>
        <v/>
      </c>
      <c r="M88" s="110">
        <f>IF(D88="","",ABS(D88-G$5))</f>
        <v>6.0000000000000497</v>
      </c>
    </row>
    <row r="89" spans="2:13" s="107" customFormat="1" ht="12.75" customHeight="1" x14ac:dyDescent="0.4">
      <c r="B89" s="109">
        <v>43948</v>
      </c>
      <c r="C89" s="5">
        <v>4.71</v>
      </c>
      <c r="D89" s="7">
        <f t="shared" si="15"/>
        <v>-9.9999999999999645</v>
      </c>
      <c r="E89" s="5">
        <f t="shared" si="9"/>
        <v>0.96370954194104286</v>
      </c>
      <c r="F89" s="5">
        <f t="shared" si="10"/>
        <v>3.372499999999985</v>
      </c>
      <c r="G89" s="5">
        <f t="shared" si="16"/>
        <v>0.43212436033506302</v>
      </c>
      <c r="H89" s="6" t="str">
        <f t="shared" si="11"/>
        <v/>
      </c>
      <c r="I89" s="6" t="str">
        <f t="shared" si="12"/>
        <v>OUTLIER</v>
      </c>
      <c r="J89" s="6" t="str">
        <f t="shared" si="13"/>
        <v/>
      </c>
      <c r="K89" s="6" t="str">
        <f t="shared" si="14"/>
        <v/>
      </c>
      <c r="L89" s="6" t="str">
        <f t="shared" si="17"/>
        <v/>
      </c>
      <c r="M89" s="110">
        <f>IF(D89="","",ABS(D89-G$5))</f>
        <v>9.9999999999999645</v>
      </c>
    </row>
    <row r="90" spans="2:13" s="107" customFormat="1" ht="12.75" customHeight="1" x14ac:dyDescent="0.4">
      <c r="B90" s="109">
        <v>43949</v>
      </c>
      <c r="C90" s="5">
        <v>4.6900000000000004</v>
      </c>
      <c r="D90" s="7">
        <f t="shared" si="15"/>
        <v>-1.9999999999999574</v>
      </c>
      <c r="E90" s="5">
        <f t="shared" si="9"/>
        <v>0.21001192451590983</v>
      </c>
      <c r="F90" s="5">
        <f t="shared" si="10"/>
        <v>0.674499999999985</v>
      </c>
      <c r="G90" s="5">
        <f t="shared" si="16"/>
        <v>9.9213652844781466E-2</v>
      </c>
      <c r="H90" s="6" t="str">
        <f t="shared" si="11"/>
        <v/>
      </c>
      <c r="I90" s="6" t="str">
        <f t="shared" si="12"/>
        <v/>
      </c>
      <c r="J90" s="6" t="str">
        <f t="shared" si="13"/>
        <v/>
      </c>
      <c r="K90" s="6" t="str">
        <f t="shared" si="14"/>
        <v/>
      </c>
      <c r="L90" s="6" t="str">
        <f t="shared" si="17"/>
        <v/>
      </c>
      <c r="M90" s="110">
        <f>IF(D90="","",ABS(D90-G$5))</f>
        <v>1.9999999999999574</v>
      </c>
    </row>
    <row r="91" spans="2:13" s="107" customFormat="1" ht="12.75" customHeight="1" x14ac:dyDescent="0.4">
      <c r="B91" s="109">
        <v>43950</v>
      </c>
      <c r="C91" s="5">
        <v>4.46</v>
      </c>
      <c r="D91" s="7">
        <f t="shared" si="15"/>
        <v>-23.000000000000043</v>
      </c>
      <c r="E91" s="5">
        <f t="shared" si="9"/>
        <v>2.1884681702568902</v>
      </c>
      <c r="F91" s="5">
        <f t="shared" si="10"/>
        <v>7.7567500000000074</v>
      </c>
      <c r="G91" s="5">
        <f t="shared" si="16"/>
        <v>1.0303310611998326</v>
      </c>
      <c r="H91" s="6" t="str">
        <f t="shared" si="11"/>
        <v/>
      </c>
      <c r="I91" s="6" t="str">
        <f t="shared" si="12"/>
        <v>OUTLIER</v>
      </c>
      <c r="J91" s="6" t="str">
        <f t="shared" si="13"/>
        <v/>
      </c>
      <c r="K91" s="6" t="str">
        <f t="shared" si="14"/>
        <v/>
      </c>
      <c r="L91" s="6" t="str">
        <f t="shared" si="17"/>
        <v/>
      </c>
      <c r="M91" s="110">
        <f>IF(D91="","",ABS(D91-G$5))</f>
        <v>23.000000000000043</v>
      </c>
    </row>
    <row r="92" spans="2:13" s="107" customFormat="1" ht="12.75" customHeight="1" x14ac:dyDescent="0.4">
      <c r="B92" s="109">
        <v>43951</v>
      </c>
      <c r="C92" s="5">
        <v>4.62</v>
      </c>
      <c r="D92" s="7">
        <f t="shared" si="15"/>
        <v>16.000000000000014</v>
      </c>
      <c r="E92" s="5">
        <f t="shared" si="9"/>
        <v>1.4858077146906354</v>
      </c>
      <c r="F92" s="5">
        <f t="shared" si="10"/>
        <v>5.3959999999999999</v>
      </c>
      <c r="G92" s="5">
        <f t="shared" si="16"/>
        <v>0.71809430525774887</v>
      </c>
      <c r="H92" s="6" t="str">
        <f t="shared" si="11"/>
        <v/>
      </c>
      <c r="I92" s="6" t="str">
        <f t="shared" si="12"/>
        <v>OUTLIER</v>
      </c>
      <c r="J92" s="6" t="str">
        <f t="shared" si="13"/>
        <v/>
      </c>
      <c r="K92" s="6" t="str">
        <f t="shared" si="14"/>
        <v/>
      </c>
      <c r="L92" s="6" t="str">
        <f t="shared" si="17"/>
        <v/>
      </c>
      <c r="M92" s="110">
        <f>IF(D92="","",ABS(D92-G$5))</f>
        <v>16.000000000000014</v>
      </c>
    </row>
    <row r="93" spans="2:13" s="107" customFormat="1" ht="12.75" customHeight="1" x14ac:dyDescent="0.4">
      <c r="B93" s="109">
        <v>43952</v>
      </c>
      <c r="C93" s="5">
        <v>4.82</v>
      </c>
      <c r="D93" s="7">
        <f t="shared" si="15"/>
        <v>20.000000000000018</v>
      </c>
      <c r="E93" s="5">
        <f t="shared" si="9"/>
        <v>1.8626565234032018</v>
      </c>
      <c r="F93" s="5">
        <f t="shared" si="10"/>
        <v>6.7450000000000001</v>
      </c>
      <c r="G93" s="5">
        <f t="shared" si="16"/>
        <v>0.90888332137288597</v>
      </c>
      <c r="H93" s="6" t="str">
        <f t="shared" si="11"/>
        <v/>
      </c>
      <c r="I93" s="6" t="str">
        <f t="shared" si="12"/>
        <v>OUTLIER</v>
      </c>
      <c r="J93" s="6" t="str">
        <f t="shared" si="13"/>
        <v/>
      </c>
      <c r="K93" s="6" t="str">
        <f t="shared" si="14"/>
        <v/>
      </c>
      <c r="L93" s="6" t="str">
        <f t="shared" si="17"/>
        <v/>
      </c>
      <c r="M93" s="110">
        <f>IF(D93="","",ABS(D93-G$5))</f>
        <v>20.000000000000018</v>
      </c>
    </row>
    <row r="94" spans="2:13" s="107" customFormat="1" ht="12.75" customHeight="1" x14ac:dyDescent="0.4">
      <c r="B94" s="109">
        <v>43955</v>
      </c>
      <c r="C94" s="5">
        <v>4.71</v>
      </c>
      <c r="D94" s="7">
        <f t="shared" si="15"/>
        <v>-11.000000000000032</v>
      </c>
      <c r="E94" s="5">
        <f t="shared" si="9"/>
        <v>1.0579217441191906</v>
      </c>
      <c r="F94" s="5">
        <f t="shared" si="10"/>
        <v>3.7097500000000072</v>
      </c>
      <c r="G94" s="5">
        <f t="shared" si="16"/>
        <v>0.53625530482078099</v>
      </c>
      <c r="H94" s="6" t="str">
        <f t="shared" si="11"/>
        <v/>
      </c>
      <c r="I94" s="6" t="str">
        <f t="shared" si="12"/>
        <v>OUTLIER</v>
      </c>
      <c r="J94" s="6" t="str">
        <f t="shared" si="13"/>
        <v/>
      </c>
      <c r="K94" s="6" t="str">
        <f t="shared" si="14"/>
        <v/>
      </c>
      <c r="L94" s="6" t="str">
        <f t="shared" si="17"/>
        <v/>
      </c>
      <c r="M94" s="110">
        <f>IF(D94="","",ABS(D94-G$5))</f>
        <v>11.000000000000032</v>
      </c>
    </row>
    <row r="95" spans="2:13" s="107" customFormat="1" ht="12.75" customHeight="1" x14ac:dyDescent="0.4">
      <c r="B95" s="109">
        <v>43956</v>
      </c>
      <c r="C95" s="5">
        <v>4.6399999999999997</v>
      </c>
      <c r="D95" s="7">
        <f t="shared" si="15"/>
        <v>-7.0000000000000284</v>
      </c>
      <c r="E95" s="5">
        <f t="shared" si="9"/>
        <v>0.68107293540662428</v>
      </c>
      <c r="F95" s="5">
        <f t="shared" si="10"/>
        <v>2.3607500000000075</v>
      </c>
      <c r="G95" s="5">
        <f t="shared" si="16"/>
        <v>0.36152110500857221</v>
      </c>
      <c r="H95" s="6" t="str">
        <f t="shared" si="11"/>
        <v/>
      </c>
      <c r="I95" s="6" t="str">
        <f t="shared" si="12"/>
        <v/>
      </c>
      <c r="J95" s="6" t="str">
        <f t="shared" si="13"/>
        <v/>
      </c>
      <c r="K95" s="6" t="str">
        <f t="shared" si="14"/>
        <v/>
      </c>
      <c r="L95" s="6" t="str">
        <f t="shared" si="17"/>
        <v/>
      </c>
      <c r="M95" s="110">
        <f>IF(D95="","",ABS(D95-G$5))</f>
        <v>7.0000000000000284</v>
      </c>
    </row>
    <row r="96" spans="2:13" s="107" customFormat="1" ht="12.75" customHeight="1" x14ac:dyDescent="0.4">
      <c r="B96" s="109">
        <v>43957</v>
      </c>
      <c r="C96" s="5">
        <v>4.63</v>
      </c>
      <c r="D96" s="7">
        <f t="shared" si="15"/>
        <v>-0.99999999999997868</v>
      </c>
      <c r="E96" s="5">
        <f t="shared" si="9"/>
        <v>0.11579972233777029</v>
      </c>
      <c r="F96" s="5">
        <f t="shared" si="10"/>
        <v>0.3372499999999925</v>
      </c>
      <c r="G96" s="5">
        <f t="shared" si="16"/>
        <v>6.4779136577862856E-2</v>
      </c>
      <c r="H96" s="6" t="str">
        <f t="shared" si="11"/>
        <v/>
      </c>
      <c r="I96" s="6" t="str">
        <f t="shared" si="12"/>
        <v/>
      </c>
      <c r="J96" s="6" t="str">
        <f t="shared" si="13"/>
        <v/>
      </c>
      <c r="K96" s="6" t="str">
        <f t="shared" si="14"/>
        <v/>
      </c>
      <c r="L96" s="6" t="str">
        <f t="shared" si="17"/>
        <v/>
      </c>
      <c r="M96" s="110">
        <f>IF(D96="","",ABS(D96-G$5))</f>
        <v>0.99999999999997868</v>
      </c>
    </row>
    <row r="97" spans="2:13" s="107" customFormat="1" ht="12.75" customHeight="1" x14ac:dyDescent="0.4">
      <c r="B97" s="109">
        <v>43958</v>
      </c>
      <c r="C97" s="5">
        <v>4.54</v>
      </c>
      <c r="D97" s="7">
        <f t="shared" si="15"/>
        <v>-8.9999999999999858</v>
      </c>
      <c r="E97" s="5">
        <f t="shared" si="9"/>
        <v>0.86949733976290322</v>
      </c>
      <c r="F97" s="5">
        <f t="shared" si="10"/>
        <v>3.0352499999999925</v>
      </c>
      <c r="G97" s="5">
        <f t="shared" si="16"/>
        <v>0.50610440858978079</v>
      </c>
      <c r="H97" s="6" t="str">
        <f t="shared" si="11"/>
        <v/>
      </c>
      <c r="I97" s="6" t="str">
        <f t="shared" si="12"/>
        <v>OUTLIER</v>
      </c>
      <c r="J97" s="6" t="str">
        <f t="shared" si="13"/>
        <v/>
      </c>
      <c r="K97" s="6" t="str">
        <f t="shared" si="14"/>
        <v/>
      </c>
      <c r="L97" s="6" t="str">
        <f t="shared" si="17"/>
        <v/>
      </c>
      <c r="M97" s="110">
        <f>IF(D97="","",ABS(D97-G$5))</f>
        <v>8.9999999999999858</v>
      </c>
    </row>
    <row r="98" spans="2:13" s="107" customFormat="1" ht="12.75" customHeight="1" x14ac:dyDescent="0.4">
      <c r="B98" s="109">
        <v>43959</v>
      </c>
      <c r="C98" s="5">
        <v>4.3899999999999997</v>
      </c>
      <c r="D98" s="7">
        <f t="shared" si="15"/>
        <v>-15.000000000000036</v>
      </c>
      <c r="E98" s="5">
        <f t="shared" si="9"/>
        <v>1.4347705528317571</v>
      </c>
      <c r="F98" s="5">
        <f t="shared" si="10"/>
        <v>5.058750000000007</v>
      </c>
      <c r="G98" s="5">
        <f t="shared" si="16"/>
        <v>0.84805828775037262</v>
      </c>
      <c r="H98" s="6" t="str">
        <f t="shared" si="11"/>
        <v/>
      </c>
      <c r="I98" s="6" t="str">
        <f t="shared" si="12"/>
        <v>OUTLIER</v>
      </c>
      <c r="J98" s="6" t="str">
        <f t="shared" si="13"/>
        <v/>
      </c>
      <c r="K98" s="6" t="str">
        <f t="shared" si="14"/>
        <v/>
      </c>
      <c r="L98" s="6" t="str">
        <f t="shared" si="17"/>
        <v/>
      </c>
      <c r="M98" s="110">
        <f>IF(D98="","",ABS(D98-G$5))</f>
        <v>15.000000000000036</v>
      </c>
    </row>
    <row r="99" spans="2:13" s="107" customFormat="1" ht="12.75" customHeight="1" x14ac:dyDescent="0.4">
      <c r="B99" s="109">
        <v>43962</v>
      </c>
      <c r="C99" s="5">
        <v>4.3600000000000003</v>
      </c>
      <c r="D99" s="7">
        <f t="shared" si="15"/>
        <v>-2.9999999999999361</v>
      </c>
      <c r="E99" s="5">
        <f t="shared" si="9"/>
        <v>0.30422412669404936</v>
      </c>
      <c r="F99" s="5">
        <f t="shared" si="10"/>
        <v>1.0117499999999775</v>
      </c>
      <c r="G99" s="5">
        <f t="shared" si="16"/>
        <v>0.18920686117167129</v>
      </c>
      <c r="H99" s="6" t="str">
        <f t="shared" si="11"/>
        <v/>
      </c>
      <c r="I99" s="6" t="str">
        <f t="shared" si="12"/>
        <v/>
      </c>
      <c r="J99" s="6" t="str">
        <f t="shared" si="13"/>
        <v/>
      </c>
      <c r="K99" s="6" t="str">
        <f t="shared" si="14"/>
        <v/>
      </c>
      <c r="L99" s="6" t="str">
        <f t="shared" si="17"/>
        <v/>
      </c>
      <c r="M99" s="110">
        <f>IF(D99="","",ABS(D99-G$5))</f>
        <v>2.9999999999999361</v>
      </c>
    </row>
    <row r="100" spans="2:13" s="107" customFormat="1" ht="12.75" customHeight="1" x14ac:dyDescent="0.4">
      <c r="B100" s="109">
        <v>43963</v>
      </c>
      <c r="C100" s="5">
        <v>4.4400000000000004</v>
      </c>
      <c r="D100" s="7">
        <f t="shared" si="15"/>
        <v>8.0000000000000071</v>
      </c>
      <c r="E100" s="5">
        <f t="shared" si="9"/>
        <v>0.73211009726550225</v>
      </c>
      <c r="F100" s="5">
        <f t="shared" si="10"/>
        <v>2.698</v>
      </c>
      <c r="G100" s="5">
        <f t="shared" si="16"/>
        <v>0.47451836791474633</v>
      </c>
      <c r="H100" s="6" t="str">
        <f t="shared" si="11"/>
        <v/>
      </c>
      <c r="I100" s="6" t="str">
        <f t="shared" si="12"/>
        <v/>
      </c>
      <c r="J100" s="6" t="str">
        <f t="shared" si="13"/>
        <v/>
      </c>
      <c r="K100" s="6" t="str">
        <f t="shared" si="14"/>
        <v/>
      </c>
      <c r="L100" s="6" t="str">
        <f t="shared" si="17"/>
        <v/>
      </c>
      <c r="M100" s="110">
        <f>IF(D100="","",ABS(D100-G$5))</f>
        <v>8.0000000000000071</v>
      </c>
    </row>
    <row r="101" spans="2:13" s="107" customFormat="1" ht="12.75" customHeight="1" x14ac:dyDescent="0.4">
      <c r="B101" s="109">
        <v>43964</v>
      </c>
      <c r="C101" s="5">
        <v>4.5</v>
      </c>
      <c r="D101" s="7">
        <f t="shared" si="15"/>
        <v>5.9999999999999609</v>
      </c>
      <c r="E101" s="5">
        <f t="shared" si="9"/>
        <v>0.54368569290921476</v>
      </c>
      <c r="F101" s="5">
        <f t="shared" si="10"/>
        <v>2.0234999999999852</v>
      </c>
      <c r="G101" s="5">
        <f t="shared" si="16"/>
        <v>0.36891611916185507</v>
      </c>
      <c r="H101" s="6" t="str">
        <f t="shared" si="11"/>
        <v/>
      </c>
      <c r="I101" s="6" t="str">
        <f t="shared" si="12"/>
        <v/>
      </c>
      <c r="J101" s="6" t="str">
        <f t="shared" si="13"/>
        <v/>
      </c>
      <c r="K101" s="6" t="str">
        <f t="shared" si="14"/>
        <v/>
      </c>
      <c r="L101" s="6" t="str">
        <f t="shared" si="17"/>
        <v/>
      </c>
      <c r="M101" s="110">
        <f>IF(D101="","",ABS(D101-G$5))</f>
        <v>5.9999999999999609</v>
      </c>
    </row>
    <row r="102" spans="2:13" s="107" customFormat="1" ht="12.75" customHeight="1" x14ac:dyDescent="0.4">
      <c r="B102" s="109">
        <v>43965</v>
      </c>
      <c r="C102" s="5">
        <v>4.5</v>
      </c>
      <c r="D102" s="7">
        <f t="shared" si="15"/>
        <v>0</v>
      </c>
      <c r="E102" s="5">
        <f t="shared" si="9"/>
        <v>2.1587520159630759E-2</v>
      </c>
      <c r="F102" s="5">
        <f t="shared" si="10"/>
        <v>0</v>
      </c>
      <c r="G102" s="5">
        <f t="shared" si="16"/>
        <v>1.5440311267651406E-2</v>
      </c>
      <c r="H102" s="6" t="str">
        <f t="shared" si="11"/>
        <v/>
      </c>
      <c r="I102" s="6" t="str">
        <f t="shared" si="12"/>
        <v/>
      </c>
      <c r="J102" s="6" t="str">
        <f t="shared" si="13"/>
        <v/>
      </c>
      <c r="K102" s="6" t="str">
        <f t="shared" si="14"/>
        <v/>
      </c>
      <c r="L102" s="6" t="str">
        <f t="shared" si="17"/>
        <v>STALE</v>
      </c>
      <c r="M102" s="110">
        <f>IF(D102="","",ABS(D102-G$5))</f>
        <v>0</v>
      </c>
    </row>
    <row r="103" spans="2:13" s="107" customFormat="1" ht="12.75" customHeight="1" x14ac:dyDescent="0.4">
      <c r="B103" s="109">
        <v>43966</v>
      </c>
      <c r="C103" s="5">
        <v>4.43</v>
      </c>
      <c r="D103" s="7">
        <f t="shared" si="15"/>
        <v>-7.0000000000000284</v>
      </c>
      <c r="E103" s="5">
        <f t="shared" si="9"/>
        <v>0.68107293540662428</v>
      </c>
      <c r="F103" s="5">
        <f t="shared" si="10"/>
        <v>2.3607500000000075</v>
      </c>
      <c r="G103" s="5">
        <f t="shared" si="16"/>
        <v>0.50684415619165912</v>
      </c>
      <c r="H103" s="6" t="str">
        <f t="shared" si="11"/>
        <v/>
      </c>
      <c r="I103" s="6" t="str">
        <f t="shared" si="12"/>
        <v/>
      </c>
      <c r="J103" s="6" t="str">
        <f t="shared" si="13"/>
        <v/>
      </c>
      <c r="K103" s="6" t="str">
        <f t="shared" si="14"/>
        <v/>
      </c>
      <c r="L103" s="6" t="str">
        <f t="shared" si="17"/>
        <v/>
      </c>
      <c r="M103" s="110">
        <f>IF(D103="","",ABS(D103-G$5))</f>
        <v>7.0000000000000284</v>
      </c>
    </row>
    <row r="104" spans="2:13" s="107" customFormat="1" ht="12.75" customHeight="1" x14ac:dyDescent="0.4">
      <c r="B104" s="109">
        <v>43969</v>
      </c>
      <c r="C104" s="5">
        <v>4.3099999999999996</v>
      </c>
      <c r="D104" s="7">
        <f t="shared" si="15"/>
        <v>-12.000000000000011</v>
      </c>
      <c r="E104" s="5">
        <f t="shared" si="9"/>
        <v>1.1521339462973303</v>
      </c>
      <c r="F104" s="5">
        <f t="shared" si="10"/>
        <v>4.0469999999999997</v>
      </c>
      <c r="G104" s="5">
        <f t="shared" si="16"/>
        <v>0.86898601295704303</v>
      </c>
      <c r="H104" s="6" t="str">
        <f t="shared" si="11"/>
        <v/>
      </c>
      <c r="I104" s="6" t="str">
        <f t="shared" si="12"/>
        <v>OUTLIER</v>
      </c>
      <c r="J104" s="6" t="str">
        <f t="shared" si="13"/>
        <v/>
      </c>
      <c r="K104" s="6" t="str">
        <f t="shared" si="14"/>
        <v/>
      </c>
      <c r="L104" s="6" t="str">
        <f t="shared" si="17"/>
        <v/>
      </c>
      <c r="M104" s="110">
        <f>IF(D104="","",ABS(D104-G$5))</f>
        <v>12.000000000000011</v>
      </c>
    </row>
    <row r="105" spans="2:13" s="107" customFormat="1" ht="12.75" customHeight="1" x14ac:dyDescent="0.4">
      <c r="B105" s="109">
        <v>43970</v>
      </c>
      <c r="C105" s="5">
        <v>4.38</v>
      </c>
      <c r="D105" s="7">
        <f t="shared" si="15"/>
        <v>7.0000000000000284</v>
      </c>
      <c r="E105" s="5">
        <f t="shared" si="9"/>
        <v>0.63789789508736272</v>
      </c>
      <c r="F105" s="5">
        <f t="shared" si="10"/>
        <v>2.3607500000000075</v>
      </c>
      <c r="G105" s="5">
        <f t="shared" si="16"/>
        <v>0.50075490205537876</v>
      </c>
      <c r="H105" s="6" t="str">
        <f t="shared" si="11"/>
        <v/>
      </c>
      <c r="I105" s="6" t="str">
        <f t="shared" si="12"/>
        <v/>
      </c>
      <c r="J105" s="6" t="str">
        <f t="shared" si="13"/>
        <v/>
      </c>
      <c r="K105" s="6" t="str">
        <f t="shared" si="14"/>
        <v/>
      </c>
      <c r="L105" s="6" t="str">
        <f t="shared" si="17"/>
        <v/>
      </c>
      <c r="M105" s="110">
        <f>IF(D105="","",ABS(D105-G$5))</f>
        <v>7.0000000000000284</v>
      </c>
    </row>
    <row r="106" spans="2:13" s="107" customFormat="1" ht="12.75" customHeight="1" x14ac:dyDescent="0.4">
      <c r="B106" s="109">
        <v>43971</v>
      </c>
      <c r="C106" s="5">
        <v>4.3</v>
      </c>
      <c r="D106" s="7">
        <f t="shared" si="15"/>
        <v>-8.0000000000000071</v>
      </c>
      <c r="E106" s="5">
        <f t="shared" si="9"/>
        <v>0.77528513758476369</v>
      </c>
      <c r="F106" s="5">
        <f t="shared" si="10"/>
        <v>2.698</v>
      </c>
      <c r="G106" s="5">
        <f t="shared" si="16"/>
        <v>0.62871878043646923</v>
      </c>
      <c r="H106" s="6" t="str">
        <f t="shared" si="11"/>
        <v/>
      </c>
      <c r="I106" s="6" t="str">
        <f t="shared" si="12"/>
        <v/>
      </c>
      <c r="J106" s="6" t="str">
        <f t="shared" si="13"/>
        <v/>
      </c>
      <c r="K106" s="6" t="str">
        <f t="shared" si="14"/>
        <v/>
      </c>
      <c r="L106" s="6" t="str">
        <f t="shared" si="17"/>
        <v/>
      </c>
      <c r="M106" s="110">
        <f>IF(D106="","",ABS(D106-G$5))</f>
        <v>8.0000000000000071</v>
      </c>
    </row>
    <row r="107" spans="2:13" s="107" customFormat="1" ht="12.75" customHeight="1" x14ac:dyDescent="0.4">
      <c r="B107" s="109">
        <v>43972</v>
      </c>
      <c r="C107" s="5">
        <v>4.3499999999999996</v>
      </c>
      <c r="D107" s="7">
        <f t="shared" si="15"/>
        <v>4.9999999999999822</v>
      </c>
      <c r="E107" s="5">
        <f t="shared" si="9"/>
        <v>0.44947349073107523</v>
      </c>
      <c r="F107" s="5">
        <f t="shared" si="10"/>
        <v>1.6862499999999925</v>
      </c>
      <c r="G107" s="5">
        <f t="shared" si="16"/>
        <v>0.38141312118122833</v>
      </c>
      <c r="H107" s="6" t="str">
        <f t="shared" si="11"/>
        <v/>
      </c>
      <c r="I107" s="6" t="str">
        <f t="shared" si="12"/>
        <v/>
      </c>
      <c r="J107" s="6" t="str">
        <f t="shared" si="13"/>
        <v/>
      </c>
      <c r="K107" s="6" t="str">
        <f t="shared" si="14"/>
        <v/>
      </c>
      <c r="L107" s="6" t="str">
        <f t="shared" si="17"/>
        <v/>
      </c>
      <c r="M107" s="110">
        <f>IF(D107="","",ABS(D107-G$5))</f>
        <v>4.9999999999999822</v>
      </c>
    </row>
    <row r="108" spans="2:13" s="107" customFormat="1" ht="12.75" customHeight="1" x14ac:dyDescent="0.4">
      <c r="B108" s="109">
        <v>43973</v>
      </c>
      <c r="C108" s="5">
        <v>4.28</v>
      </c>
      <c r="D108" s="7">
        <f t="shared" si="15"/>
        <v>-6.9999999999999396</v>
      </c>
      <c r="E108" s="5">
        <f t="shared" si="9"/>
        <v>0.68107293540661595</v>
      </c>
      <c r="F108" s="5">
        <f t="shared" si="10"/>
        <v>2.3607499999999777</v>
      </c>
      <c r="G108" s="5">
        <f t="shared" si="16"/>
        <v>0.59820610887487424</v>
      </c>
      <c r="H108" s="6" t="str">
        <f t="shared" si="11"/>
        <v/>
      </c>
      <c r="I108" s="6" t="str">
        <f t="shared" si="12"/>
        <v/>
      </c>
      <c r="J108" s="6" t="str">
        <f t="shared" si="13"/>
        <v/>
      </c>
      <c r="K108" s="6" t="str">
        <f t="shared" si="14"/>
        <v/>
      </c>
      <c r="L108" s="6" t="str">
        <f t="shared" si="17"/>
        <v/>
      </c>
      <c r="M108" s="110">
        <f>IF(D108="","",ABS(D108-G$5))</f>
        <v>6.9999999999999396</v>
      </c>
    </row>
    <row r="109" spans="2:13" s="107" customFormat="1" ht="12.75" customHeight="1" x14ac:dyDescent="0.4">
      <c r="B109" s="109">
        <v>43977</v>
      </c>
      <c r="C109" s="5">
        <v>4.16</v>
      </c>
      <c r="D109" s="7">
        <f t="shared" si="15"/>
        <v>-12.000000000000011</v>
      </c>
      <c r="E109" s="5">
        <f t="shared" si="9"/>
        <v>1.1521339462973303</v>
      </c>
      <c r="F109" s="5">
        <f t="shared" si="10"/>
        <v>4.0469999999999997</v>
      </c>
      <c r="G109" s="5">
        <f t="shared" si="16"/>
        <v>1.0107380640211512</v>
      </c>
      <c r="H109" s="6" t="str">
        <f t="shared" si="11"/>
        <v/>
      </c>
      <c r="I109" s="6" t="str">
        <f t="shared" si="12"/>
        <v>OUTLIER</v>
      </c>
      <c r="J109" s="6" t="str">
        <f t="shared" si="13"/>
        <v/>
      </c>
      <c r="K109" s="6" t="str">
        <f t="shared" si="14"/>
        <v/>
      </c>
      <c r="L109" s="6" t="str">
        <f t="shared" si="17"/>
        <v/>
      </c>
      <c r="M109" s="110">
        <f>IF(D109="","",ABS(D109-G$5))</f>
        <v>12.000000000000011</v>
      </c>
    </row>
    <row r="110" spans="2:13" s="107" customFormat="1" ht="12.75" customHeight="1" x14ac:dyDescent="0.4">
      <c r="B110" s="109">
        <v>43978</v>
      </c>
      <c r="C110" s="5">
        <v>4.07</v>
      </c>
      <c r="D110" s="7">
        <f t="shared" si="15"/>
        <v>-8.9999999999999858</v>
      </c>
      <c r="E110" s="5">
        <f t="shared" si="9"/>
        <v>0.86949733976290322</v>
      </c>
      <c r="F110" s="5">
        <f t="shared" si="10"/>
        <v>3.0352499999999925</v>
      </c>
      <c r="G110" s="5">
        <f t="shared" si="16"/>
        <v>0.77925450235685301</v>
      </c>
      <c r="H110" s="6" t="str">
        <f t="shared" si="11"/>
        <v/>
      </c>
      <c r="I110" s="6" t="str">
        <f t="shared" si="12"/>
        <v>OUTLIER</v>
      </c>
      <c r="J110" s="6" t="str">
        <f t="shared" si="13"/>
        <v/>
      </c>
      <c r="K110" s="6" t="str">
        <f t="shared" si="14"/>
        <v/>
      </c>
      <c r="L110" s="6" t="str">
        <f t="shared" si="17"/>
        <v/>
      </c>
      <c r="M110" s="110">
        <f>IF(D110="","",ABS(D110-G$5))</f>
        <v>8.9999999999999858</v>
      </c>
    </row>
    <row r="111" spans="2:13" s="107" customFormat="1" ht="12.75" customHeight="1" x14ac:dyDescent="0.4">
      <c r="B111" s="109">
        <v>43979</v>
      </c>
      <c r="C111" s="5">
        <v>4.04</v>
      </c>
      <c r="D111" s="7">
        <f t="shared" si="15"/>
        <v>-3.0000000000000249</v>
      </c>
      <c r="E111" s="5">
        <f t="shared" si="9"/>
        <v>0.30422412669405774</v>
      </c>
      <c r="F111" s="5">
        <f t="shared" si="10"/>
        <v>1.0117500000000075</v>
      </c>
      <c r="G111" s="5">
        <f t="shared" si="16"/>
        <v>0.28621819970157658</v>
      </c>
      <c r="H111" s="6" t="str">
        <f t="shared" si="11"/>
        <v/>
      </c>
      <c r="I111" s="6" t="str">
        <f t="shared" si="12"/>
        <v/>
      </c>
      <c r="J111" s="6" t="str">
        <f t="shared" si="13"/>
        <v/>
      </c>
      <c r="K111" s="6" t="str">
        <f t="shared" si="14"/>
        <v/>
      </c>
      <c r="L111" s="6" t="str">
        <f t="shared" si="17"/>
        <v/>
      </c>
      <c r="M111" s="110">
        <f>IF(D111="","",ABS(D111-G$5))</f>
        <v>3.0000000000000249</v>
      </c>
    </row>
    <row r="112" spans="2:13" s="107" customFormat="1" ht="12.75" customHeight="1" x14ac:dyDescent="0.4">
      <c r="B112" s="109">
        <v>43980</v>
      </c>
      <c r="C112" s="5">
        <v>3.98</v>
      </c>
      <c r="D112" s="7">
        <f t="shared" si="15"/>
        <v>-6.0000000000000053</v>
      </c>
      <c r="E112" s="5">
        <f t="shared" si="9"/>
        <v>0.58686073322848054</v>
      </c>
      <c r="F112" s="5">
        <f t="shared" si="10"/>
        <v>2.0234999999999999</v>
      </c>
      <c r="G112" s="5">
        <f t="shared" si="16"/>
        <v>0.57237954128256141</v>
      </c>
      <c r="H112" s="6" t="str">
        <f t="shared" si="11"/>
        <v/>
      </c>
      <c r="I112" s="6" t="str">
        <f t="shared" si="12"/>
        <v/>
      </c>
      <c r="J112" s="6" t="str">
        <f t="shared" si="13"/>
        <v/>
      </c>
      <c r="K112" s="6" t="str">
        <f t="shared" si="14"/>
        <v/>
      </c>
      <c r="L112" s="6" t="str">
        <f t="shared" si="17"/>
        <v/>
      </c>
      <c r="M112" s="110">
        <f>IF(D112="","",ABS(D112-G$5))</f>
        <v>6.0000000000000053</v>
      </c>
    </row>
    <row r="113" spans="2:13" s="107" customFormat="1" ht="12.75" customHeight="1" x14ac:dyDescent="0.4">
      <c r="B113" s="109">
        <v>43983</v>
      </c>
      <c r="C113" s="5">
        <v>3.92</v>
      </c>
      <c r="D113" s="7">
        <f t="shared" si="15"/>
        <v>-6.0000000000000053</v>
      </c>
      <c r="E113" s="5">
        <f t="shared" si="9"/>
        <v>0.58686073322848054</v>
      </c>
      <c r="F113" s="5">
        <f t="shared" si="10"/>
        <v>2.0234999999999999</v>
      </c>
      <c r="G113" s="5">
        <f t="shared" si="16"/>
        <v>0.59265058638931034</v>
      </c>
      <c r="H113" s="6" t="str">
        <f t="shared" si="11"/>
        <v/>
      </c>
      <c r="I113" s="6" t="str">
        <f t="shared" si="12"/>
        <v/>
      </c>
      <c r="J113" s="6" t="str">
        <f t="shared" si="13"/>
        <v/>
      </c>
      <c r="K113" s="6" t="str">
        <f t="shared" si="14"/>
        <v/>
      </c>
      <c r="L113" s="6" t="str">
        <f t="shared" si="17"/>
        <v/>
      </c>
      <c r="M113" s="110">
        <f>IF(D113="","",ABS(D113-G$5))</f>
        <v>6.0000000000000053</v>
      </c>
    </row>
    <row r="114" spans="2:13" s="107" customFormat="1" ht="12.75" customHeight="1" x14ac:dyDescent="0.4">
      <c r="B114" s="109">
        <v>43984</v>
      </c>
      <c r="C114" s="5">
        <v>3.83</v>
      </c>
      <c r="D114" s="7">
        <f t="shared" si="15"/>
        <v>-8.9999999999999858</v>
      </c>
      <c r="E114" s="5">
        <f t="shared" si="9"/>
        <v>0.86949733976290322</v>
      </c>
      <c r="F114" s="5">
        <f t="shared" si="10"/>
        <v>3.0352499999999925</v>
      </c>
      <c r="G114" s="5">
        <f t="shared" si="16"/>
        <v>0.88830487164197658</v>
      </c>
      <c r="H114" s="6" t="str">
        <f t="shared" si="11"/>
        <v/>
      </c>
      <c r="I114" s="6" t="str">
        <f t="shared" si="12"/>
        <v>OUTLIER</v>
      </c>
      <c r="J114" s="6" t="str">
        <f t="shared" si="13"/>
        <v/>
      </c>
      <c r="K114" s="6" t="str">
        <f t="shared" si="14"/>
        <v/>
      </c>
      <c r="L114" s="6" t="str">
        <f t="shared" si="17"/>
        <v/>
      </c>
      <c r="M114" s="110">
        <f>IF(D114="","",ABS(D114-G$5))</f>
        <v>8.9999999999999858</v>
      </c>
    </row>
    <row r="115" spans="2:13" s="107" customFormat="1" ht="12.75" customHeight="1" x14ac:dyDescent="0.4">
      <c r="B115" s="109">
        <v>43985</v>
      </c>
      <c r="C115" s="5">
        <v>3.73</v>
      </c>
      <c r="D115" s="7">
        <f t="shared" si="15"/>
        <v>-10.000000000000009</v>
      </c>
      <c r="E115" s="5">
        <f t="shared" si="9"/>
        <v>0.96370954194104697</v>
      </c>
      <c r="F115" s="5">
        <f t="shared" si="10"/>
        <v>3.3725000000000001</v>
      </c>
      <c r="G115" s="5">
        <f t="shared" si="16"/>
        <v>0.9860673043700563</v>
      </c>
      <c r="H115" s="6" t="str">
        <f t="shared" si="11"/>
        <v/>
      </c>
      <c r="I115" s="6" t="str">
        <f t="shared" si="12"/>
        <v>OUTLIER</v>
      </c>
      <c r="J115" s="6" t="str">
        <f t="shared" si="13"/>
        <v/>
      </c>
      <c r="K115" s="6" t="str">
        <f t="shared" si="14"/>
        <v/>
      </c>
      <c r="L115" s="6" t="str">
        <f t="shared" si="17"/>
        <v/>
      </c>
      <c r="M115" s="110">
        <f>IF(D115="","",ABS(D115-G$5))</f>
        <v>10.000000000000009</v>
      </c>
    </row>
    <row r="116" spans="2:13" s="107" customFormat="1" ht="12.75" customHeight="1" x14ac:dyDescent="0.4">
      <c r="B116" s="109">
        <v>43986</v>
      </c>
      <c r="C116" s="5">
        <v>3.72</v>
      </c>
      <c r="D116" s="7">
        <f t="shared" si="15"/>
        <v>-0.99999999999997868</v>
      </c>
      <c r="E116" s="5">
        <f t="shared" si="9"/>
        <v>0.11579972233777029</v>
      </c>
      <c r="F116" s="5">
        <f t="shared" si="10"/>
        <v>0.3372499999999925</v>
      </c>
      <c r="G116" s="5">
        <f t="shared" si="16"/>
        <v>0.12479816560497003</v>
      </c>
      <c r="H116" s="6" t="str">
        <f t="shared" si="11"/>
        <v/>
      </c>
      <c r="I116" s="6" t="str">
        <f t="shared" si="12"/>
        <v/>
      </c>
      <c r="J116" s="6" t="str">
        <f t="shared" si="13"/>
        <v/>
      </c>
      <c r="K116" s="6" t="str">
        <f t="shared" si="14"/>
        <v/>
      </c>
      <c r="L116" s="6" t="str">
        <f t="shared" si="17"/>
        <v/>
      </c>
      <c r="M116" s="110">
        <f>IF(D116="","",ABS(D116-G$5))</f>
        <v>0.99999999999997868</v>
      </c>
    </row>
    <row r="117" spans="2:13" s="107" customFormat="1" ht="12.75" customHeight="1" x14ac:dyDescent="0.4">
      <c r="B117" s="109">
        <v>43987</v>
      </c>
      <c r="C117" s="5">
        <v>3.6</v>
      </c>
      <c r="D117" s="7">
        <f t="shared" si="15"/>
        <v>-12.000000000000011</v>
      </c>
      <c r="E117" s="5">
        <f t="shared" si="9"/>
        <v>1.1521339462973303</v>
      </c>
      <c r="F117" s="5">
        <f t="shared" si="10"/>
        <v>4.0469999999999997</v>
      </c>
      <c r="G117" s="5">
        <f t="shared" si="16"/>
        <v>1.2093382408385964</v>
      </c>
      <c r="H117" s="6" t="str">
        <f t="shared" si="11"/>
        <v/>
      </c>
      <c r="I117" s="6" t="str">
        <f t="shared" si="12"/>
        <v>OUTLIER</v>
      </c>
      <c r="J117" s="6" t="str">
        <f t="shared" si="13"/>
        <v/>
      </c>
      <c r="K117" s="6" t="str">
        <f t="shared" si="14"/>
        <v/>
      </c>
      <c r="L117" s="6" t="str">
        <f t="shared" si="17"/>
        <v/>
      </c>
      <c r="M117" s="110">
        <f>IF(D117="","",ABS(D117-G$5))</f>
        <v>12.000000000000011</v>
      </c>
    </row>
    <row r="118" spans="2:13" s="107" customFormat="1" ht="12.75" customHeight="1" x14ac:dyDescent="0.4">
      <c r="B118" s="109">
        <v>43990</v>
      </c>
      <c r="C118" s="5">
        <v>3.57</v>
      </c>
      <c r="D118" s="7">
        <f t="shared" si="15"/>
        <v>-3.0000000000000249</v>
      </c>
      <c r="E118" s="5">
        <f t="shared" si="9"/>
        <v>0.30422412669405774</v>
      </c>
      <c r="F118" s="5">
        <f t="shared" si="10"/>
        <v>1.0117500000000075</v>
      </c>
      <c r="G118" s="5">
        <f t="shared" si="16"/>
        <v>0.33471158254315053</v>
      </c>
      <c r="H118" s="6" t="str">
        <f t="shared" si="11"/>
        <v/>
      </c>
      <c r="I118" s="6" t="str">
        <f t="shared" si="12"/>
        <v/>
      </c>
      <c r="J118" s="6" t="str">
        <f t="shared" si="13"/>
        <v/>
      </c>
      <c r="K118" s="6" t="str">
        <f t="shared" si="14"/>
        <v/>
      </c>
      <c r="L118" s="6" t="str">
        <f t="shared" si="17"/>
        <v/>
      </c>
      <c r="M118" s="110">
        <f>IF(D118="","",ABS(D118-G$5))</f>
        <v>3.0000000000000249</v>
      </c>
    </row>
    <row r="119" spans="2:13" s="107" customFormat="1" ht="12.75" customHeight="1" x14ac:dyDescent="0.4">
      <c r="B119" s="109">
        <v>43991</v>
      </c>
      <c r="C119" s="5">
        <v>3.52</v>
      </c>
      <c r="D119" s="7">
        <f t="shared" si="15"/>
        <v>-4.9999999999999822</v>
      </c>
      <c r="E119" s="5">
        <f t="shared" si="9"/>
        <v>0.49264853105033685</v>
      </c>
      <c r="F119" s="5">
        <f t="shared" si="10"/>
        <v>1.6862499999999925</v>
      </c>
      <c r="G119" s="5">
        <f t="shared" si="16"/>
        <v>0.56223514066844626</v>
      </c>
      <c r="H119" s="6" t="str">
        <f t="shared" si="11"/>
        <v/>
      </c>
      <c r="I119" s="6" t="str">
        <f t="shared" si="12"/>
        <v/>
      </c>
      <c r="J119" s="6" t="str">
        <f t="shared" si="13"/>
        <v/>
      </c>
      <c r="K119" s="6" t="str">
        <f t="shared" si="14"/>
        <v/>
      </c>
      <c r="L119" s="6" t="str">
        <f t="shared" si="17"/>
        <v/>
      </c>
      <c r="M119" s="110">
        <f>IF(D119="","",ABS(D119-G$5))</f>
        <v>4.9999999999999822</v>
      </c>
    </row>
    <row r="120" spans="2:13" s="107" customFormat="1" ht="12.75" customHeight="1" x14ac:dyDescent="0.4">
      <c r="B120" s="109">
        <v>43992</v>
      </c>
      <c r="C120" s="5">
        <v>3.57</v>
      </c>
      <c r="D120" s="7">
        <f t="shared" si="15"/>
        <v>4.9999999999999822</v>
      </c>
      <c r="E120" s="5">
        <f t="shared" si="9"/>
        <v>0.44947349073107523</v>
      </c>
      <c r="F120" s="5">
        <f t="shared" si="10"/>
        <v>1.6862499999999925</v>
      </c>
      <c r="G120" s="5">
        <f t="shared" si="16"/>
        <v>0.53297397870756447</v>
      </c>
      <c r="H120" s="6" t="str">
        <f t="shared" si="11"/>
        <v/>
      </c>
      <c r="I120" s="6" t="str">
        <f t="shared" si="12"/>
        <v/>
      </c>
      <c r="J120" s="6" t="str">
        <f t="shared" si="13"/>
        <v/>
      </c>
      <c r="K120" s="6" t="str">
        <f t="shared" si="14"/>
        <v/>
      </c>
      <c r="L120" s="6" t="str">
        <f t="shared" si="17"/>
        <v/>
      </c>
      <c r="M120" s="110">
        <f>IF(D120="","",ABS(D120-G$5))</f>
        <v>4.9999999999999822</v>
      </c>
    </row>
    <row r="121" spans="2:13" s="107" customFormat="1" ht="12.75" customHeight="1" x14ac:dyDescent="0.4">
      <c r="B121" s="109">
        <v>43993</v>
      </c>
      <c r="C121" s="5">
        <v>3.75</v>
      </c>
      <c r="D121" s="7">
        <f t="shared" si="15"/>
        <v>18.000000000000014</v>
      </c>
      <c r="E121" s="5">
        <f t="shared" si="9"/>
        <v>1.6742321190469183</v>
      </c>
      <c r="F121" s="5">
        <f t="shared" si="10"/>
        <v>6.0704999999999991</v>
      </c>
      <c r="G121" s="5">
        <f t="shared" si="16"/>
        <v>1.7451360746272619</v>
      </c>
      <c r="H121" s="6" t="str">
        <f t="shared" si="11"/>
        <v/>
      </c>
      <c r="I121" s="6" t="str">
        <f t="shared" si="12"/>
        <v>OUTLIER</v>
      </c>
      <c r="J121" s="6" t="str">
        <f t="shared" si="13"/>
        <v/>
      </c>
      <c r="K121" s="6" t="str">
        <f t="shared" si="14"/>
        <v/>
      </c>
      <c r="L121" s="6" t="str">
        <f t="shared" si="17"/>
        <v/>
      </c>
      <c r="M121" s="110">
        <f>IF(D121="","",ABS(D121-G$5))</f>
        <v>18.000000000000014</v>
      </c>
    </row>
    <row r="122" spans="2:13" s="107" customFormat="1" ht="12.75" customHeight="1" x14ac:dyDescent="0.4">
      <c r="B122" s="109">
        <v>43994</v>
      </c>
      <c r="C122" s="5">
        <v>3.83</v>
      </c>
      <c r="D122" s="7">
        <f t="shared" si="15"/>
        <v>8.0000000000000071</v>
      </c>
      <c r="E122" s="5">
        <f t="shared" si="9"/>
        <v>0.73211009726550225</v>
      </c>
      <c r="F122" s="5">
        <f t="shared" si="10"/>
        <v>2.698</v>
      </c>
      <c r="G122" s="5">
        <f t="shared" si="16"/>
        <v>0.77956822886286414</v>
      </c>
      <c r="H122" s="6" t="str">
        <f t="shared" si="11"/>
        <v/>
      </c>
      <c r="I122" s="6" t="str">
        <f t="shared" si="12"/>
        <v/>
      </c>
      <c r="J122" s="6" t="str">
        <f t="shared" si="13"/>
        <v/>
      </c>
      <c r="K122" s="6" t="str">
        <f t="shared" si="14"/>
        <v/>
      </c>
      <c r="L122" s="6" t="str">
        <f t="shared" si="17"/>
        <v/>
      </c>
      <c r="M122" s="110">
        <f>IF(D122="","",ABS(D122-G$5))</f>
        <v>8.0000000000000071</v>
      </c>
    </row>
    <row r="123" spans="2:13" s="107" customFormat="1" ht="12.75" customHeight="1" x14ac:dyDescent="0.4">
      <c r="B123" s="109">
        <v>43997</v>
      </c>
      <c r="C123" s="5">
        <v>3.73</v>
      </c>
      <c r="D123" s="7">
        <f t="shared" si="15"/>
        <v>-10.000000000000009</v>
      </c>
      <c r="E123" s="5">
        <f t="shared" si="9"/>
        <v>0.96370954194104697</v>
      </c>
      <c r="F123" s="5">
        <f t="shared" si="10"/>
        <v>3.3725000000000001</v>
      </c>
      <c r="G123" s="5">
        <f t="shared" si="16"/>
        <v>1.0234698075157223</v>
      </c>
      <c r="H123" s="6" t="str">
        <f t="shared" si="11"/>
        <v/>
      </c>
      <c r="I123" s="6" t="str">
        <f t="shared" si="12"/>
        <v>OUTLIER</v>
      </c>
      <c r="J123" s="6" t="str">
        <f t="shared" si="13"/>
        <v/>
      </c>
      <c r="K123" s="6" t="str">
        <f t="shared" si="14"/>
        <v/>
      </c>
      <c r="L123" s="6" t="str">
        <f t="shared" si="17"/>
        <v/>
      </c>
      <c r="M123" s="110">
        <f>IF(D123="","",ABS(D123-G$5))</f>
        <v>10.000000000000009</v>
      </c>
    </row>
    <row r="124" spans="2:13" s="107" customFormat="1" ht="12.75" customHeight="1" x14ac:dyDescent="0.4">
      <c r="B124" s="109">
        <v>43998</v>
      </c>
      <c r="C124" s="5">
        <v>3.66</v>
      </c>
      <c r="D124" s="7">
        <f t="shared" si="15"/>
        <v>-6.999999999999984</v>
      </c>
      <c r="E124" s="5">
        <f t="shared" si="9"/>
        <v>0.68107293540662006</v>
      </c>
      <c r="F124" s="5">
        <f t="shared" si="10"/>
        <v>2.3607499999999924</v>
      </c>
      <c r="G124" s="5">
        <f t="shared" si="16"/>
        <v>0.74119361751659452</v>
      </c>
      <c r="H124" s="6" t="str">
        <f t="shared" si="11"/>
        <v/>
      </c>
      <c r="I124" s="6" t="str">
        <f t="shared" si="12"/>
        <v/>
      </c>
      <c r="J124" s="6" t="str">
        <f t="shared" si="13"/>
        <v/>
      </c>
      <c r="K124" s="6" t="str">
        <f t="shared" si="14"/>
        <v/>
      </c>
      <c r="L124" s="6" t="str">
        <f t="shared" si="17"/>
        <v/>
      </c>
      <c r="M124" s="110">
        <f>IF(D124="","",ABS(D124-G$5))</f>
        <v>6.999999999999984</v>
      </c>
    </row>
    <row r="125" spans="2:13" s="107" customFormat="1" ht="12.75" customHeight="1" x14ac:dyDescent="0.4">
      <c r="B125" s="109">
        <v>43999</v>
      </c>
      <c r="C125" s="5">
        <v>3.65</v>
      </c>
      <c r="D125" s="7">
        <f t="shared" si="15"/>
        <v>-1.0000000000000231</v>
      </c>
      <c r="E125" s="5">
        <f t="shared" si="9"/>
        <v>0.11579972233777447</v>
      </c>
      <c r="F125" s="5">
        <f t="shared" si="10"/>
        <v>0.33725000000000749</v>
      </c>
      <c r="G125" s="5">
        <f t="shared" si="16"/>
        <v>0.13272155742262468</v>
      </c>
      <c r="H125" s="6" t="str">
        <f t="shared" si="11"/>
        <v/>
      </c>
      <c r="I125" s="6" t="str">
        <f t="shared" si="12"/>
        <v/>
      </c>
      <c r="J125" s="6" t="str">
        <f t="shared" si="13"/>
        <v/>
      </c>
      <c r="K125" s="6" t="str">
        <f t="shared" si="14"/>
        <v/>
      </c>
      <c r="L125" s="6" t="str">
        <f t="shared" si="17"/>
        <v/>
      </c>
      <c r="M125" s="110">
        <f>IF(D125="","",ABS(D125-G$5))</f>
        <v>1.0000000000000231</v>
      </c>
    </row>
    <row r="126" spans="2:13" s="107" customFormat="1" ht="12.75" customHeight="1" x14ac:dyDescent="0.4">
      <c r="B126" s="109">
        <v>44000</v>
      </c>
      <c r="C126" s="5">
        <v>3.68</v>
      </c>
      <c r="D126" s="7">
        <f t="shared" si="15"/>
        <v>3.0000000000000249</v>
      </c>
      <c r="E126" s="5">
        <f t="shared" si="9"/>
        <v>0.26104908637479624</v>
      </c>
      <c r="F126" s="5">
        <f t="shared" si="10"/>
        <v>1.0117500000000075</v>
      </c>
      <c r="G126" s="5">
        <f t="shared" si="16"/>
        <v>0.31382366681093665</v>
      </c>
      <c r="H126" s="6" t="str">
        <f t="shared" si="11"/>
        <v/>
      </c>
      <c r="I126" s="6" t="str">
        <f t="shared" si="12"/>
        <v/>
      </c>
      <c r="J126" s="6" t="str">
        <f t="shared" si="13"/>
        <v/>
      </c>
      <c r="K126" s="6" t="str">
        <f t="shared" si="14"/>
        <v/>
      </c>
      <c r="L126" s="6" t="str">
        <f t="shared" si="17"/>
        <v/>
      </c>
      <c r="M126" s="110">
        <f>IF(D126="","",ABS(D126-G$5))</f>
        <v>3.0000000000000249</v>
      </c>
    </row>
    <row r="127" spans="2:13" s="107" customFormat="1" ht="12.75" customHeight="1" x14ac:dyDescent="0.4">
      <c r="B127" s="109">
        <v>44001</v>
      </c>
      <c r="C127" s="5">
        <v>3.68</v>
      </c>
      <c r="D127" s="7">
        <f t="shared" si="15"/>
        <v>0</v>
      </c>
      <c r="E127" s="5">
        <f t="shared" si="9"/>
        <v>2.1587520159630759E-2</v>
      </c>
      <c r="F127" s="5">
        <f t="shared" si="10"/>
        <v>0</v>
      </c>
      <c r="G127" s="5">
        <f t="shared" si="16"/>
        <v>2.7354499141990684E-2</v>
      </c>
      <c r="H127" s="6" t="str">
        <f t="shared" si="11"/>
        <v/>
      </c>
      <c r="I127" s="6" t="str">
        <f t="shared" si="12"/>
        <v/>
      </c>
      <c r="J127" s="6" t="str">
        <f t="shared" si="13"/>
        <v/>
      </c>
      <c r="K127" s="6" t="str">
        <f t="shared" si="14"/>
        <v/>
      </c>
      <c r="L127" s="6" t="str">
        <f t="shared" si="17"/>
        <v>STALE</v>
      </c>
      <c r="M127" s="110">
        <f>IF(D127="","",ABS(D127-G$5))</f>
        <v>0</v>
      </c>
    </row>
    <row r="128" spans="2:13" s="107" customFormat="1" ht="12.75" customHeight="1" x14ac:dyDescent="0.4">
      <c r="B128" s="109">
        <v>44004</v>
      </c>
      <c r="C128" s="5">
        <v>3.63</v>
      </c>
      <c r="D128" s="7">
        <f t="shared" si="15"/>
        <v>-5.0000000000000266</v>
      </c>
      <c r="E128" s="5">
        <f t="shared" si="9"/>
        <v>0.49264853105034101</v>
      </c>
      <c r="F128" s="5">
        <f t="shared" si="10"/>
        <v>1.6862500000000074</v>
      </c>
      <c r="G128" s="5">
        <f t="shared" si="16"/>
        <v>0.64422478302090569</v>
      </c>
      <c r="H128" s="6" t="str">
        <f t="shared" si="11"/>
        <v/>
      </c>
      <c r="I128" s="6" t="str">
        <f t="shared" si="12"/>
        <v/>
      </c>
      <c r="J128" s="6" t="str">
        <f t="shared" si="13"/>
        <v/>
      </c>
      <c r="K128" s="6" t="str">
        <f t="shared" si="14"/>
        <v/>
      </c>
      <c r="L128" s="6" t="str">
        <f t="shared" si="17"/>
        <v/>
      </c>
      <c r="M128" s="110">
        <f>IF(D128="","",ABS(D128-G$5))</f>
        <v>5.0000000000000266</v>
      </c>
    </row>
    <row r="129" spans="2:13" s="107" customFormat="1" ht="12.75" customHeight="1" x14ac:dyDescent="0.4">
      <c r="B129" s="109">
        <v>44005</v>
      </c>
      <c r="C129" s="5">
        <v>3.59</v>
      </c>
      <c r="D129" s="7">
        <f t="shared" si="15"/>
        <v>-4.0000000000000036</v>
      </c>
      <c r="E129" s="5">
        <f t="shared" si="9"/>
        <v>0.39843632887219732</v>
      </c>
      <c r="F129" s="5">
        <f t="shared" si="10"/>
        <v>1.349</v>
      </c>
      <c r="G129" s="5">
        <f t="shared" si="16"/>
        <v>0.54110920056658307</v>
      </c>
      <c r="H129" s="6" t="str">
        <f t="shared" si="11"/>
        <v/>
      </c>
      <c r="I129" s="6" t="str">
        <f t="shared" si="12"/>
        <v/>
      </c>
      <c r="J129" s="6" t="str">
        <f t="shared" si="13"/>
        <v/>
      </c>
      <c r="K129" s="6" t="str">
        <f t="shared" si="14"/>
        <v/>
      </c>
      <c r="L129" s="6" t="str">
        <f t="shared" si="17"/>
        <v/>
      </c>
      <c r="M129" s="110">
        <f>IF(D129="","",ABS(D129-G$5))</f>
        <v>4.0000000000000036</v>
      </c>
    </row>
    <row r="130" spans="2:13" s="107" customFormat="1" ht="12.75" customHeight="1" x14ac:dyDescent="0.4">
      <c r="B130" s="109">
        <v>44006</v>
      </c>
      <c r="C130" s="5">
        <v>3.69</v>
      </c>
      <c r="D130" s="7">
        <f t="shared" si="15"/>
        <v>10.000000000000009</v>
      </c>
      <c r="E130" s="5">
        <f t="shared" si="9"/>
        <v>0.92053450162178563</v>
      </c>
      <c r="F130" s="5">
        <f t="shared" si="10"/>
        <v>3.3725000000000001</v>
      </c>
      <c r="G130" s="5">
        <f t="shared" si="16"/>
        <v>1.2163943836168125</v>
      </c>
      <c r="H130" s="6" t="str">
        <f t="shared" si="11"/>
        <v/>
      </c>
      <c r="I130" s="6" t="str">
        <f t="shared" si="12"/>
        <v>OUTLIER</v>
      </c>
      <c r="J130" s="6" t="str">
        <f t="shared" si="13"/>
        <v/>
      </c>
      <c r="K130" s="6" t="str">
        <f t="shared" si="14"/>
        <v/>
      </c>
      <c r="L130" s="6" t="str">
        <f t="shared" si="17"/>
        <v/>
      </c>
      <c r="M130" s="110">
        <f>IF(D130="","",ABS(D130-G$5))</f>
        <v>10.000000000000009</v>
      </c>
    </row>
    <row r="131" spans="2:13" s="107" customFormat="1" ht="12.75" customHeight="1" x14ac:dyDescent="0.4">
      <c r="B131" s="109">
        <v>44007</v>
      </c>
      <c r="C131" s="5">
        <v>3.73</v>
      </c>
      <c r="D131" s="7">
        <f t="shared" si="15"/>
        <v>4.0000000000000036</v>
      </c>
      <c r="E131" s="5">
        <f t="shared" si="9"/>
        <v>0.35526128855293576</v>
      </c>
      <c r="F131" s="5">
        <f t="shared" si="10"/>
        <v>1.349</v>
      </c>
      <c r="G131" s="5">
        <f t="shared" si="16"/>
        <v>0.48888634230013739</v>
      </c>
      <c r="H131" s="6" t="str">
        <f t="shared" si="11"/>
        <v/>
      </c>
      <c r="I131" s="6" t="str">
        <f t="shared" si="12"/>
        <v/>
      </c>
      <c r="J131" s="6" t="str">
        <f t="shared" si="13"/>
        <v/>
      </c>
      <c r="K131" s="6" t="str">
        <f t="shared" si="14"/>
        <v/>
      </c>
      <c r="L131" s="6" t="str">
        <f t="shared" si="17"/>
        <v/>
      </c>
      <c r="M131" s="110">
        <f>IF(D131="","",ABS(D131-G$5))</f>
        <v>4.0000000000000036</v>
      </c>
    </row>
    <row r="132" spans="2:13" s="107" customFormat="1" ht="12.75" customHeight="1" x14ac:dyDescent="0.4">
      <c r="B132" s="109">
        <v>44008</v>
      </c>
      <c r="C132" s="5">
        <v>3.78</v>
      </c>
      <c r="D132" s="7">
        <f t="shared" si="15"/>
        <v>4.9999999999999822</v>
      </c>
      <c r="E132" s="5">
        <f t="shared" si="9"/>
        <v>0.44947349073107523</v>
      </c>
      <c r="F132" s="5">
        <f t="shared" si="10"/>
        <v>1.6862499999999925</v>
      </c>
      <c r="G132" s="5">
        <f t="shared" si="16"/>
        <v>0.63856166350498822</v>
      </c>
      <c r="H132" s="6" t="str">
        <f t="shared" si="11"/>
        <v/>
      </c>
      <c r="I132" s="6" t="str">
        <f t="shared" si="12"/>
        <v/>
      </c>
      <c r="J132" s="6" t="str">
        <f t="shared" si="13"/>
        <v/>
      </c>
      <c r="K132" s="6" t="str">
        <f t="shared" si="14"/>
        <v/>
      </c>
      <c r="L132" s="6" t="str">
        <f t="shared" si="17"/>
        <v/>
      </c>
      <c r="M132" s="110">
        <f>IF(D132="","",ABS(D132-G$5))</f>
        <v>4.9999999999999822</v>
      </c>
    </row>
    <row r="133" spans="2:13" s="107" customFormat="1" ht="12.75" customHeight="1" x14ac:dyDescent="0.4">
      <c r="B133" s="109">
        <v>44011</v>
      </c>
      <c r="C133" s="5">
        <v>3.73</v>
      </c>
      <c r="D133" s="7">
        <f t="shared" si="15"/>
        <v>-4.9999999999999822</v>
      </c>
      <c r="E133" s="5">
        <f t="shared" si="9"/>
        <v>0.49264853105033685</v>
      </c>
      <c r="F133" s="5">
        <f t="shared" si="10"/>
        <v>1.6862499999999925</v>
      </c>
      <c r="G133" s="5">
        <f t="shared" si="16"/>
        <v>0.71846571807146264</v>
      </c>
      <c r="H133" s="6" t="str">
        <f t="shared" si="11"/>
        <v/>
      </c>
      <c r="I133" s="6" t="str">
        <f t="shared" si="12"/>
        <v/>
      </c>
      <c r="J133" s="6" t="str">
        <f t="shared" si="13"/>
        <v/>
      </c>
      <c r="K133" s="6" t="str">
        <f t="shared" si="14"/>
        <v/>
      </c>
      <c r="L133" s="6" t="str">
        <f t="shared" si="17"/>
        <v/>
      </c>
      <c r="M133" s="110">
        <f>IF(D133="","",ABS(D133-G$5))</f>
        <v>4.9999999999999822</v>
      </c>
    </row>
    <row r="134" spans="2:13" s="107" customFormat="1" ht="12.75" customHeight="1" x14ac:dyDescent="0.4">
      <c r="B134" s="109">
        <v>44012</v>
      </c>
      <c r="C134" s="5">
        <v>3.67</v>
      </c>
      <c r="D134" s="7">
        <f t="shared" si="15"/>
        <v>-6.0000000000000053</v>
      </c>
      <c r="E134" s="5">
        <f t="shared" si="9"/>
        <v>0.58686073322848054</v>
      </c>
      <c r="F134" s="5">
        <f t="shared" si="10"/>
        <v>2.0234999999999999</v>
      </c>
      <c r="G134" s="5">
        <f t="shared" si="16"/>
        <v>0.86754437198099454</v>
      </c>
      <c r="H134" s="6" t="str">
        <f t="shared" si="11"/>
        <v/>
      </c>
      <c r="I134" s="6" t="str">
        <f t="shared" si="12"/>
        <v/>
      </c>
      <c r="J134" s="6" t="str">
        <f t="shared" si="13"/>
        <v/>
      </c>
      <c r="K134" s="6" t="str">
        <f t="shared" si="14"/>
        <v/>
      </c>
      <c r="L134" s="6" t="str">
        <f t="shared" si="17"/>
        <v/>
      </c>
      <c r="M134" s="110">
        <f>IF(D134="","",ABS(D134-G$5))</f>
        <v>6.0000000000000053</v>
      </c>
    </row>
    <row r="135" spans="2:13" s="107" customFormat="1" ht="12.75" customHeight="1" x14ac:dyDescent="0.4">
      <c r="B135" s="109">
        <v>44013</v>
      </c>
      <c r="C135" s="5">
        <v>3.6</v>
      </c>
      <c r="D135" s="7">
        <f t="shared" si="15"/>
        <v>-6.999999999999984</v>
      </c>
      <c r="E135" s="5">
        <f t="shared" si="9"/>
        <v>0.68107293540662006</v>
      </c>
      <c r="F135" s="5">
        <f t="shared" si="10"/>
        <v>2.3607499999999924</v>
      </c>
      <c r="G135" s="5">
        <f t="shared" si="16"/>
        <v>1.0061284517208036</v>
      </c>
      <c r="H135" s="6" t="str">
        <f t="shared" si="11"/>
        <v/>
      </c>
      <c r="I135" s="6" t="str">
        <f t="shared" si="12"/>
        <v/>
      </c>
      <c r="J135" s="6" t="str">
        <f t="shared" si="13"/>
        <v/>
      </c>
      <c r="K135" s="6" t="str">
        <f t="shared" si="14"/>
        <v/>
      </c>
      <c r="L135" s="6" t="str">
        <f t="shared" si="17"/>
        <v/>
      </c>
      <c r="M135" s="110">
        <f>IF(D135="","",ABS(D135-G$5))</f>
        <v>6.999999999999984</v>
      </c>
    </row>
    <row r="136" spans="2:13" s="107" customFormat="1" ht="12.75" customHeight="1" x14ac:dyDescent="0.4">
      <c r="B136" s="109">
        <v>44014</v>
      </c>
      <c r="C136" s="5">
        <v>3.54</v>
      </c>
      <c r="D136" s="7">
        <f t="shared" si="15"/>
        <v>-6.0000000000000053</v>
      </c>
      <c r="E136" s="5">
        <f t="shared" si="9"/>
        <v>0.58686073322848054</v>
      </c>
      <c r="F136" s="5">
        <f t="shared" si="10"/>
        <v>2.0234999999999999</v>
      </c>
      <c r="G136" s="5">
        <f t="shared" si="16"/>
        <v>0.87792376780790149</v>
      </c>
      <c r="H136" s="6" t="str">
        <f t="shared" si="11"/>
        <v/>
      </c>
      <c r="I136" s="6" t="str">
        <f t="shared" si="12"/>
        <v/>
      </c>
      <c r="J136" s="6" t="str">
        <f t="shared" si="13"/>
        <v/>
      </c>
      <c r="K136" s="6" t="str">
        <f t="shared" si="14"/>
        <v/>
      </c>
      <c r="L136" s="6" t="str">
        <f t="shared" si="17"/>
        <v/>
      </c>
      <c r="M136" s="110">
        <f>IF(D136="","",ABS(D136-G$5))</f>
        <v>6.0000000000000053</v>
      </c>
    </row>
    <row r="137" spans="2:13" s="107" customFormat="1" ht="12.75" customHeight="1" x14ac:dyDescent="0.4">
      <c r="B137" s="109">
        <v>44018</v>
      </c>
      <c r="C137" s="5">
        <v>3.45</v>
      </c>
      <c r="D137" s="7">
        <f t="shared" si="15"/>
        <v>-8.9999999999999858</v>
      </c>
      <c r="E137" s="5">
        <f t="shared" ref="E137:E200" si="18">IF(D137="","",ABS(D137-$E$5)/$F$5)</f>
        <v>0.86949733976290322</v>
      </c>
      <c r="F137" s="5">
        <f t="shared" ref="F137:F200" si="19">IF(D137="","",ABS(D137-$G$5)/$H$5)</f>
        <v>3.0352499999999925</v>
      </c>
      <c r="G137" s="5">
        <f t="shared" si="16"/>
        <v>1.2579464280287278</v>
      </c>
      <c r="H137" s="6" t="str">
        <f t="shared" ref="H137:H200" si="20">IF(E137="","",IF(E137&gt;$I$5,"OUTLIER",""))</f>
        <v/>
      </c>
      <c r="I137" s="6" t="str">
        <f t="shared" ref="I137:I200" si="21">IF(F137="","",IF(F137&gt;$I$5,"OUTLIER",""))</f>
        <v>OUTLIER</v>
      </c>
      <c r="J137" s="6" t="str">
        <f t="shared" ref="J137:J200" si="22">IF(G137="","",IF(G137&gt;$I$5,"OUTLIER",""))</f>
        <v/>
      </c>
      <c r="K137" s="6" t="str">
        <f t="shared" ref="K137:K200" si="23">IF(C137="","MISSING","")</f>
        <v/>
      </c>
      <c r="L137" s="6" t="str">
        <f t="shared" si="17"/>
        <v/>
      </c>
      <c r="M137" s="110">
        <f>IF(D137="","",ABS(D137-G$5))</f>
        <v>8.9999999999999858</v>
      </c>
    </row>
    <row r="138" spans="2:13" s="107" customFormat="1" ht="12.75" customHeight="1" x14ac:dyDescent="0.4">
      <c r="B138" s="109">
        <v>44019</v>
      </c>
      <c r="C138" s="5">
        <v>3.48</v>
      </c>
      <c r="D138" s="7">
        <f t="shared" ref="D138:D201" si="24">IF(OR(C138="",C137=""),"",(C138-C137)*100)</f>
        <v>2.9999999999999805</v>
      </c>
      <c r="E138" s="5">
        <f t="shared" si="18"/>
        <v>0.26104908637479202</v>
      </c>
      <c r="F138" s="5">
        <f t="shared" si="19"/>
        <v>1.0117499999999926</v>
      </c>
      <c r="G138" s="5">
        <f t="shared" ref="G138:G201" si="25">IF(D138="","",ABS(D138-$E$5)/SQRT(0.9*(IF(G137="",($F$5)^2,(ABS(D137-$E$5)/MAX(G137,0.0000000001))^2))+0.1*(D138-$E$5)^2))</f>
        <v>0.39498475008147932</v>
      </c>
      <c r="H138" s="6" t="str">
        <f t="shared" si="20"/>
        <v/>
      </c>
      <c r="I138" s="6" t="str">
        <f t="shared" si="21"/>
        <v/>
      </c>
      <c r="J138" s="6" t="str">
        <f t="shared" si="22"/>
        <v/>
      </c>
      <c r="K138" s="6" t="str">
        <f t="shared" si="23"/>
        <v/>
      </c>
      <c r="L138" s="6" t="str">
        <f t="shared" ref="L138:L201" si="26">IF(AND(C138&lt;&gt;"",C137&lt;&gt;"",C138=C137),"STALE","")</f>
        <v/>
      </c>
      <c r="M138" s="110">
        <f>IF(D138="","",ABS(D138-G$5))</f>
        <v>2.9999999999999805</v>
      </c>
    </row>
    <row r="139" spans="2:13" s="107" customFormat="1" ht="12.75" customHeight="1" x14ac:dyDescent="0.4">
      <c r="B139" s="109">
        <v>44020</v>
      </c>
      <c r="C139" s="5">
        <v>3.43</v>
      </c>
      <c r="D139" s="7">
        <f t="shared" si="24"/>
        <v>-4.9999999999999822</v>
      </c>
      <c r="E139" s="5">
        <f t="shared" si="18"/>
        <v>0.49264853105033685</v>
      </c>
      <c r="F139" s="5">
        <f t="shared" si="19"/>
        <v>1.6862499999999925</v>
      </c>
      <c r="G139" s="5">
        <f t="shared" si="25"/>
        <v>0.76254510039030021</v>
      </c>
      <c r="H139" s="6" t="str">
        <f t="shared" si="20"/>
        <v/>
      </c>
      <c r="I139" s="6" t="str">
        <f t="shared" si="21"/>
        <v/>
      </c>
      <c r="J139" s="6" t="str">
        <f t="shared" si="22"/>
        <v/>
      </c>
      <c r="K139" s="6" t="str">
        <f t="shared" si="23"/>
        <v/>
      </c>
      <c r="L139" s="6" t="str">
        <f t="shared" si="26"/>
        <v/>
      </c>
      <c r="M139" s="110">
        <f>IF(D139="","",ABS(D139-G$5))</f>
        <v>4.9999999999999822</v>
      </c>
    </row>
    <row r="140" spans="2:13" s="107" customFormat="1" ht="12.75" customHeight="1" x14ac:dyDescent="0.4">
      <c r="B140" s="109">
        <v>44021</v>
      </c>
      <c r="C140" s="5">
        <v>3.46</v>
      </c>
      <c r="D140" s="7">
        <f t="shared" si="24"/>
        <v>2.9999999999999805</v>
      </c>
      <c r="E140" s="5">
        <f t="shared" si="18"/>
        <v>0.26104908637479202</v>
      </c>
      <c r="F140" s="5">
        <f t="shared" si="19"/>
        <v>1.0117499999999926</v>
      </c>
      <c r="G140" s="5">
        <f t="shared" si="25"/>
        <v>0.42210969420772942</v>
      </c>
      <c r="H140" s="6" t="str">
        <f t="shared" si="20"/>
        <v/>
      </c>
      <c r="I140" s="6" t="str">
        <f t="shared" si="21"/>
        <v/>
      </c>
      <c r="J140" s="6" t="str">
        <f t="shared" si="22"/>
        <v/>
      </c>
      <c r="K140" s="6" t="str">
        <f t="shared" si="23"/>
        <v/>
      </c>
      <c r="L140" s="6" t="str">
        <f t="shared" si="26"/>
        <v/>
      </c>
      <c r="M140" s="110">
        <f>IF(D140="","",ABS(D140-G$5))</f>
        <v>2.9999999999999805</v>
      </c>
    </row>
    <row r="141" spans="2:13" s="107" customFormat="1" ht="12.75" customHeight="1" x14ac:dyDescent="0.4">
      <c r="B141" s="109">
        <v>44022</v>
      </c>
      <c r="C141" s="5">
        <v>3.44</v>
      </c>
      <c r="D141" s="7">
        <f t="shared" si="24"/>
        <v>-2.0000000000000018</v>
      </c>
      <c r="E141" s="5">
        <f t="shared" si="18"/>
        <v>0.21001192451591399</v>
      </c>
      <c r="F141" s="5">
        <f t="shared" si="19"/>
        <v>0.67449999999999999</v>
      </c>
      <c r="G141" s="5">
        <f t="shared" si="25"/>
        <v>0.35568144495986648</v>
      </c>
      <c r="H141" s="6" t="str">
        <f t="shared" si="20"/>
        <v/>
      </c>
      <c r="I141" s="6" t="str">
        <f t="shared" si="21"/>
        <v/>
      </c>
      <c r="J141" s="6" t="str">
        <f t="shared" si="22"/>
        <v/>
      </c>
      <c r="K141" s="6" t="str">
        <f t="shared" si="23"/>
        <v/>
      </c>
      <c r="L141" s="6" t="str">
        <f t="shared" si="26"/>
        <v/>
      </c>
      <c r="M141" s="110">
        <f>IF(D141="","",ABS(D141-G$5))</f>
        <v>2.0000000000000018</v>
      </c>
    </row>
    <row r="142" spans="2:13" s="107" customFormat="1" ht="12.75" customHeight="1" x14ac:dyDescent="0.4">
      <c r="B142" s="109">
        <v>44025</v>
      </c>
      <c r="C142" s="5">
        <v>3.42</v>
      </c>
      <c r="D142" s="7">
        <f t="shared" si="24"/>
        <v>-2.0000000000000018</v>
      </c>
      <c r="E142" s="5">
        <f t="shared" si="18"/>
        <v>0.21001192451591399</v>
      </c>
      <c r="F142" s="5">
        <f t="shared" si="19"/>
        <v>0.67449999999999999</v>
      </c>
      <c r="G142" s="5">
        <f t="shared" si="25"/>
        <v>0.37231356485628253</v>
      </c>
      <c r="H142" s="6" t="str">
        <f t="shared" si="20"/>
        <v/>
      </c>
      <c r="I142" s="6" t="str">
        <f t="shared" si="21"/>
        <v/>
      </c>
      <c r="J142" s="6" t="str">
        <f t="shared" si="22"/>
        <v/>
      </c>
      <c r="K142" s="6" t="str">
        <f t="shared" si="23"/>
        <v/>
      </c>
      <c r="L142" s="6" t="str">
        <f t="shared" si="26"/>
        <v/>
      </c>
      <c r="M142" s="110">
        <f>IF(D142="","",ABS(D142-G$5))</f>
        <v>2.0000000000000018</v>
      </c>
    </row>
    <row r="143" spans="2:13" s="107" customFormat="1" ht="12.75" customHeight="1" x14ac:dyDescent="0.4">
      <c r="B143" s="109">
        <v>44026</v>
      </c>
      <c r="C143" s="5">
        <v>3.39</v>
      </c>
      <c r="D143" s="7">
        <f t="shared" si="24"/>
        <v>-2.9999999999999805</v>
      </c>
      <c r="E143" s="5">
        <f t="shared" si="18"/>
        <v>0.30422412669405352</v>
      </c>
      <c r="F143" s="5">
        <f t="shared" si="19"/>
        <v>1.0117499999999926</v>
      </c>
      <c r="G143" s="5">
        <f t="shared" si="25"/>
        <v>0.55953863823904559</v>
      </c>
      <c r="H143" s="6" t="str">
        <f t="shared" si="20"/>
        <v/>
      </c>
      <c r="I143" s="6" t="str">
        <f t="shared" si="21"/>
        <v/>
      </c>
      <c r="J143" s="6" t="str">
        <f t="shared" si="22"/>
        <v/>
      </c>
      <c r="K143" s="6" t="str">
        <f t="shared" si="23"/>
        <v/>
      </c>
      <c r="L143" s="6" t="str">
        <f t="shared" si="26"/>
        <v/>
      </c>
      <c r="M143" s="110">
        <f>IF(D143="","",ABS(D143-G$5))</f>
        <v>2.9999999999999805</v>
      </c>
    </row>
    <row r="144" spans="2:13" s="107" customFormat="1" ht="12.75" customHeight="1" x14ac:dyDescent="0.4">
      <c r="B144" s="109">
        <v>44027</v>
      </c>
      <c r="C144" s="5">
        <v>3.33</v>
      </c>
      <c r="D144" s="7">
        <f t="shared" si="24"/>
        <v>-6.0000000000000053</v>
      </c>
      <c r="E144" s="5">
        <f t="shared" si="18"/>
        <v>0.58686073322848054</v>
      </c>
      <c r="F144" s="5">
        <f t="shared" si="19"/>
        <v>2.0234999999999999</v>
      </c>
      <c r="G144" s="5">
        <f t="shared" si="25"/>
        <v>1.0705742977315347</v>
      </c>
      <c r="H144" s="6" t="str">
        <f t="shared" si="20"/>
        <v/>
      </c>
      <c r="I144" s="6" t="str">
        <f t="shared" si="21"/>
        <v/>
      </c>
      <c r="J144" s="6" t="str">
        <f t="shared" si="22"/>
        <v/>
      </c>
      <c r="K144" s="6" t="str">
        <f t="shared" si="23"/>
        <v/>
      </c>
      <c r="L144" s="6" t="str">
        <f t="shared" si="26"/>
        <v/>
      </c>
      <c r="M144" s="110">
        <f>IF(D144="","",ABS(D144-G$5))</f>
        <v>6.0000000000000053</v>
      </c>
    </row>
    <row r="145" spans="2:13" s="107" customFormat="1" ht="12.75" customHeight="1" x14ac:dyDescent="0.4">
      <c r="B145" s="109">
        <v>44028</v>
      </c>
      <c r="C145" s="5">
        <v>3.38</v>
      </c>
      <c r="D145" s="7">
        <f t="shared" si="24"/>
        <v>4.9999999999999822</v>
      </c>
      <c r="E145" s="5">
        <f t="shared" si="18"/>
        <v>0.44947349073107523</v>
      </c>
      <c r="F145" s="5">
        <f t="shared" si="19"/>
        <v>1.6862499999999925</v>
      </c>
      <c r="G145" s="5">
        <f t="shared" si="25"/>
        <v>0.83372085713575494</v>
      </c>
      <c r="H145" s="6" t="str">
        <f t="shared" si="20"/>
        <v/>
      </c>
      <c r="I145" s="6" t="str">
        <f t="shared" si="21"/>
        <v/>
      </c>
      <c r="J145" s="6" t="str">
        <f t="shared" si="22"/>
        <v/>
      </c>
      <c r="K145" s="6" t="str">
        <f t="shared" si="23"/>
        <v/>
      </c>
      <c r="L145" s="6" t="str">
        <f t="shared" si="26"/>
        <v/>
      </c>
      <c r="M145" s="110">
        <f>IF(D145="","",ABS(D145-G$5))</f>
        <v>4.9999999999999822</v>
      </c>
    </row>
    <row r="146" spans="2:13" s="107" customFormat="1" ht="12.75" customHeight="1" x14ac:dyDescent="0.4">
      <c r="B146" s="109">
        <v>44029</v>
      </c>
      <c r="C146" s="5">
        <v>3.41</v>
      </c>
      <c r="D146" s="7">
        <f t="shared" si="24"/>
        <v>3.0000000000000249</v>
      </c>
      <c r="E146" s="5">
        <f t="shared" si="18"/>
        <v>0.26104908637479624</v>
      </c>
      <c r="F146" s="5">
        <f t="shared" si="19"/>
        <v>1.0117500000000075</v>
      </c>
      <c r="G146" s="5">
        <f t="shared" si="25"/>
        <v>0.50388670269145774</v>
      </c>
      <c r="H146" s="6" t="str">
        <f t="shared" si="20"/>
        <v/>
      </c>
      <c r="I146" s="6" t="str">
        <f t="shared" si="21"/>
        <v/>
      </c>
      <c r="J146" s="6" t="str">
        <f t="shared" si="22"/>
        <v/>
      </c>
      <c r="K146" s="6" t="str">
        <f t="shared" si="23"/>
        <v/>
      </c>
      <c r="L146" s="6" t="str">
        <f t="shared" si="26"/>
        <v/>
      </c>
      <c r="M146" s="110">
        <f>IF(D146="","",ABS(D146-G$5))</f>
        <v>3.0000000000000249</v>
      </c>
    </row>
    <row r="147" spans="2:13" s="107" customFormat="1" ht="12.75" customHeight="1" x14ac:dyDescent="0.4">
      <c r="B147" s="109">
        <v>44032</v>
      </c>
      <c r="C147" s="5">
        <v>3.35</v>
      </c>
      <c r="D147" s="7">
        <f t="shared" si="24"/>
        <v>-6.0000000000000053</v>
      </c>
      <c r="E147" s="5">
        <f t="shared" si="18"/>
        <v>0.58686073322848054</v>
      </c>
      <c r="F147" s="5">
        <f t="shared" si="19"/>
        <v>2.0234999999999999</v>
      </c>
      <c r="G147" s="5">
        <f t="shared" si="25"/>
        <v>1.117073645477116</v>
      </c>
      <c r="H147" s="6" t="str">
        <f t="shared" si="20"/>
        <v/>
      </c>
      <c r="I147" s="6" t="str">
        <f t="shared" si="21"/>
        <v/>
      </c>
      <c r="J147" s="6" t="str">
        <f t="shared" si="22"/>
        <v/>
      </c>
      <c r="K147" s="6" t="str">
        <f t="shared" si="23"/>
        <v/>
      </c>
      <c r="L147" s="6" t="str">
        <f t="shared" si="26"/>
        <v/>
      </c>
      <c r="M147" s="110">
        <f>IF(D147="","",ABS(D147-G$5))</f>
        <v>6.0000000000000053</v>
      </c>
    </row>
    <row r="148" spans="2:13" s="107" customFormat="1" ht="12.75" customHeight="1" x14ac:dyDescent="0.4">
      <c r="B148" s="109">
        <v>44033</v>
      </c>
      <c r="C148" s="5">
        <v>3.31</v>
      </c>
      <c r="D148" s="7">
        <f t="shared" si="24"/>
        <v>-4.0000000000000036</v>
      </c>
      <c r="E148" s="5">
        <f t="shared" si="18"/>
        <v>0.39843632887219732</v>
      </c>
      <c r="F148" s="5">
        <f t="shared" si="19"/>
        <v>1.349</v>
      </c>
      <c r="G148" s="5">
        <f t="shared" si="25"/>
        <v>0.77505403654881722</v>
      </c>
      <c r="H148" s="6" t="str">
        <f t="shared" si="20"/>
        <v/>
      </c>
      <c r="I148" s="6" t="str">
        <f t="shared" si="21"/>
        <v/>
      </c>
      <c r="J148" s="6" t="str">
        <f t="shared" si="22"/>
        <v/>
      </c>
      <c r="K148" s="6" t="str">
        <f t="shared" si="23"/>
        <v/>
      </c>
      <c r="L148" s="6" t="str">
        <f t="shared" si="26"/>
        <v/>
      </c>
      <c r="M148" s="110">
        <f>IF(D148="","",ABS(D148-G$5))</f>
        <v>4.0000000000000036</v>
      </c>
    </row>
    <row r="149" spans="2:13" s="107" customFormat="1" ht="12.75" customHeight="1" x14ac:dyDescent="0.4">
      <c r="B149" s="109">
        <v>44034</v>
      </c>
      <c r="C149" s="5">
        <v>3.3</v>
      </c>
      <c r="D149" s="7">
        <f t="shared" si="24"/>
        <v>-1.0000000000000231</v>
      </c>
      <c r="E149" s="5">
        <f t="shared" si="18"/>
        <v>0.11579972233777447</v>
      </c>
      <c r="F149" s="5">
        <f t="shared" si="19"/>
        <v>0.33725000000000749</v>
      </c>
      <c r="G149" s="5">
        <f t="shared" si="25"/>
        <v>0.23677644520393412</v>
      </c>
      <c r="H149" s="6" t="str">
        <f t="shared" si="20"/>
        <v/>
      </c>
      <c r="I149" s="6" t="str">
        <f t="shared" si="21"/>
        <v/>
      </c>
      <c r="J149" s="6" t="str">
        <f t="shared" si="22"/>
        <v/>
      </c>
      <c r="K149" s="6" t="str">
        <f t="shared" si="23"/>
        <v/>
      </c>
      <c r="L149" s="6" t="str">
        <f t="shared" si="26"/>
        <v/>
      </c>
      <c r="M149" s="110">
        <f>IF(D149="","",ABS(D149-G$5))</f>
        <v>1.0000000000000231</v>
      </c>
    </row>
    <row r="150" spans="2:13" s="107" customFormat="1" ht="12.75" customHeight="1" x14ac:dyDescent="0.4">
      <c r="B150" s="109">
        <v>44035</v>
      </c>
      <c r="C150" s="5">
        <v>3.38</v>
      </c>
      <c r="D150" s="7">
        <f t="shared" si="24"/>
        <v>8.0000000000000071</v>
      </c>
      <c r="E150" s="5">
        <f t="shared" si="18"/>
        <v>0.73211009726550225</v>
      </c>
      <c r="F150" s="5">
        <f t="shared" si="19"/>
        <v>2.698</v>
      </c>
      <c r="G150" s="5">
        <f t="shared" si="25"/>
        <v>1.4119119135540803</v>
      </c>
      <c r="H150" s="6" t="str">
        <f t="shared" si="20"/>
        <v/>
      </c>
      <c r="I150" s="6" t="str">
        <f t="shared" si="21"/>
        <v/>
      </c>
      <c r="J150" s="6" t="str">
        <f t="shared" si="22"/>
        <v/>
      </c>
      <c r="K150" s="6" t="str">
        <f t="shared" si="23"/>
        <v/>
      </c>
      <c r="L150" s="6" t="str">
        <f t="shared" si="26"/>
        <v/>
      </c>
      <c r="M150" s="110">
        <f>IF(D150="","",ABS(D150-G$5))</f>
        <v>8.0000000000000071</v>
      </c>
    </row>
    <row r="151" spans="2:13" s="107" customFormat="1" ht="12.75" customHeight="1" x14ac:dyDescent="0.4">
      <c r="B151" s="109">
        <v>44036</v>
      </c>
      <c r="C151" s="5">
        <v>3.42</v>
      </c>
      <c r="D151" s="7">
        <f t="shared" si="24"/>
        <v>4.0000000000000036</v>
      </c>
      <c r="E151" s="5">
        <f t="shared" si="18"/>
        <v>0.35526128855293576</v>
      </c>
      <c r="F151" s="5">
        <f t="shared" si="19"/>
        <v>1.349</v>
      </c>
      <c r="G151" s="5">
        <f t="shared" si="25"/>
        <v>0.70407267131252471</v>
      </c>
      <c r="H151" s="6" t="str">
        <f t="shared" si="20"/>
        <v/>
      </c>
      <c r="I151" s="6" t="str">
        <f t="shared" si="21"/>
        <v/>
      </c>
      <c r="J151" s="6" t="str">
        <f t="shared" si="22"/>
        <v/>
      </c>
      <c r="K151" s="6" t="str">
        <f t="shared" si="23"/>
        <v/>
      </c>
      <c r="L151" s="6" t="str">
        <f t="shared" si="26"/>
        <v/>
      </c>
      <c r="M151" s="110">
        <f>IF(D151="","",ABS(D151-G$5))</f>
        <v>4.0000000000000036</v>
      </c>
    </row>
    <row r="152" spans="2:13" s="107" customFormat="1" ht="12.75" customHeight="1" x14ac:dyDescent="0.4">
      <c r="B152" s="109">
        <v>44039</v>
      </c>
      <c r="C152" s="5">
        <v>3.35</v>
      </c>
      <c r="D152" s="7">
        <f t="shared" si="24"/>
        <v>-6.999999999999984</v>
      </c>
      <c r="E152" s="5">
        <f t="shared" si="18"/>
        <v>0.68107293540662006</v>
      </c>
      <c r="F152" s="5">
        <f t="shared" si="19"/>
        <v>2.3607499999999924</v>
      </c>
      <c r="G152" s="5">
        <f t="shared" si="25"/>
        <v>1.2975117643371354</v>
      </c>
      <c r="H152" s="6" t="str">
        <f t="shared" si="20"/>
        <v/>
      </c>
      <c r="I152" s="6" t="str">
        <f t="shared" si="21"/>
        <v/>
      </c>
      <c r="J152" s="6" t="str">
        <f t="shared" si="22"/>
        <v/>
      </c>
      <c r="K152" s="6" t="str">
        <f t="shared" si="23"/>
        <v/>
      </c>
      <c r="L152" s="6" t="str">
        <f t="shared" si="26"/>
        <v/>
      </c>
      <c r="M152" s="110">
        <f>IF(D152="","",ABS(D152-G$5))</f>
        <v>6.999999999999984</v>
      </c>
    </row>
    <row r="153" spans="2:13" s="107" customFormat="1" ht="12.75" customHeight="1" x14ac:dyDescent="0.4">
      <c r="B153" s="109">
        <v>44040</v>
      </c>
      <c r="C153" s="5">
        <v>3.35</v>
      </c>
      <c r="D153" s="7">
        <f t="shared" si="24"/>
        <v>0</v>
      </c>
      <c r="E153" s="5">
        <f t="shared" si="18"/>
        <v>2.1587520159630759E-2</v>
      </c>
      <c r="F153" s="5">
        <f t="shared" si="19"/>
        <v>0</v>
      </c>
      <c r="G153" s="5">
        <f t="shared" si="25"/>
        <v>4.3346933370508205E-2</v>
      </c>
      <c r="H153" s="6" t="str">
        <f t="shared" si="20"/>
        <v/>
      </c>
      <c r="I153" s="6" t="str">
        <f t="shared" si="21"/>
        <v/>
      </c>
      <c r="J153" s="6" t="str">
        <f t="shared" si="22"/>
        <v/>
      </c>
      <c r="K153" s="6" t="str">
        <f t="shared" si="23"/>
        <v/>
      </c>
      <c r="L153" s="6" t="str">
        <f t="shared" si="26"/>
        <v>STALE</v>
      </c>
      <c r="M153" s="110">
        <f>IF(D153="","",ABS(D153-G$5))</f>
        <v>0</v>
      </c>
    </row>
    <row r="154" spans="2:13" s="107" customFormat="1" ht="12.75" customHeight="1" x14ac:dyDescent="0.4">
      <c r="B154" s="109">
        <v>44041</v>
      </c>
      <c r="C154" s="5">
        <v>3.31</v>
      </c>
      <c r="D154" s="7">
        <f t="shared" si="24"/>
        <v>-4.0000000000000036</v>
      </c>
      <c r="E154" s="5">
        <f t="shared" si="18"/>
        <v>0.39843632887219732</v>
      </c>
      <c r="F154" s="5">
        <f t="shared" si="19"/>
        <v>1.349</v>
      </c>
      <c r="G154" s="5">
        <f t="shared" si="25"/>
        <v>0.81484387255844115</v>
      </c>
      <c r="H154" s="6" t="str">
        <f t="shared" si="20"/>
        <v/>
      </c>
      <c r="I154" s="6" t="str">
        <f t="shared" si="21"/>
        <v/>
      </c>
      <c r="J154" s="6" t="str">
        <f t="shared" si="22"/>
        <v/>
      </c>
      <c r="K154" s="6" t="str">
        <f t="shared" si="23"/>
        <v/>
      </c>
      <c r="L154" s="6" t="str">
        <f t="shared" si="26"/>
        <v/>
      </c>
      <c r="M154" s="110">
        <f>IF(D154="","",ABS(D154-G$5))</f>
        <v>4.0000000000000036</v>
      </c>
    </row>
    <row r="155" spans="2:13" s="107" customFormat="1" ht="12.75" customHeight="1" x14ac:dyDescent="0.4">
      <c r="B155" s="109">
        <v>44042</v>
      </c>
      <c r="C155" s="5">
        <v>3.33</v>
      </c>
      <c r="D155" s="7">
        <f t="shared" si="24"/>
        <v>2.0000000000000018</v>
      </c>
      <c r="E155" s="5">
        <f t="shared" si="18"/>
        <v>0.16683688419665252</v>
      </c>
      <c r="F155" s="5">
        <f t="shared" si="19"/>
        <v>0.67449999999999999</v>
      </c>
      <c r="G155" s="5">
        <f t="shared" si="25"/>
        <v>0.3573513786100338</v>
      </c>
      <c r="H155" s="6" t="str">
        <f t="shared" si="20"/>
        <v/>
      </c>
      <c r="I155" s="6" t="str">
        <f t="shared" si="21"/>
        <v/>
      </c>
      <c r="J155" s="6" t="str">
        <f t="shared" si="22"/>
        <v/>
      </c>
      <c r="K155" s="6" t="str">
        <f t="shared" si="23"/>
        <v/>
      </c>
      <c r="L155" s="6" t="str">
        <f t="shared" si="26"/>
        <v/>
      </c>
      <c r="M155" s="110">
        <f>IF(D155="","",ABS(D155-G$5))</f>
        <v>2.0000000000000018</v>
      </c>
    </row>
    <row r="156" spans="2:13" s="107" customFormat="1" ht="12.75" customHeight="1" x14ac:dyDescent="0.4">
      <c r="B156" s="109">
        <v>44043</v>
      </c>
      <c r="C156" s="5">
        <v>3.27</v>
      </c>
      <c r="D156" s="7">
        <f t="shared" si="24"/>
        <v>-6.0000000000000053</v>
      </c>
      <c r="E156" s="5">
        <f t="shared" si="18"/>
        <v>0.58686073322848054</v>
      </c>
      <c r="F156" s="5">
        <f t="shared" si="19"/>
        <v>2.0234999999999999</v>
      </c>
      <c r="G156" s="5">
        <f t="shared" si="25"/>
        <v>1.2220645074121492</v>
      </c>
      <c r="H156" s="6" t="str">
        <f t="shared" si="20"/>
        <v/>
      </c>
      <c r="I156" s="6" t="str">
        <f t="shared" si="21"/>
        <v/>
      </c>
      <c r="J156" s="6" t="str">
        <f t="shared" si="22"/>
        <v/>
      </c>
      <c r="K156" s="6" t="str">
        <f t="shared" si="23"/>
        <v/>
      </c>
      <c r="L156" s="6" t="str">
        <f t="shared" si="26"/>
        <v/>
      </c>
      <c r="M156" s="110">
        <f>IF(D156="","",ABS(D156-G$5))</f>
        <v>6.0000000000000053</v>
      </c>
    </row>
    <row r="157" spans="2:13" s="107" customFormat="1" ht="12.75" customHeight="1" x14ac:dyDescent="0.4">
      <c r="B157" s="109">
        <v>44046</v>
      </c>
      <c r="C157" s="5">
        <v>3.24</v>
      </c>
      <c r="D157" s="7">
        <f t="shared" si="24"/>
        <v>-2.9999999999999805</v>
      </c>
      <c r="E157" s="5">
        <f t="shared" si="18"/>
        <v>0.30422412669405352</v>
      </c>
      <c r="F157" s="5">
        <f t="shared" si="19"/>
        <v>1.0117499999999926</v>
      </c>
      <c r="G157" s="5">
        <f t="shared" si="25"/>
        <v>0.65336821269275003</v>
      </c>
      <c r="H157" s="6" t="str">
        <f t="shared" si="20"/>
        <v/>
      </c>
      <c r="I157" s="6" t="str">
        <f t="shared" si="21"/>
        <v/>
      </c>
      <c r="J157" s="6" t="str">
        <f t="shared" si="22"/>
        <v/>
      </c>
      <c r="K157" s="6" t="str">
        <f t="shared" si="23"/>
        <v/>
      </c>
      <c r="L157" s="6" t="str">
        <f t="shared" si="26"/>
        <v/>
      </c>
      <c r="M157" s="110">
        <f>IF(D157="","",ABS(D157-G$5))</f>
        <v>2.9999999999999805</v>
      </c>
    </row>
    <row r="158" spans="2:13" s="107" customFormat="1" ht="12.75" customHeight="1" x14ac:dyDescent="0.4">
      <c r="B158" s="109">
        <v>44047</v>
      </c>
      <c r="C158" s="5">
        <v>3.23</v>
      </c>
      <c r="D158" s="7">
        <f t="shared" si="24"/>
        <v>-1.0000000000000231</v>
      </c>
      <c r="E158" s="5">
        <f t="shared" si="18"/>
        <v>0.11579972233777447</v>
      </c>
      <c r="F158" s="5">
        <f t="shared" si="19"/>
        <v>0.33725000000000749</v>
      </c>
      <c r="G158" s="5">
        <f t="shared" si="25"/>
        <v>0.26125428256617217</v>
      </c>
      <c r="H158" s="6" t="str">
        <f t="shared" si="20"/>
        <v/>
      </c>
      <c r="I158" s="6" t="str">
        <f t="shared" si="21"/>
        <v/>
      </c>
      <c r="J158" s="6" t="str">
        <f t="shared" si="22"/>
        <v/>
      </c>
      <c r="K158" s="6" t="str">
        <f t="shared" si="23"/>
        <v/>
      </c>
      <c r="L158" s="6" t="str">
        <f t="shared" si="26"/>
        <v/>
      </c>
      <c r="M158" s="110">
        <f>IF(D158="","",ABS(D158-G$5))</f>
        <v>1.0000000000000231</v>
      </c>
    </row>
    <row r="159" spans="2:13" s="107" customFormat="1" ht="12.75" customHeight="1" x14ac:dyDescent="0.4">
      <c r="B159" s="109">
        <v>44048</v>
      </c>
      <c r="C159" s="5">
        <v>3.2</v>
      </c>
      <c r="D159" s="7">
        <f t="shared" si="24"/>
        <v>-2.9999999999999805</v>
      </c>
      <c r="E159" s="5">
        <f t="shared" si="18"/>
        <v>0.30422412669405352</v>
      </c>
      <c r="F159" s="5">
        <f t="shared" si="19"/>
        <v>1.0117499999999926</v>
      </c>
      <c r="G159" s="5">
        <f t="shared" si="25"/>
        <v>0.70526071059417506</v>
      </c>
      <c r="H159" s="6" t="str">
        <f t="shared" si="20"/>
        <v/>
      </c>
      <c r="I159" s="6" t="str">
        <f t="shared" si="21"/>
        <v/>
      </c>
      <c r="J159" s="6" t="str">
        <f t="shared" si="22"/>
        <v/>
      </c>
      <c r="K159" s="6" t="str">
        <f t="shared" si="23"/>
        <v/>
      </c>
      <c r="L159" s="6" t="str">
        <f t="shared" si="26"/>
        <v/>
      </c>
      <c r="M159" s="110">
        <f>IF(D159="","",ABS(D159-G$5))</f>
        <v>2.9999999999999805</v>
      </c>
    </row>
    <row r="160" spans="2:13" s="107" customFormat="1" ht="12.75" customHeight="1" x14ac:dyDescent="0.4">
      <c r="B160" s="109">
        <v>44049</v>
      </c>
      <c r="C160" s="5">
        <v>3.17</v>
      </c>
      <c r="D160" s="7">
        <f t="shared" si="24"/>
        <v>-3.0000000000000249</v>
      </c>
      <c r="E160" s="5">
        <f t="shared" si="18"/>
        <v>0.30422412669405774</v>
      </c>
      <c r="F160" s="5">
        <f t="shared" si="19"/>
        <v>1.0117500000000075</v>
      </c>
      <c r="G160" s="5">
        <f t="shared" si="25"/>
        <v>0.72368153775816246</v>
      </c>
      <c r="H160" s="6" t="str">
        <f t="shared" si="20"/>
        <v/>
      </c>
      <c r="I160" s="6" t="str">
        <f t="shared" si="21"/>
        <v/>
      </c>
      <c r="J160" s="6" t="str">
        <f t="shared" si="22"/>
        <v/>
      </c>
      <c r="K160" s="6" t="str">
        <f t="shared" si="23"/>
        <v/>
      </c>
      <c r="L160" s="6" t="str">
        <f t="shared" si="26"/>
        <v/>
      </c>
      <c r="M160" s="110">
        <f>IF(D160="","",ABS(D160-G$5))</f>
        <v>3.0000000000000249</v>
      </c>
    </row>
    <row r="161" spans="2:13" s="107" customFormat="1" ht="12.75" customHeight="1" x14ac:dyDescent="0.4">
      <c r="B161" s="109">
        <v>44050</v>
      </c>
      <c r="C161" s="5">
        <v>3.16</v>
      </c>
      <c r="D161" s="7">
        <f t="shared" si="24"/>
        <v>-0.99999999999997868</v>
      </c>
      <c r="E161" s="5">
        <f t="shared" si="18"/>
        <v>0.11579972233777029</v>
      </c>
      <c r="F161" s="5">
        <f t="shared" si="19"/>
        <v>0.3372499999999925</v>
      </c>
      <c r="G161" s="5">
        <f t="shared" si="25"/>
        <v>0.28914587762653216</v>
      </c>
      <c r="H161" s="6" t="str">
        <f t="shared" si="20"/>
        <v/>
      </c>
      <c r="I161" s="6" t="str">
        <f t="shared" si="21"/>
        <v/>
      </c>
      <c r="J161" s="6" t="str">
        <f t="shared" si="22"/>
        <v/>
      </c>
      <c r="K161" s="6" t="str">
        <f t="shared" si="23"/>
        <v/>
      </c>
      <c r="L161" s="6" t="str">
        <f t="shared" si="26"/>
        <v/>
      </c>
      <c r="M161" s="110">
        <f>IF(D161="","",ABS(D161-G$5))</f>
        <v>0.99999999999997868</v>
      </c>
    </row>
    <row r="162" spans="2:13" s="107" customFormat="1" ht="12.75" customHeight="1" x14ac:dyDescent="0.4">
      <c r="B162" s="109">
        <v>44053</v>
      </c>
      <c r="C162" s="5">
        <v>3.14</v>
      </c>
      <c r="D162" s="7">
        <f t="shared" si="24"/>
        <v>-2.0000000000000018</v>
      </c>
      <c r="E162" s="5">
        <f t="shared" si="18"/>
        <v>0.21001192451591399</v>
      </c>
      <c r="F162" s="5">
        <f t="shared" si="19"/>
        <v>0.67449999999999999</v>
      </c>
      <c r="G162" s="5">
        <f t="shared" si="25"/>
        <v>0.54449872243694586</v>
      </c>
      <c r="H162" s="6" t="str">
        <f t="shared" si="20"/>
        <v/>
      </c>
      <c r="I162" s="6" t="str">
        <f t="shared" si="21"/>
        <v/>
      </c>
      <c r="J162" s="6" t="str">
        <f t="shared" si="22"/>
        <v/>
      </c>
      <c r="K162" s="6" t="str">
        <f t="shared" si="23"/>
        <v/>
      </c>
      <c r="L162" s="6" t="str">
        <f t="shared" si="26"/>
        <v/>
      </c>
      <c r="M162" s="110">
        <f>IF(D162="","",ABS(D162-G$5))</f>
        <v>2.0000000000000018</v>
      </c>
    </row>
    <row r="163" spans="2:13" s="107" customFormat="1" ht="12.75" customHeight="1" x14ac:dyDescent="0.4">
      <c r="B163" s="109">
        <v>44054</v>
      </c>
      <c r="C163" s="5">
        <v>3.18</v>
      </c>
      <c r="D163" s="7">
        <f t="shared" si="24"/>
        <v>4.0000000000000036</v>
      </c>
      <c r="E163" s="5">
        <f t="shared" si="18"/>
        <v>0.35526128855293576</v>
      </c>
      <c r="F163" s="5">
        <f t="shared" si="19"/>
        <v>1.349</v>
      </c>
      <c r="G163" s="5">
        <f t="shared" si="25"/>
        <v>0.92814946153651157</v>
      </c>
      <c r="H163" s="6" t="str">
        <f t="shared" si="20"/>
        <v/>
      </c>
      <c r="I163" s="6" t="str">
        <f t="shared" si="21"/>
        <v/>
      </c>
      <c r="J163" s="6" t="str">
        <f t="shared" si="22"/>
        <v/>
      </c>
      <c r="K163" s="6" t="str">
        <f t="shared" si="23"/>
        <v/>
      </c>
      <c r="L163" s="6" t="str">
        <f t="shared" si="26"/>
        <v/>
      </c>
      <c r="M163" s="110">
        <f>IF(D163="","",ABS(D163-G$5))</f>
        <v>4.0000000000000036</v>
      </c>
    </row>
    <row r="164" spans="2:13" s="107" customFormat="1" ht="12.75" customHeight="1" x14ac:dyDescent="0.4">
      <c r="B164" s="109">
        <v>44055</v>
      </c>
      <c r="C164" s="5">
        <v>3.14</v>
      </c>
      <c r="D164" s="7">
        <f t="shared" si="24"/>
        <v>-4.0000000000000036</v>
      </c>
      <c r="E164" s="5">
        <f t="shared" si="18"/>
        <v>0.39843632887219732</v>
      </c>
      <c r="F164" s="5">
        <f t="shared" si="19"/>
        <v>1.349</v>
      </c>
      <c r="G164" s="5">
        <f t="shared" si="25"/>
        <v>1.0366251723749986</v>
      </c>
      <c r="H164" s="6" t="str">
        <f t="shared" si="20"/>
        <v/>
      </c>
      <c r="I164" s="6" t="str">
        <f t="shared" si="21"/>
        <v/>
      </c>
      <c r="J164" s="6" t="str">
        <f t="shared" si="22"/>
        <v/>
      </c>
      <c r="K164" s="6" t="str">
        <f t="shared" si="23"/>
        <v/>
      </c>
      <c r="L164" s="6" t="str">
        <f t="shared" si="26"/>
        <v/>
      </c>
      <c r="M164" s="110">
        <f>IF(D164="","",ABS(D164-G$5))</f>
        <v>4.0000000000000036</v>
      </c>
    </row>
    <row r="165" spans="2:13" s="107" customFormat="1" ht="12.75" customHeight="1" x14ac:dyDescent="0.4">
      <c r="B165" s="109">
        <v>44056</v>
      </c>
      <c r="C165" s="5">
        <v>3.12</v>
      </c>
      <c r="D165" s="7">
        <f t="shared" si="24"/>
        <v>-2.0000000000000018</v>
      </c>
      <c r="E165" s="5">
        <f t="shared" si="18"/>
        <v>0.21001192451591399</v>
      </c>
      <c r="F165" s="5">
        <f t="shared" si="19"/>
        <v>0.67449999999999999</v>
      </c>
      <c r="G165" s="5">
        <f t="shared" si="25"/>
        <v>0.56662954639053442</v>
      </c>
      <c r="H165" s="6" t="str">
        <f t="shared" si="20"/>
        <v/>
      </c>
      <c r="I165" s="6" t="str">
        <f t="shared" si="21"/>
        <v/>
      </c>
      <c r="J165" s="6" t="str">
        <f t="shared" si="22"/>
        <v/>
      </c>
      <c r="K165" s="6" t="str">
        <f t="shared" si="23"/>
        <v/>
      </c>
      <c r="L165" s="6" t="str">
        <f t="shared" si="26"/>
        <v/>
      </c>
      <c r="M165" s="110">
        <f>IF(D165="","",ABS(D165-G$5))</f>
        <v>2.0000000000000018</v>
      </c>
    </row>
    <row r="166" spans="2:13" s="107" customFormat="1" ht="12.75" customHeight="1" x14ac:dyDescent="0.4">
      <c r="B166" s="109">
        <v>44057</v>
      </c>
      <c r="C166" s="5">
        <v>3.14</v>
      </c>
      <c r="D166" s="7">
        <f t="shared" si="24"/>
        <v>2.0000000000000018</v>
      </c>
      <c r="E166" s="5">
        <f t="shared" si="18"/>
        <v>0.16683688419665252</v>
      </c>
      <c r="F166" s="5">
        <f t="shared" si="19"/>
        <v>0.67449999999999999</v>
      </c>
      <c r="G166" s="5">
        <f t="shared" si="25"/>
        <v>0.46923613805120451</v>
      </c>
      <c r="H166" s="6" t="str">
        <f t="shared" si="20"/>
        <v/>
      </c>
      <c r="I166" s="6" t="str">
        <f t="shared" si="21"/>
        <v/>
      </c>
      <c r="J166" s="6" t="str">
        <f t="shared" si="22"/>
        <v/>
      </c>
      <c r="K166" s="6" t="str">
        <f t="shared" si="23"/>
        <v/>
      </c>
      <c r="L166" s="6" t="str">
        <f t="shared" si="26"/>
        <v/>
      </c>
      <c r="M166" s="110">
        <f>IF(D166="","",ABS(D166-G$5))</f>
        <v>2.0000000000000018</v>
      </c>
    </row>
    <row r="167" spans="2:13" s="107" customFormat="1" ht="12.75" customHeight="1" x14ac:dyDescent="0.4">
      <c r="B167" s="109">
        <v>44060</v>
      </c>
      <c r="C167" s="5">
        <v>3.13</v>
      </c>
      <c r="D167" s="7">
        <f t="shared" si="24"/>
        <v>-1.0000000000000231</v>
      </c>
      <c r="E167" s="5">
        <f t="shared" si="18"/>
        <v>0.11579972233777447</v>
      </c>
      <c r="F167" s="5">
        <f t="shared" si="19"/>
        <v>0.33725000000000749</v>
      </c>
      <c r="G167" s="5">
        <f t="shared" si="25"/>
        <v>0.34130392558710121</v>
      </c>
      <c r="H167" s="6" t="str">
        <f t="shared" si="20"/>
        <v/>
      </c>
      <c r="I167" s="6" t="str">
        <f t="shared" si="21"/>
        <v/>
      </c>
      <c r="J167" s="6" t="str">
        <f t="shared" si="22"/>
        <v/>
      </c>
      <c r="K167" s="6" t="str">
        <f t="shared" si="23"/>
        <v/>
      </c>
      <c r="L167" s="6" t="str">
        <f t="shared" si="26"/>
        <v/>
      </c>
      <c r="M167" s="110">
        <f>IF(D167="","",ABS(D167-G$5))</f>
        <v>1.0000000000000231</v>
      </c>
    </row>
    <row r="168" spans="2:13" s="107" customFormat="1" ht="12.75" customHeight="1" x14ac:dyDescent="0.4">
      <c r="B168" s="109">
        <v>44061</v>
      </c>
      <c r="C168" s="5">
        <v>3.09</v>
      </c>
      <c r="D168" s="7">
        <f t="shared" si="24"/>
        <v>-4.0000000000000036</v>
      </c>
      <c r="E168" s="5">
        <f t="shared" si="18"/>
        <v>0.39843632887219732</v>
      </c>
      <c r="F168" s="5">
        <f t="shared" si="19"/>
        <v>1.349</v>
      </c>
      <c r="G168" s="5">
        <f t="shared" si="25"/>
        <v>1.1526926819235788</v>
      </c>
      <c r="H168" s="6" t="str">
        <f t="shared" si="20"/>
        <v/>
      </c>
      <c r="I168" s="6" t="str">
        <f t="shared" si="21"/>
        <v/>
      </c>
      <c r="J168" s="6" t="str">
        <f t="shared" si="22"/>
        <v/>
      </c>
      <c r="K168" s="6" t="str">
        <f t="shared" si="23"/>
        <v/>
      </c>
      <c r="L168" s="6" t="str">
        <f t="shared" si="26"/>
        <v/>
      </c>
      <c r="M168" s="110">
        <f>IF(D168="","",ABS(D168-G$5))</f>
        <v>4.0000000000000036</v>
      </c>
    </row>
    <row r="169" spans="2:13" s="107" customFormat="1" ht="12.75" customHeight="1" x14ac:dyDescent="0.4">
      <c r="B169" s="109">
        <v>44062</v>
      </c>
      <c r="C169" s="5">
        <v>3.12</v>
      </c>
      <c r="D169" s="7">
        <f t="shared" si="24"/>
        <v>3.0000000000000249</v>
      </c>
      <c r="E169" s="5">
        <f t="shared" si="18"/>
        <v>0.26104908637479624</v>
      </c>
      <c r="F169" s="5">
        <f t="shared" si="19"/>
        <v>1.0117500000000075</v>
      </c>
      <c r="G169" s="5">
        <f t="shared" si="25"/>
        <v>0.77199148842820542</v>
      </c>
      <c r="H169" s="6" t="str">
        <f t="shared" si="20"/>
        <v/>
      </c>
      <c r="I169" s="6" t="str">
        <f t="shared" si="21"/>
        <v/>
      </c>
      <c r="J169" s="6" t="str">
        <f t="shared" si="22"/>
        <v/>
      </c>
      <c r="K169" s="6" t="str">
        <f t="shared" si="23"/>
        <v/>
      </c>
      <c r="L169" s="6" t="str">
        <f t="shared" si="26"/>
        <v/>
      </c>
      <c r="M169" s="110">
        <f>IF(D169="","",ABS(D169-G$5))</f>
        <v>3.0000000000000249</v>
      </c>
    </row>
    <row r="170" spans="2:13" s="107" customFormat="1" ht="12.75" customHeight="1" x14ac:dyDescent="0.4">
      <c r="B170" s="109">
        <v>44063</v>
      </c>
      <c r="C170" s="5">
        <v>3.11</v>
      </c>
      <c r="D170" s="7">
        <f t="shared" si="24"/>
        <v>-1.0000000000000231</v>
      </c>
      <c r="E170" s="5">
        <f t="shared" si="18"/>
        <v>0.11579972233777447</v>
      </c>
      <c r="F170" s="5">
        <f t="shared" si="19"/>
        <v>0.33725000000000749</v>
      </c>
      <c r="G170" s="5">
        <f t="shared" si="25"/>
        <v>0.35864550157295855</v>
      </c>
      <c r="H170" s="6" t="str">
        <f t="shared" si="20"/>
        <v/>
      </c>
      <c r="I170" s="6" t="str">
        <f t="shared" si="21"/>
        <v/>
      </c>
      <c r="J170" s="6" t="str">
        <f t="shared" si="22"/>
        <v/>
      </c>
      <c r="K170" s="6" t="str">
        <f t="shared" si="23"/>
        <v/>
      </c>
      <c r="L170" s="6" t="str">
        <f t="shared" si="26"/>
        <v/>
      </c>
      <c r="M170" s="110">
        <f>IF(D170="","",ABS(D170-G$5))</f>
        <v>1.0000000000000231</v>
      </c>
    </row>
    <row r="171" spans="2:13" s="107" customFormat="1" ht="12.75" customHeight="1" x14ac:dyDescent="0.4">
      <c r="B171" s="109">
        <v>44064</v>
      </c>
      <c r="C171" s="5">
        <v>3.13</v>
      </c>
      <c r="D171" s="7">
        <f t="shared" si="24"/>
        <v>2.0000000000000018</v>
      </c>
      <c r="E171" s="5">
        <f t="shared" si="18"/>
        <v>0.16683688419665252</v>
      </c>
      <c r="F171" s="5">
        <f t="shared" si="19"/>
        <v>0.67449999999999999</v>
      </c>
      <c r="G171" s="5">
        <f t="shared" si="25"/>
        <v>0.53676046788698206</v>
      </c>
      <c r="H171" s="6" t="str">
        <f t="shared" si="20"/>
        <v/>
      </c>
      <c r="I171" s="6" t="str">
        <f t="shared" si="21"/>
        <v/>
      </c>
      <c r="J171" s="6" t="str">
        <f t="shared" si="22"/>
        <v/>
      </c>
      <c r="K171" s="6" t="str">
        <f t="shared" si="23"/>
        <v/>
      </c>
      <c r="L171" s="6" t="str">
        <f t="shared" si="26"/>
        <v/>
      </c>
      <c r="M171" s="110">
        <f>IF(D171="","",ABS(D171-G$5))</f>
        <v>2.0000000000000018</v>
      </c>
    </row>
    <row r="172" spans="2:13" s="107" customFormat="1" ht="12.75" customHeight="1" x14ac:dyDescent="0.4">
      <c r="B172" s="109">
        <v>44067</v>
      </c>
      <c r="C172" s="5">
        <v>3.05</v>
      </c>
      <c r="D172" s="7">
        <f t="shared" si="24"/>
        <v>-8.0000000000000071</v>
      </c>
      <c r="E172" s="5">
        <f t="shared" si="18"/>
        <v>0.77528513758476369</v>
      </c>
      <c r="F172" s="5">
        <f t="shared" si="19"/>
        <v>2.698</v>
      </c>
      <c r="G172" s="5">
        <f t="shared" si="25"/>
        <v>2.0217163391128494</v>
      </c>
      <c r="H172" s="6" t="str">
        <f t="shared" si="20"/>
        <v/>
      </c>
      <c r="I172" s="6" t="str">
        <f t="shared" si="21"/>
        <v/>
      </c>
      <c r="J172" s="6" t="str">
        <f t="shared" si="22"/>
        <v/>
      </c>
      <c r="K172" s="6" t="str">
        <f t="shared" si="23"/>
        <v/>
      </c>
      <c r="L172" s="6" t="str">
        <f t="shared" si="26"/>
        <v/>
      </c>
      <c r="M172" s="110">
        <f>IF(D172="","",ABS(D172-G$5))</f>
        <v>8.0000000000000071</v>
      </c>
    </row>
    <row r="173" spans="2:13" s="107" customFormat="1" ht="12.75" customHeight="1" x14ac:dyDescent="0.4">
      <c r="B173" s="109">
        <v>44068</v>
      </c>
      <c r="C173" s="5">
        <v>3.05</v>
      </c>
      <c r="D173" s="7">
        <f t="shared" si="24"/>
        <v>0</v>
      </c>
      <c r="E173" s="5">
        <f t="shared" si="18"/>
        <v>2.1587520159630759E-2</v>
      </c>
      <c r="F173" s="5">
        <f t="shared" si="19"/>
        <v>0</v>
      </c>
      <c r="G173" s="5">
        <f t="shared" si="25"/>
        <v>5.9328561342113631E-2</v>
      </c>
      <c r="H173" s="6" t="str">
        <f t="shared" si="20"/>
        <v/>
      </c>
      <c r="I173" s="6" t="str">
        <f t="shared" si="21"/>
        <v/>
      </c>
      <c r="J173" s="6" t="str">
        <f t="shared" si="22"/>
        <v/>
      </c>
      <c r="K173" s="6" t="str">
        <f t="shared" si="23"/>
        <v/>
      </c>
      <c r="L173" s="6" t="str">
        <f t="shared" si="26"/>
        <v>STALE</v>
      </c>
      <c r="M173" s="110">
        <f>IF(D173="","",ABS(D173-G$5))</f>
        <v>0</v>
      </c>
    </row>
    <row r="174" spans="2:13" s="107" customFormat="1" ht="12.75" customHeight="1" x14ac:dyDescent="0.4">
      <c r="B174" s="109">
        <v>44069</v>
      </c>
      <c r="C174" s="5">
        <v>3.03</v>
      </c>
      <c r="D174" s="7">
        <f t="shared" si="24"/>
        <v>-2.0000000000000018</v>
      </c>
      <c r="E174" s="5">
        <f t="shared" si="18"/>
        <v>0.21001192451591399</v>
      </c>
      <c r="F174" s="5">
        <f t="shared" si="19"/>
        <v>0.67449999999999999</v>
      </c>
      <c r="G174" s="5">
        <f t="shared" si="25"/>
        <v>0.59743604956331231</v>
      </c>
      <c r="H174" s="6" t="str">
        <f t="shared" si="20"/>
        <v/>
      </c>
      <c r="I174" s="6" t="str">
        <f t="shared" si="21"/>
        <v/>
      </c>
      <c r="J174" s="6" t="str">
        <f t="shared" si="22"/>
        <v/>
      </c>
      <c r="K174" s="6" t="str">
        <f t="shared" si="23"/>
        <v/>
      </c>
      <c r="L174" s="6" t="str">
        <f t="shared" si="26"/>
        <v/>
      </c>
      <c r="M174" s="110">
        <f>IF(D174="","",ABS(D174-G$5))</f>
        <v>2.0000000000000018</v>
      </c>
    </row>
    <row r="175" spans="2:13" s="107" customFormat="1" ht="12.75" customHeight="1" x14ac:dyDescent="0.4">
      <c r="B175" s="109">
        <v>44070</v>
      </c>
      <c r="C175" s="5">
        <v>3.02</v>
      </c>
      <c r="D175" s="7">
        <f t="shared" si="24"/>
        <v>-0.99999999999997868</v>
      </c>
      <c r="E175" s="5">
        <f t="shared" si="18"/>
        <v>0.11579972233777029</v>
      </c>
      <c r="F175" s="5">
        <f t="shared" si="19"/>
        <v>0.3372499999999925</v>
      </c>
      <c r="G175" s="5">
        <f t="shared" si="25"/>
        <v>0.34516843910235123</v>
      </c>
      <c r="H175" s="6" t="str">
        <f t="shared" si="20"/>
        <v/>
      </c>
      <c r="I175" s="6" t="str">
        <f t="shared" si="21"/>
        <v/>
      </c>
      <c r="J175" s="6" t="str">
        <f t="shared" si="22"/>
        <v/>
      </c>
      <c r="K175" s="6" t="str">
        <f t="shared" si="23"/>
        <v/>
      </c>
      <c r="L175" s="6" t="str">
        <f t="shared" si="26"/>
        <v/>
      </c>
      <c r="M175" s="110">
        <f>IF(D175="","",ABS(D175-G$5))</f>
        <v>0.99999999999997868</v>
      </c>
    </row>
    <row r="176" spans="2:13" s="107" customFormat="1" ht="12.75" customHeight="1" x14ac:dyDescent="0.4">
      <c r="B176" s="109">
        <v>44071</v>
      </c>
      <c r="C176" s="5">
        <v>3.03</v>
      </c>
      <c r="D176" s="7">
        <f t="shared" si="24"/>
        <v>0.99999999999997868</v>
      </c>
      <c r="E176" s="5">
        <f t="shared" si="18"/>
        <v>7.2624682018508774E-2</v>
      </c>
      <c r="F176" s="5">
        <f t="shared" si="19"/>
        <v>0.3372499999999925</v>
      </c>
      <c r="G176" s="5">
        <f t="shared" si="25"/>
        <v>0.22759296573470453</v>
      </c>
      <c r="H176" s="6" t="str">
        <f t="shared" si="20"/>
        <v/>
      </c>
      <c r="I176" s="6" t="str">
        <f t="shared" si="21"/>
        <v/>
      </c>
      <c r="J176" s="6" t="str">
        <f t="shared" si="22"/>
        <v/>
      </c>
      <c r="K176" s="6" t="str">
        <f t="shared" si="23"/>
        <v/>
      </c>
      <c r="L176" s="6" t="str">
        <f t="shared" si="26"/>
        <v/>
      </c>
      <c r="M176" s="110">
        <f>IF(D176="","",ABS(D176-G$5))</f>
        <v>0.99999999999997868</v>
      </c>
    </row>
    <row r="177" spans="2:13" s="107" customFormat="1" ht="12.75" customHeight="1" x14ac:dyDescent="0.4">
      <c r="B177" s="109">
        <v>44074</v>
      </c>
      <c r="C177" s="5">
        <v>3.06</v>
      </c>
      <c r="D177" s="7">
        <f t="shared" si="24"/>
        <v>3.0000000000000249</v>
      </c>
      <c r="E177" s="5">
        <f t="shared" si="18"/>
        <v>0.26104908637479624</v>
      </c>
      <c r="F177" s="5">
        <f t="shared" si="19"/>
        <v>1.0117500000000075</v>
      </c>
      <c r="G177" s="5">
        <f t="shared" si="25"/>
        <v>0.83195568883361348</v>
      </c>
      <c r="H177" s="6" t="str">
        <f t="shared" si="20"/>
        <v/>
      </c>
      <c r="I177" s="6" t="str">
        <f t="shared" si="21"/>
        <v/>
      </c>
      <c r="J177" s="6" t="str">
        <f t="shared" si="22"/>
        <v/>
      </c>
      <c r="K177" s="6" t="str">
        <f t="shared" si="23"/>
        <v/>
      </c>
      <c r="L177" s="6" t="str">
        <f t="shared" si="26"/>
        <v/>
      </c>
      <c r="M177" s="110">
        <f>IF(D177="","",ABS(D177-G$5))</f>
        <v>3.0000000000000249</v>
      </c>
    </row>
    <row r="178" spans="2:13" s="107" customFormat="1" ht="12.75" customHeight="1" x14ac:dyDescent="0.4">
      <c r="B178" s="109">
        <v>44075</v>
      </c>
      <c r="C178" s="5">
        <v>3.03</v>
      </c>
      <c r="D178" s="7">
        <f t="shared" si="24"/>
        <v>-3.0000000000000249</v>
      </c>
      <c r="E178" s="5">
        <f t="shared" si="18"/>
        <v>0.30422412669405774</v>
      </c>
      <c r="F178" s="5">
        <f t="shared" si="19"/>
        <v>1.0117500000000075</v>
      </c>
      <c r="G178" s="5">
        <f t="shared" si="25"/>
        <v>0.97247343522988638</v>
      </c>
      <c r="H178" s="6" t="str">
        <f t="shared" si="20"/>
        <v/>
      </c>
      <c r="I178" s="6" t="str">
        <f t="shared" si="21"/>
        <v/>
      </c>
      <c r="J178" s="6" t="str">
        <f t="shared" si="22"/>
        <v/>
      </c>
      <c r="K178" s="6" t="str">
        <f t="shared" si="23"/>
        <v/>
      </c>
      <c r="L178" s="6" t="str">
        <f t="shared" si="26"/>
        <v/>
      </c>
      <c r="M178" s="110">
        <f>IF(D178="","",ABS(D178-G$5))</f>
        <v>3.0000000000000249</v>
      </c>
    </row>
    <row r="179" spans="2:13" s="107" customFormat="1" ht="12.75" customHeight="1" x14ac:dyDescent="0.4">
      <c r="B179" s="109">
        <v>44076</v>
      </c>
      <c r="C179" s="5">
        <v>3.02</v>
      </c>
      <c r="D179" s="7">
        <f t="shared" si="24"/>
        <v>-0.99999999999997868</v>
      </c>
      <c r="E179" s="5">
        <f t="shared" si="18"/>
        <v>0.11579972233777029</v>
      </c>
      <c r="F179" s="5">
        <f t="shared" si="19"/>
        <v>0.3372499999999925</v>
      </c>
      <c r="G179" s="5">
        <f t="shared" si="25"/>
        <v>0.38724813013416032</v>
      </c>
      <c r="H179" s="6" t="str">
        <f t="shared" si="20"/>
        <v/>
      </c>
      <c r="I179" s="6" t="str">
        <f t="shared" si="21"/>
        <v/>
      </c>
      <c r="J179" s="6" t="str">
        <f t="shared" si="22"/>
        <v/>
      </c>
      <c r="K179" s="6" t="str">
        <f t="shared" si="23"/>
        <v/>
      </c>
      <c r="L179" s="6" t="str">
        <f t="shared" si="26"/>
        <v/>
      </c>
      <c r="M179" s="110">
        <f>IF(D179="","",ABS(D179-G$5))</f>
        <v>0.99999999999997868</v>
      </c>
    </row>
    <row r="180" spans="2:13" s="107" customFormat="1" ht="12.75" customHeight="1" x14ac:dyDescent="0.4">
      <c r="B180" s="109">
        <v>44077</v>
      </c>
      <c r="C180" s="5">
        <v>3.1</v>
      </c>
      <c r="D180" s="7">
        <f t="shared" si="24"/>
        <v>8.0000000000000071</v>
      </c>
      <c r="E180" s="5">
        <f t="shared" si="18"/>
        <v>0.73211009726550225</v>
      </c>
      <c r="F180" s="5">
        <f t="shared" si="19"/>
        <v>2.698</v>
      </c>
      <c r="G180" s="5">
        <f t="shared" si="25"/>
        <v>1.9993992241647771</v>
      </c>
      <c r="H180" s="6" t="str">
        <f t="shared" si="20"/>
        <v/>
      </c>
      <c r="I180" s="6" t="str">
        <f t="shared" si="21"/>
        <v/>
      </c>
      <c r="J180" s="6" t="str">
        <f t="shared" si="22"/>
        <v/>
      </c>
      <c r="K180" s="6" t="str">
        <f t="shared" si="23"/>
        <v/>
      </c>
      <c r="L180" s="6" t="str">
        <f t="shared" si="26"/>
        <v/>
      </c>
      <c r="M180" s="110">
        <f>IF(D180="","",ABS(D180-G$5))</f>
        <v>8.0000000000000071</v>
      </c>
    </row>
    <row r="181" spans="2:13" s="107" customFormat="1" ht="12.75" customHeight="1" x14ac:dyDescent="0.4">
      <c r="B181" s="109">
        <v>44078</v>
      </c>
      <c r="C181" s="5">
        <v>3.12</v>
      </c>
      <c r="D181" s="7">
        <f t="shared" si="24"/>
        <v>2.0000000000000018</v>
      </c>
      <c r="E181" s="5">
        <f t="shared" si="18"/>
        <v>0.16683688419665252</v>
      </c>
      <c r="F181" s="5">
        <f t="shared" si="19"/>
        <v>0.67449999999999999</v>
      </c>
      <c r="G181" s="5">
        <f t="shared" si="25"/>
        <v>0.47483414003065233</v>
      </c>
      <c r="H181" s="6" t="str">
        <f t="shared" si="20"/>
        <v/>
      </c>
      <c r="I181" s="6" t="str">
        <f t="shared" si="21"/>
        <v/>
      </c>
      <c r="J181" s="6" t="str">
        <f t="shared" si="22"/>
        <v/>
      </c>
      <c r="K181" s="6" t="str">
        <f t="shared" si="23"/>
        <v/>
      </c>
      <c r="L181" s="6" t="str">
        <f t="shared" si="26"/>
        <v/>
      </c>
      <c r="M181" s="110">
        <f>IF(D181="","",ABS(D181-G$5))</f>
        <v>2.0000000000000018</v>
      </c>
    </row>
    <row r="182" spans="2:13" s="107" customFormat="1" ht="12.75" customHeight="1" x14ac:dyDescent="0.4">
      <c r="B182" s="109">
        <v>44082</v>
      </c>
      <c r="C182" s="5">
        <v>3.17</v>
      </c>
      <c r="D182" s="7">
        <f t="shared" si="24"/>
        <v>4.9999999999999822</v>
      </c>
      <c r="E182" s="5">
        <f t="shared" si="18"/>
        <v>0.44947349073107523</v>
      </c>
      <c r="F182" s="5">
        <f t="shared" si="19"/>
        <v>1.6862499999999925</v>
      </c>
      <c r="G182" s="5">
        <f t="shared" si="25"/>
        <v>1.2403812731695425</v>
      </c>
      <c r="H182" s="6" t="str">
        <f t="shared" si="20"/>
        <v/>
      </c>
      <c r="I182" s="6" t="str">
        <f t="shared" si="21"/>
        <v/>
      </c>
      <c r="J182" s="6" t="str">
        <f t="shared" si="22"/>
        <v/>
      </c>
      <c r="K182" s="6" t="str">
        <f t="shared" si="23"/>
        <v/>
      </c>
      <c r="L182" s="6" t="str">
        <f t="shared" si="26"/>
        <v/>
      </c>
      <c r="M182" s="110">
        <f>IF(D182="","",ABS(D182-G$5))</f>
        <v>4.9999999999999822</v>
      </c>
    </row>
    <row r="183" spans="2:13" s="107" customFormat="1" ht="12.75" customHeight="1" x14ac:dyDescent="0.4">
      <c r="B183" s="109">
        <v>44083</v>
      </c>
      <c r="C183" s="5">
        <v>3.12</v>
      </c>
      <c r="D183" s="7">
        <f t="shared" si="24"/>
        <v>-4.9999999999999822</v>
      </c>
      <c r="E183" s="5">
        <f t="shared" si="18"/>
        <v>0.49264853105033685</v>
      </c>
      <c r="F183" s="5">
        <f t="shared" si="19"/>
        <v>1.6862499999999925</v>
      </c>
      <c r="G183" s="5">
        <f t="shared" si="25"/>
        <v>1.3052903061639787</v>
      </c>
      <c r="H183" s="6" t="str">
        <f t="shared" si="20"/>
        <v/>
      </c>
      <c r="I183" s="6" t="str">
        <f t="shared" si="21"/>
        <v/>
      </c>
      <c r="J183" s="6" t="str">
        <f t="shared" si="22"/>
        <v/>
      </c>
      <c r="K183" s="6" t="str">
        <f t="shared" si="23"/>
        <v/>
      </c>
      <c r="L183" s="6" t="str">
        <f t="shared" si="26"/>
        <v/>
      </c>
      <c r="M183" s="110">
        <f>IF(D183="","",ABS(D183-G$5))</f>
        <v>4.9999999999999822</v>
      </c>
    </row>
    <row r="184" spans="2:13" s="107" customFormat="1" ht="12.75" customHeight="1" x14ac:dyDescent="0.4">
      <c r="B184" s="109">
        <v>44084</v>
      </c>
      <c r="C184" s="5">
        <v>3.19</v>
      </c>
      <c r="D184" s="7">
        <f t="shared" si="24"/>
        <v>6.999999999999984</v>
      </c>
      <c r="E184" s="5">
        <f t="shared" si="18"/>
        <v>0.6378978950873585</v>
      </c>
      <c r="F184" s="5">
        <f t="shared" si="19"/>
        <v>2.3607499999999924</v>
      </c>
      <c r="G184" s="5">
        <f t="shared" si="25"/>
        <v>1.5521792702306971</v>
      </c>
      <c r="H184" s="6" t="str">
        <f t="shared" si="20"/>
        <v/>
      </c>
      <c r="I184" s="6" t="str">
        <f t="shared" si="21"/>
        <v/>
      </c>
      <c r="J184" s="6" t="str">
        <f t="shared" si="22"/>
        <v/>
      </c>
      <c r="K184" s="6" t="str">
        <f t="shared" si="23"/>
        <v/>
      </c>
      <c r="L184" s="6" t="str">
        <f t="shared" si="26"/>
        <v/>
      </c>
      <c r="M184" s="110">
        <f>IF(D184="","",ABS(D184-G$5))</f>
        <v>6.999999999999984</v>
      </c>
    </row>
    <row r="185" spans="2:13" s="107" customFormat="1" ht="12.75" customHeight="1" x14ac:dyDescent="0.4">
      <c r="B185" s="109">
        <v>44085</v>
      </c>
      <c r="C185" s="5">
        <v>3.19</v>
      </c>
      <c r="D185" s="7">
        <f t="shared" si="24"/>
        <v>0</v>
      </c>
      <c r="E185" s="5">
        <f t="shared" si="18"/>
        <v>2.1587520159630759E-2</v>
      </c>
      <c r="F185" s="5">
        <f t="shared" si="19"/>
        <v>0</v>
      </c>
      <c r="G185" s="5">
        <f t="shared" si="25"/>
        <v>5.5361219532309068E-2</v>
      </c>
      <c r="H185" s="6" t="str">
        <f t="shared" si="20"/>
        <v/>
      </c>
      <c r="I185" s="6" t="str">
        <f t="shared" si="21"/>
        <v/>
      </c>
      <c r="J185" s="6" t="str">
        <f t="shared" si="22"/>
        <v/>
      </c>
      <c r="K185" s="6" t="str">
        <f t="shared" si="23"/>
        <v/>
      </c>
      <c r="L185" s="6" t="str">
        <f t="shared" si="26"/>
        <v>STALE</v>
      </c>
      <c r="M185" s="110">
        <f>IF(D185="","",ABS(D185-G$5))</f>
        <v>0</v>
      </c>
    </row>
    <row r="186" spans="2:13" s="107" customFormat="1" ht="12.75" customHeight="1" x14ac:dyDescent="0.4">
      <c r="B186" s="109">
        <v>44088</v>
      </c>
      <c r="C186" s="5">
        <v>3.16</v>
      </c>
      <c r="D186" s="7">
        <f t="shared" si="24"/>
        <v>-2.9999999999999805</v>
      </c>
      <c r="E186" s="5">
        <f t="shared" si="18"/>
        <v>0.30422412669405352</v>
      </c>
      <c r="F186" s="5">
        <f t="shared" si="19"/>
        <v>1.0117499999999926</v>
      </c>
      <c r="G186" s="5">
        <f t="shared" si="25"/>
        <v>0.79591108206139782</v>
      </c>
      <c r="H186" s="6" t="str">
        <f t="shared" si="20"/>
        <v/>
      </c>
      <c r="I186" s="6" t="str">
        <f t="shared" si="21"/>
        <v/>
      </c>
      <c r="J186" s="6" t="str">
        <f t="shared" si="22"/>
        <v/>
      </c>
      <c r="K186" s="6" t="str">
        <f t="shared" si="23"/>
        <v/>
      </c>
      <c r="L186" s="6" t="str">
        <f t="shared" si="26"/>
        <v/>
      </c>
      <c r="M186" s="110">
        <f>IF(D186="","",ABS(D186-G$5))</f>
        <v>2.9999999999999805</v>
      </c>
    </row>
    <row r="187" spans="2:13" s="107" customFormat="1" ht="12.75" customHeight="1" x14ac:dyDescent="0.4">
      <c r="B187" s="109">
        <v>44089</v>
      </c>
      <c r="C187" s="5">
        <v>3.13</v>
      </c>
      <c r="D187" s="7">
        <f t="shared" si="24"/>
        <v>-3.0000000000000249</v>
      </c>
      <c r="E187" s="5">
        <f t="shared" si="18"/>
        <v>0.30422412669405774</v>
      </c>
      <c r="F187" s="5">
        <f t="shared" si="19"/>
        <v>1.0117500000000075</v>
      </c>
      <c r="G187" s="5">
        <f t="shared" si="25"/>
        <v>0.81091078553143647</v>
      </c>
      <c r="H187" s="6" t="str">
        <f t="shared" si="20"/>
        <v/>
      </c>
      <c r="I187" s="6" t="str">
        <f t="shared" si="21"/>
        <v/>
      </c>
      <c r="J187" s="6" t="str">
        <f t="shared" si="22"/>
        <v/>
      </c>
      <c r="K187" s="6" t="str">
        <f t="shared" si="23"/>
        <v/>
      </c>
      <c r="L187" s="6" t="str">
        <f t="shared" si="26"/>
        <v/>
      </c>
      <c r="M187" s="110">
        <f>IF(D187="","",ABS(D187-G$5))</f>
        <v>3.0000000000000249</v>
      </c>
    </row>
    <row r="188" spans="2:13" s="107" customFormat="1" ht="12.75" customHeight="1" x14ac:dyDescent="0.4">
      <c r="B188" s="109">
        <v>44090</v>
      </c>
      <c r="C188" s="5">
        <v>3.16</v>
      </c>
      <c r="D188" s="7">
        <f t="shared" si="24"/>
        <v>3.0000000000000249</v>
      </c>
      <c r="E188" s="5">
        <f t="shared" si="18"/>
        <v>0.26104908637479624</v>
      </c>
      <c r="F188" s="5">
        <f t="shared" si="19"/>
        <v>1.0117500000000075</v>
      </c>
      <c r="G188" s="5">
        <f t="shared" si="25"/>
        <v>0.71449928804636254</v>
      </c>
      <c r="H188" s="6" t="str">
        <f t="shared" si="20"/>
        <v/>
      </c>
      <c r="I188" s="6" t="str">
        <f t="shared" si="21"/>
        <v/>
      </c>
      <c r="J188" s="6" t="str">
        <f t="shared" si="22"/>
        <v/>
      </c>
      <c r="K188" s="6" t="str">
        <f t="shared" si="23"/>
        <v/>
      </c>
      <c r="L188" s="6" t="str">
        <f t="shared" si="26"/>
        <v/>
      </c>
      <c r="M188" s="110">
        <f>IF(D188="","",ABS(D188-G$5))</f>
        <v>3.0000000000000249</v>
      </c>
    </row>
    <row r="189" spans="2:13" s="107" customFormat="1" ht="12.75" customHeight="1" x14ac:dyDescent="0.4">
      <c r="B189" s="109">
        <v>44091</v>
      </c>
      <c r="C189" s="5">
        <v>3.2</v>
      </c>
      <c r="D189" s="7">
        <f t="shared" si="24"/>
        <v>4.0000000000000036</v>
      </c>
      <c r="E189" s="5">
        <f t="shared" si="18"/>
        <v>0.35526128855293576</v>
      </c>
      <c r="F189" s="5">
        <f t="shared" si="19"/>
        <v>1.349</v>
      </c>
      <c r="G189" s="5">
        <f t="shared" si="25"/>
        <v>0.97502220922545535</v>
      </c>
      <c r="H189" s="6" t="str">
        <f t="shared" si="20"/>
        <v/>
      </c>
      <c r="I189" s="6" t="str">
        <f t="shared" si="21"/>
        <v/>
      </c>
      <c r="J189" s="6" t="str">
        <f t="shared" si="22"/>
        <v/>
      </c>
      <c r="K189" s="6" t="str">
        <f t="shared" si="23"/>
        <v/>
      </c>
      <c r="L189" s="6" t="str">
        <f t="shared" si="26"/>
        <v/>
      </c>
      <c r="M189" s="110">
        <f>IF(D189="","",ABS(D189-G$5))</f>
        <v>4.0000000000000036</v>
      </c>
    </row>
    <row r="190" spans="2:13" s="107" customFormat="1" ht="12.75" customHeight="1" x14ac:dyDescent="0.4">
      <c r="B190" s="109">
        <v>44092</v>
      </c>
      <c r="C190" s="5">
        <v>3.24</v>
      </c>
      <c r="D190" s="7">
        <f t="shared" si="24"/>
        <v>4.0000000000000036</v>
      </c>
      <c r="E190" s="5">
        <f t="shared" si="18"/>
        <v>0.35526128855293576</v>
      </c>
      <c r="F190" s="5">
        <f t="shared" si="19"/>
        <v>1.349</v>
      </c>
      <c r="G190" s="5">
        <f t="shared" si="25"/>
        <v>0.97743611881676029</v>
      </c>
      <c r="H190" s="6" t="str">
        <f t="shared" si="20"/>
        <v/>
      </c>
      <c r="I190" s="6" t="str">
        <f t="shared" si="21"/>
        <v/>
      </c>
      <c r="J190" s="6" t="str">
        <f t="shared" si="22"/>
        <v/>
      </c>
      <c r="K190" s="6" t="str">
        <f t="shared" si="23"/>
        <v/>
      </c>
      <c r="L190" s="6" t="str">
        <f t="shared" si="26"/>
        <v/>
      </c>
      <c r="M190" s="110">
        <f>IF(D190="","",ABS(D190-G$5))</f>
        <v>4.0000000000000036</v>
      </c>
    </row>
    <row r="191" spans="2:13" s="107" customFormat="1" ht="12.75" customHeight="1" x14ac:dyDescent="0.4">
      <c r="B191" s="109">
        <v>44095</v>
      </c>
      <c r="C191" s="5">
        <v>3.32</v>
      </c>
      <c r="D191" s="7">
        <f t="shared" si="24"/>
        <v>7.9999999999999627</v>
      </c>
      <c r="E191" s="5">
        <f t="shared" si="18"/>
        <v>0.73211009726549803</v>
      </c>
      <c r="F191" s="5">
        <f t="shared" si="19"/>
        <v>2.6979999999999849</v>
      </c>
      <c r="G191" s="5">
        <f t="shared" si="25"/>
        <v>1.76274998696559</v>
      </c>
      <c r="H191" s="6" t="str">
        <f t="shared" si="20"/>
        <v/>
      </c>
      <c r="I191" s="6" t="str">
        <f t="shared" si="21"/>
        <v/>
      </c>
      <c r="J191" s="6" t="str">
        <f t="shared" si="22"/>
        <v/>
      </c>
      <c r="K191" s="6" t="str">
        <f t="shared" si="23"/>
        <v/>
      </c>
      <c r="L191" s="6" t="str">
        <f t="shared" si="26"/>
        <v/>
      </c>
      <c r="M191" s="110">
        <f>IF(D191="","",ABS(D191-G$5))</f>
        <v>7.9999999999999627</v>
      </c>
    </row>
    <row r="192" spans="2:13" s="107" customFormat="1" ht="12.75" customHeight="1" x14ac:dyDescent="0.4">
      <c r="B192" s="109">
        <v>44096</v>
      </c>
      <c r="C192" s="5">
        <v>3.3</v>
      </c>
      <c r="D192" s="7">
        <f t="shared" si="24"/>
        <v>-2.0000000000000018</v>
      </c>
      <c r="E192" s="5">
        <f t="shared" si="18"/>
        <v>0.21001192451591399</v>
      </c>
      <c r="F192" s="5">
        <f t="shared" si="19"/>
        <v>0.67449999999999999</v>
      </c>
      <c r="G192" s="5">
        <f t="shared" si="25"/>
        <v>0.5255981635823338</v>
      </c>
      <c r="H192" s="6" t="str">
        <f t="shared" si="20"/>
        <v/>
      </c>
      <c r="I192" s="6" t="str">
        <f t="shared" si="21"/>
        <v/>
      </c>
      <c r="J192" s="6" t="str">
        <f t="shared" si="22"/>
        <v/>
      </c>
      <c r="K192" s="6" t="str">
        <f t="shared" si="23"/>
        <v/>
      </c>
      <c r="L192" s="6" t="str">
        <f t="shared" si="26"/>
        <v/>
      </c>
      <c r="M192" s="110">
        <f>IF(D192="","",ABS(D192-G$5))</f>
        <v>2.0000000000000018</v>
      </c>
    </row>
    <row r="193" spans="2:13" s="107" customFormat="1" ht="12.75" customHeight="1" x14ac:dyDescent="0.4">
      <c r="B193" s="109">
        <v>44097</v>
      </c>
      <c r="C193" s="5">
        <v>3.4</v>
      </c>
      <c r="D193" s="7">
        <f t="shared" si="24"/>
        <v>10.000000000000009</v>
      </c>
      <c r="E193" s="5">
        <f t="shared" si="18"/>
        <v>0.92053450162178563</v>
      </c>
      <c r="F193" s="5">
        <f t="shared" si="19"/>
        <v>3.3725000000000001</v>
      </c>
      <c r="G193" s="5">
        <f t="shared" si="25"/>
        <v>1.9260441587610233</v>
      </c>
      <c r="H193" s="6" t="str">
        <f t="shared" si="20"/>
        <v/>
      </c>
      <c r="I193" s="6" t="str">
        <f t="shared" si="21"/>
        <v>OUTLIER</v>
      </c>
      <c r="J193" s="6" t="str">
        <f t="shared" si="22"/>
        <v/>
      </c>
      <c r="K193" s="6" t="str">
        <f t="shared" si="23"/>
        <v/>
      </c>
      <c r="L193" s="6" t="str">
        <f t="shared" si="26"/>
        <v/>
      </c>
      <c r="M193" s="110">
        <f>IF(D193="","",ABS(D193-G$5))</f>
        <v>10.000000000000009</v>
      </c>
    </row>
    <row r="194" spans="2:13" s="107" customFormat="1" ht="12.75" customHeight="1" x14ac:dyDescent="0.4">
      <c r="B194" s="109">
        <v>44098</v>
      </c>
      <c r="C194" s="5">
        <v>3.35</v>
      </c>
      <c r="D194" s="7">
        <f t="shared" si="24"/>
        <v>-4.9999999999999822</v>
      </c>
      <c r="E194" s="5">
        <f t="shared" si="18"/>
        <v>0.49264853105033685</v>
      </c>
      <c r="F194" s="5">
        <f t="shared" si="19"/>
        <v>1.6862499999999925</v>
      </c>
      <c r="G194" s="5">
        <f t="shared" si="25"/>
        <v>1.0275679071743193</v>
      </c>
      <c r="H194" s="6" t="str">
        <f t="shared" si="20"/>
        <v/>
      </c>
      <c r="I194" s="6" t="str">
        <f t="shared" si="21"/>
        <v/>
      </c>
      <c r="J194" s="6" t="str">
        <f t="shared" si="22"/>
        <v/>
      </c>
      <c r="K194" s="6" t="str">
        <f t="shared" si="23"/>
        <v/>
      </c>
      <c r="L194" s="6" t="str">
        <f t="shared" si="26"/>
        <v/>
      </c>
      <c r="M194" s="110">
        <f>IF(D194="","",ABS(D194-G$5))</f>
        <v>4.9999999999999822</v>
      </c>
    </row>
    <row r="195" spans="2:13" s="107" customFormat="1" ht="12.75" customHeight="1" x14ac:dyDescent="0.4">
      <c r="B195" s="109">
        <v>44099</v>
      </c>
      <c r="C195" s="5">
        <v>3.29</v>
      </c>
      <c r="D195" s="7">
        <f t="shared" si="24"/>
        <v>-6.0000000000000053</v>
      </c>
      <c r="E195" s="5">
        <f t="shared" si="18"/>
        <v>0.58686073322848054</v>
      </c>
      <c r="F195" s="5">
        <f t="shared" si="19"/>
        <v>2.0234999999999999</v>
      </c>
      <c r="G195" s="5">
        <f t="shared" si="25"/>
        <v>1.1946690630936614</v>
      </c>
      <c r="H195" s="6" t="str">
        <f t="shared" si="20"/>
        <v/>
      </c>
      <c r="I195" s="6" t="str">
        <f t="shared" si="21"/>
        <v/>
      </c>
      <c r="J195" s="6" t="str">
        <f t="shared" si="22"/>
        <v/>
      </c>
      <c r="K195" s="6" t="str">
        <f t="shared" si="23"/>
        <v/>
      </c>
      <c r="L195" s="6" t="str">
        <f t="shared" si="26"/>
        <v/>
      </c>
      <c r="M195" s="110">
        <f>IF(D195="","",ABS(D195-G$5))</f>
        <v>6.0000000000000053</v>
      </c>
    </row>
    <row r="196" spans="2:13" s="107" customFormat="1" ht="12.75" customHeight="1" x14ac:dyDescent="0.4">
      <c r="B196" s="109">
        <v>44102</v>
      </c>
      <c r="C196" s="5">
        <v>3.24</v>
      </c>
      <c r="D196" s="7">
        <f t="shared" si="24"/>
        <v>-4.9999999999999822</v>
      </c>
      <c r="E196" s="5">
        <f t="shared" si="18"/>
        <v>0.49264853105033685</v>
      </c>
      <c r="F196" s="5">
        <f t="shared" si="19"/>
        <v>1.6862499999999925</v>
      </c>
      <c r="G196" s="5">
        <f t="shared" si="25"/>
        <v>1.0025925144604246</v>
      </c>
      <c r="H196" s="6" t="str">
        <f t="shared" si="20"/>
        <v/>
      </c>
      <c r="I196" s="6" t="str">
        <f t="shared" si="21"/>
        <v/>
      </c>
      <c r="J196" s="6" t="str">
        <f t="shared" si="22"/>
        <v/>
      </c>
      <c r="K196" s="6" t="str">
        <f t="shared" si="23"/>
        <v/>
      </c>
      <c r="L196" s="6" t="str">
        <f t="shared" si="26"/>
        <v/>
      </c>
      <c r="M196" s="110">
        <f>IF(D196="","",ABS(D196-G$5))</f>
        <v>4.9999999999999822</v>
      </c>
    </row>
    <row r="197" spans="2:13" s="107" customFormat="1" ht="12.75" customHeight="1" x14ac:dyDescent="0.4">
      <c r="B197" s="109">
        <v>44103</v>
      </c>
      <c r="C197" s="5">
        <v>3.24</v>
      </c>
      <c r="D197" s="7">
        <f t="shared" si="24"/>
        <v>0</v>
      </c>
      <c r="E197" s="5">
        <f t="shared" si="18"/>
        <v>2.1587520159630759E-2</v>
      </c>
      <c r="F197" s="5">
        <f t="shared" si="19"/>
        <v>0</v>
      </c>
      <c r="G197" s="5">
        <f t="shared" si="25"/>
        <v>4.630439386398099E-2</v>
      </c>
      <c r="H197" s="6" t="str">
        <f t="shared" si="20"/>
        <v/>
      </c>
      <c r="I197" s="6" t="str">
        <f t="shared" si="21"/>
        <v/>
      </c>
      <c r="J197" s="6" t="str">
        <f t="shared" si="22"/>
        <v/>
      </c>
      <c r="K197" s="6" t="str">
        <f t="shared" si="23"/>
        <v/>
      </c>
      <c r="L197" s="6" t="str">
        <f t="shared" si="26"/>
        <v>STALE</v>
      </c>
      <c r="M197" s="110">
        <f>IF(D197="","",ABS(D197-G$5))</f>
        <v>0</v>
      </c>
    </row>
    <row r="198" spans="2:13" s="107" customFormat="1" ht="12.75" customHeight="1" x14ac:dyDescent="0.4">
      <c r="B198" s="109">
        <v>44104</v>
      </c>
      <c r="C198" s="5">
        <v>3.22</v>
      </c>
      <c r="D198" s="7">
        <f t="shared" si="24"/>
        <v>-2.0000000000000018</v>
      </c>
      <c r="E198" s="5">
        <f t="shared" si="18"/>
        <v>0.21001192451591399</v>
      </c>
      <c r="F198" s="5">
        <f t="shared" si="19"/>
        <v>0.67449999999999999</v>
      </c>
      <c r="G198" s="5">
        <f t="shared" si="25"/>
        <v>0.46957023187642166</v>
      </c>
      <c r="H198" s="6" t="str">
        <f t="shared" si="20"/>
        <v/>
      </c>
      <c r="I198" s="6" t="str">
        <f t="shared" si="21"/>
        <v/>
      </c>
      <c r="J198" s="6" t="str">
        <f t="shared" si="22"/>
        <v/>
      </c>
      <c r="K198" s="6" t="str">
        <f t="shared" si="23"/>
        <v/>
      </c>
      <c r="L198" s="6" t="str">
        <f t="shared" si="26"/>
        <v/>
      </c>
      <c r="M198" s="110">
        <f>IF(D198="","",ABS(D198-G$5))</f>
        <v>2.0000000000000018</v>
      </c>
    </row>
    <row r="199" spans="2:13" s="107" customFormat="1" ht="12.75" customHeight="1" x14ac:dyDescent="0.4">
      <c r="B199" s="109">
        <v>44105</v>
      </c>
      <c r="C199" s="5">
        <v>3.19</v>
      </c>
      <c r="D199" s="7">
        <f t="shared" si="24"/>
        <v>-3.0000000000000249</v>
      </c>
      <c r="E199" s="5">
        <f t="shared" si="18"/>
        <v>0.30422412669405774</v>
      </c>
      <c r="F199" s="5">
        <f t="shared" si="19"/>
        <v>1.0117500000000075</v>
      </c>
      <c r="G199" s="5">
        <f t="shared" si="25"/>
        <v>0.69926645521901676</v>
      </c>
      <c r="H199" s="6" t="str">
        <f t="shared" si="20"/>
        <v/>
      </c>
      <c r="I199" s="6" t="str">
        <f t="shared" si="21"/>
        <v/>
      </c>
      <c r="J199" s="6" t="str">
        <f t="shared" si="22"/>
        <v/>
      </c>
      <c r="K199" s="6" t="str">
        <f t="shared" si="23"/>
        <v/>
      </c>
      <c r="L199" s="6" t="str">
        <f t="shared" si="26"/>
        <v/>
      </c>
      <c r="M199" s="110">
        <f>IF(D199="","",ABS(D199-G$5))</f>
        <v>3.0000000000000249</v>
      </c>
    </row>
    <row r="200" spans="2:13" s="107" customFormat="1" ht="12.75" customHeight="1" x14ac:dyDescent="0.4">
      <c r="B200" s="109">
        <v>44106</v>
      </c>
      <c r="C200" s="5">
        <v>3.24</v>
      </c>
      <c r="D200" s="7">
        <f t="shared" si="24"/>
        <v>5.0000000000000266</v>
      </c>
      <c r="E200" s="5">
        <f t="shared" si="18"/>
        <v>0.44947349073107945</v>
      </c>
      <c r="F200" s="5">
        <f t="shared" si="19"/>
        <v>1.6862500000000074</v>
      </c>
      <c r="G200" s="5">
        <f t="shared" si="25"/>
        <v>1.0296641048523791</v>
      </c>
      <c r="H200" s="6" t="str">
        <f t="shared" si="20"/>
        <v/>
      </c>
      <c r="I200" s="6" t="str">
        <f t="shared" si="21"/>
        <v/>
      </c>
      <c r="J200" s="6" t="str">
        <f t="shared" si="22"/>
        <v/>
      </c>
      <c r="K200" s="6" t="str">
        <f t="shared" si="23"/>
        <v/>
      </c>
      <c r="L200" s="6" t="str">
        <f t="shared" si="26"/>
        <v/>
      </c>
      <c r="M200" s="110">
        <f>IF(D200="","",ABS(D200-G$5))</f>
        <v>5.0000000000000266</v>
      </c>
    </row>
    <row r="201" spans="2:13" s="107" customFormat="1" ht="12.75" customHeight="1" x14ac:dyDescent="0.4">
      <c r="B201" s="109">
        <v>44109</v>
      </c>
      <c r="C201" s="5">
        <v>3.19</v>
      </c>
      <c r="D201" s="7">
        <f t="shared" si="24"/>
        <v>-5.0000000000000266</v>
      </c>
      <c r="E201" s="5">
        <f t="shared" ref="E201:E262" si="27">IF(D201="","",ABS(D201-$E$5)/$F$5)</f>
        <v>0.49264853105034101</v>
      </c>
      <c r="F201" s="5">
        <f t="shared" ref="F201:F263" si="28">IF(D201="","",ABS(D201-$G$5)/$H$5)</f>
        <v>1.6862500000000074</v>
      </c>
      <c r="G201" s="5">
        <f t="shared" si="25"/>
        <v>1.1134375127476226</v>
      </c>
      <c r="H201" s="6" t="str">
        <f t="shared" ref="H201:H262" si="29">IF(E201="","",IF(E201&gt;$I$5,"OUTLIER",""))</f>
        <v/>
      </c>
      <c r="I201" s="6" t="str">
        <f t="shared" ref="I201:I262" si="30">IF(F201="","",IF(F201&gt;$I$5,"OUTLIER",""))</f>
        <v/>
      </c>
      <c r="J201" s="6" t="str">
        <f t="shared" ref="J201:J262" si="31">IF(G201="","",IF(G201&gt;$I$5,"OUTLIER",""))</f>
        <v/>
      </c>
      <c r="K201" s="6" t="str">
        <f t="shared" ref="K201:K262" si="32">IF(C201="","MISSING","")</f>
        <v/>
      </c>
      <c r="L201" s="6" t="str">
        <f t="shared" si="26"/>
        <v/>
      </c>
      <c r="M201" s="110">
        <f>IF(D201="","",ABS(D201-G$5))</f>
        <v>5.0000000000000266</v>
      </c>
    </row>
    <row r="202" spans="2:13" s="107" customFormat="1" ht="12.75" customHeight="1" x14ac:dyDescent="0.4">
      <c r="B202" s="109">
        <v>44110</v>
      </c>
      <c r="C202" s="5">
        <v>3.23</v>
      </c>
      <c r="D202" s="7">
        <f t="shared" ref="D202:D261" si="33">IF(OR(C202="",C201=""),"",(C202-C201)*100)</f>
        <v>4.0000000000000036</v>
      </c>
      <c r="E202" s="5">
        <f t="shared" si="27"/>
        <v>0.35526128855293576</v>
      </c>
      <c r="F202" s="5">
        <f t="shared" si="28"/>
        <v>1.349</v>
      </c>
      <c r="G202" s="5">
        <f t="shared" ref="G202:G262" si="34">IF(D202="","",ABS(D202-$E$5)/SQRT(0.9*(IF(G201="",($F$5)^2,(ABS(D201-$E$5)/MAX(G201,0.0000000001))^2))+0.1*(D202-$E$5)^2))</f>
        <v>0.81758390813365522</v>
      </c>
      <c r="H202" s="6" t="str">
        <f t="shared" si="29"/>
        <v/>
      </c>
      <c r="I202" s="6" t="str">
        <f t="shared" si="30"/>
        <v/>
      </c>
      <c r="J202" s="6" t="str">
        <f t="shared" si="31"/>
        <v/>
      </c>
      <c r="K202" s="6" t="str">
        <f t="shared" si="32"/>
        <v/>
      </c>
      <c r="L202" s="6" t="str">
        <f t="shared" ref="L202:L262" si="35">IF(AND(C202&lt;&gt;"",C201&lt;&gt;"",C202=C201),"STALE","")</f>
        <v/>
      </c>
      <c r="M202" s="110">
        <f>IF(D202="","",ABS(D202-G$5))</f>
        <v>4.0000000000000036</v>
      </c>
    </row>
    <row r="203" spans="2:13" s="107" customFormat="1" ht="12.75" customHeight="1" x14ac:dyDescent="0.4">
      <c r="B203" s="109">
        <v>44111</v>
      </c>
      <c r="C203" s="5">
        <v>3.17</v>
      </c>
      <c r="D203" s="7">
        <f t="shared" si="33"/>
        <v>-6.0000000000000053</v>
      </c>
      <c r="E203" s="5">
        <f t="shared" si="27"/>
        <v>0.58686073322848054</v>
      </c>
      <c r="F203" s="5">
        <f t="shared" si="28"/>
        <v>2.0234999999999999</v>
      </c>
      <c r="G203" s="5">
        <f t="shared" si="34"/>
        <v>1.298148616353227</v>
      </c>
      <c r="H203" s="6" t="str">
        <f t="shared" si="29"/>
        <v/>
      </c>
      <c r="I203" s="6" t="str">
        <f t="shared" si="30"/>
        <v/>
      </c>
      <c r="J203" s="6" t="str">
        <f t="shared" si="31"/>
        <v/>
      </c>
      <c r="K203" s="6" t="str">
        <f t="shared" si="32"/>
        <v/>
      </c>
      <c r="L203" s="6" t="str">
        <f t="shared" si="35"/>
        <v/>
      </c>
      <c r="M203" s="110">
        <f>IF(D203="","",ABS(D203-G$5))</f>
        <v>6.0000000000000053</v>
      </c>
    </row>
    <row r="204" spans="2:13" s="107" customFormat="1" ht="12.75" customHeight="1" x14ac:dyDescent="0.4">
      <c r="B204" s="109">
        <v>44112</v>
      </c>
      <c r="C204" s="5">
        <v>3.14</v>
      </c>
      <c r="D204" s="7">
        <f t="shared" si="33"/>
        <v>-2.9999999999999805</v>
      </c>
      <c r="E204" s="5">
        <f t="shared" si="27"/>
        <v>0.30422412669405352</v>
      </c>
      <c r="F204" s="5">
        <f t="shared" si="28"/>
        <v>1.0117499999999926</v>
      </c>
      <c r="G204" s="5">
        <f t="shared" si="34"/>
        <v>0.6921518012632466</v>
      </c>
      <c r="H204" s="6" t="str">
        <f t="shared" si="29"/>
        <v/>
      </c>
      <c r="I204" s="6" t="str">
        <f t="shared" si="30"/>
        <v/>
      </c>
      <c r="J204" s="6" t="str">
        <f t="shared" si="31"/>
        <v/>
      </c>
      <c r="K204" s="6" t="str">
        <f t="shared" si="32"/>
        <v/>
      </c>
      <c r="L204" s="6" t="str">
        <f t="shared" si="35"/>
        <v/>
      </c>
      <c r="M204" s="110">
        <f>IF(D204="","",ABS(D204-G$5))</f>
        <v>2.9999999999999805</v>
      </c>
    </row>
    <row r="205" spans="2:13" s="107" customFormat="1" ht="12.75" customHeight="1" x14ac:dyDescent="0.4">
      <c r="B205" s="109">
        <v>44113</v>
      </c>
      <c r="C205" s="5">
        <v>3.1</v>
      </c>
      <c r="D205" s="7">
        <f t="shared" si="33"/>
        <v>-4.0000000000000036</v>
      </c>
      <c r="E205" s="5">
        <f t="shared" si="27"/>
        <v>0.39843632887219732</v>
      </c>
      <c r="F205" s="5">
        <f t="shared" si="28"/>
        <v>1.349</v>
      </c>
      <c r="G205" s="5">
        <f t="shared" si="34"/>
        <v>0.91468690673286812</v>
      </c>
      <c r="H205" s="6" t="str">
        <f t="shared" si="29"/>
        <v/>
      </c>
      <c r="I205" s="6" t="str">
        <f t="shared" si="30"/>
        <v/>
      </c>
      <c r="J205" s="6" t="str">
        <f t="shared" si="31"/>
        <v/>
      </c>
      <c r="K205" s="6" t="str">
        <f t="shared" si="32"/>
        <v/>
      </c>
      <c r="L205" s="6" t="str">
        <f t="shared" si="35"/>
        <v/>
      </c>
      <c r="M205" s="110">
        <f>IF(D205="","",ABS(D205-G$5))</f>
        <v>4.0000000000000036</v>
      </c>
    </row>
    <row r="206" spans="2:13" s="107" customFormat="1" ht="12.75" customHeight="1" x14ac:dyDescent="0.4">
      <c r="B206" s="109">
        <v>44116</v>
      </c>
      <c r="C206" s="5">
        <v>3.07</v>
      </c>
      <c r="D206" s="7">
        <f t="shared" si="33"/>
        <v>-3.0000000000000249</v>
      </c>
      <c r="E206" s="5">
        <f t="shared" si="27"/>
        <v>0.30422412669405774</v>
      </c>
      <c r="F206" s="5">
        <f t="shared" si="28"/>
        <v>1.0117500000000075</v>
      </c>
      <c r="G206" s="5">
        <f t="shared" si="34"/>
        <v>0.71700986327427096</v>
      </c>
      <c r="H206" s="6" t="str">
        <f t="shared" si="29"/>
        <v/>
      </c>
      <c r="I206" s="6" t="str">
        <f t="shared" si="30"/>
        <v/>
      </c>
      <c r="J206" s="6" t="str">
        <f t="shared" si="31"/>
        <v/>
      </c>
      <c r="K206" s="6" t="str">
        <f t="shared" si="32"/>
        <v/>
      </c>
      <c r="L206" s="6" t="str">
        <f t="shared" si="35"/>
        <v/>
      </c>
      <c r="M206" s="110">
        <f>IF(D206="","",ABS(D206-G$5))</f>
        <v>3.0000000000000249</v>
      </c>
    </row>
    <row r="207" spans="2:13" s="107" customFormat="1" ht="12.75" customHeight="1" x14ac:dyDescent="0.4">
      <c r="B207" s="109">
        <v>44117</v>
      </c>
      <c r="C207" s="5">
        <v>3.09</v>
      </c>
      <c r="D207" s="7">
        <f t="shared" si="33"/>
        <v>2.0000000000000018</v>
      </c>
      <c r="E207" s="5">
        <f t="shared" si="27"/>
        <v>0.16683688419665252</v>
      </c>
      <c r="F207" s="5">
        <f t="shared" si="28"/>
        <v>0.67449999999999999</v>
      </c>
      <c r="G207" s="5">
        <f t="shared" si="34"/>
        <v>0.41096377612748192</v>
      </c>
      <c r="H207" s="6" t="str">
        <f t="shared" si="29"/>
        <v/>
      </c>
      <c r="I207" s="6" t="str">
        <f t="shared" si="30"/>
        <v/>
      </c>
      <c r="J207" s="6" t="str">
        <f t="shared" si="31"/>
        <v/>
      </c>
      <c r="K207" s="6" t="str">
        <f t="shared" si="32"/>
        <v/>
      </c>
      <c r="L207" s="6" t="str">
        <f t="shared" si="35"/>
        <v/>
      </c>
      <c r="M207" s="110">
        <f>IF(D207="","",ABS(D207-G$5))</f>
        <v>2.0000000000000018</v>
      </c>
    </row>
    <row r="208" spans="2:13" s="107" customFormat="1" ht="12.75" customHeight="1" x14ac:dyDescent="0.4">
      <c r="B208" s="109">
        <v>44118</v>
      </c>
      <c r="C208" s="5">
        <v>3.09</v>
      </c>
      <c r="D208" s="7">
        <f t="shared" si="33"/>
        <v>0</v>
      </c>
      <c r="E208" s="5">
        <f t="shared" si="27"/>
        <v>2.1587520159630759E-2</v>
      </c>
      <c r="F208" s="5">
        <f t="shared" si="28"/>
        <v>0</v>
      </c>
      <c r="G208" s="5">
        <f t="shared" si="34"/>
        <v>5.6043436847664344E-2</v>
      </c>
      <c r="H208" s="6" t="str">
        <f t="shared" si="29"/>
        <v/>
      </c>
      <c r="I208" s="6" t="str">
        <f t="shared" si="30"/>
        <v/>
      </c>
      <c r="J208" s="6" t="str">
        <f t="shared" si="31"/>
        <v/>
      </c>
      <c r="K208" s="6" t="str">
        <f t="shared" si="32"/>
        <v/>
      </c>
      <c r="L208" s="6" t="str">
        <f t="shared" si="35"/>
        <v>STALE</v>
      </c>
      <c r="M208" s="110">
        <f>IF(D208="","",ABS(D208-G$5))</f>
        <v>0</v>
      </c>
    </row>
    <row r="209" spans="2:13" s="107" customFormat="1" ht="12.75" customHeight="1" x14ac:dyDescent="0.4">
      <c r="B209" s="109">
        <v>44119</v>
      </c>
      <c r="C209" s="5">
        <v>3.11</v>
      </c>
      <c r="D209" s="7">
        <f t="shared" si="33"/>
        <v>2.0000000000000018</v>
      </c>
      <c r="E209" s="5">
        <f t="shared" si="27"/>
        <v>0.16683688419665252</v>
      </c>
      <c r="F209" s="5">
        <f t="shared" si="28"/>
        <v>0.67449999999999999</v>
      </c>
      <c r="G209" s="5">
        <f t="shared" si="34"/>
        <v>0.45186955664752848</v>
      </c>
      <c r="H209" s="6" t="str">
        <f t="shared" si="29"/>
        <v/>
      </c>
      <c r="I209" s="6" t="str">
        <f t="shared" si="30"/>
        <v/>
      </c>
      <c r="J209" s="6" t="str">
        <f t="shared" si="31"/>
        <v/>
      </c>
      <c r="K209" s="6" t="str">
        <f t="shared" si="32"/>
        <v/>
      </c>
      <c r="L209" s="6" t="str">
        <f t="shared" si="35"/>
        <v/>
      </c>
      <c r="M209" s="110">
        <f>IF(D209="","",ABS(D209-G$5))</f>
        <v>2.0000000000000018</v>
      </c>
    </row>
    <row r="210" spans="2:13" s="107" customFormat="1" ht="12.75" customHeight="1" x14ac:dyDescent="0.4">
      <c r="B210" s="109">
        <v>44120</v>
      </c>
      <c r="C210" s="5">
        <v>3.13</v>
      </c>
      <c r="D210" s="7">
        <f t="shared" si="33"/>
        <v>2.0000000000000018</v>
      </c>
      <c r="E210" s="5">
        <f t="shared" si="27"/>
        <v>0.16683688419665252</v>
      </c>
      <c r="F210" s="5">
        <f t="shared" si="28"/>
        <v>0.67449999999999999</v>
      </c>
      <c r="G210" s="5">
        <f t="shared" si="34"/>
        <v>0.47099943652436521</v>
      </c>
      <c r="H210" s="6" t="str">
        <f t="shared" si="29"/>
        <v/>
      </c>
      <c r="I210" s="6" t="str">
        <f t="shared" si="30"/>
        <v/>
      </c>
      <c r="J210" s="6" t="str">
        <f t="shared" si="31"/>
        <v/>
      </c>
      <c r="K210" s="6" t="str">
        <f t="shared" si="32"/>
        <v/>
      </c>
      <c r="L210" s="6" t="str">
        <f t="shared" si="35"/>
        <v/>
      </c>
      <c r="M210" s="110">
        <f>IF(D210="","",ABS(D210-G$5))</f>
        <v>2.0000000000000018</v>
      </c>
    </row>
    <row r="211" spans="2:13" s="107" customFormat="1" ht="12.75" customHeight="1" x14ac:dyDescent="0.4">
      <c r="B211" s="109">
        <v>44123</v>
      </c>
      <c r="C211" s="5">
        <v>3.17</v>
      </c>
      <c r="D211" s="7">
        <f t="shared" si="33"/>
        <v>4.0000000000000036</v>
      </c>
      <c r="E211" s="5">
        <f t="shared" si="27"/>
        <v>0.35526128855293576</v>
      </c>
      <c r="F211" s="5">
        <f t="shared" si="28"/>
        <v>1.349</v>
      </c>
      <c r="G211" s="5">
        <f t="shared" si="34"/>
        <v>1.0026474308828517</v>
      </c>
      <c r="H211" s="6" t="str">
        <f t="shared" si="29"/>
        <v/>
      </c>
      <c r="I211" s="6" t="str">
        <f t="shared" si="30"/>
        <v/>
      </c>
      <c r="J211" s="6" t="str">
        <f t="shared" si="31"/>
        <v/>
      </c>
      <c r="K211" s="6" t="str">
        <f t="shared" si="32"/>
        <v/>
      </c>
      <c r="L211" s="6" t="str">
        <f t="shared" si="35"/>
        <v/>
      </c>
      <c r="M211" s="110">
        <f>IF(D211="","",ABS(D211-G$5))</f>
        <v>4.0000000000000036</v>
      </c>
    </row>
    <row r="212" spans="2:13" s="107" customFormat="1" ht="12.75" customHeight="1" x14ac:dyDescent="0.4">
      <c r="B212" s="109">
        <v>44124</v>
      </c>
      <c r="C212" s="5">
        <v>3.15</v>
      </c>
      <c r="D212" s="7">
        <f t="shared" si="33"/>
        <v>-2.0000000000000018</v>
      </c>
      <c r="E212" s="5">
        <f t="shared" si="27"/>
        <v>0.21001192451591399</v>
      </c>
      <c r="F212" s="5">
        <f t="shared" si="28"/>
        <v>0.67449999999999999</v>
      </c>
      <c r="G212" s="5">
        <f t="shared" si="34"/>
        <v>0.61292610923762947</v>
      </c>
      <c r="H212" s="6" t="str">
        <f t="shared" si="29"/>
        <v/>
      </c>
      <c r="I212" s="6" t="str">
        <f t="shared" si="30"/>
        <v/>
      </c>
      <c r="J212" s="6" t="str">
        <f t="shared" si="31"/>
        <v/>
      </c>
      <c r="K212" s="6" t="str">
        <f t="shared" si="32"/>
        <v/>
      </c>
      <c r="L212" s="6" t="str">
        <f t="shared" si="35"/>
        <v/>
      </c>
      <c r="M212" s="110">
        <f>IF(D212="","",ABS(D212-G$5))</f>
        <v>2.0000000000000018</v>
      </c>
    </row>
    <row r="213" spans="2:13" s="107" customFormat="1" ht="12.75" customHeight="1" x14ac:dyDescent="0.4">
      <c r="B213" s="109">
        <v>44125</v>
      </c>
      <c r="C213" s="5">
        <v>3.17</v>
      </c>
      <c r="D213" s="7">
        <f t="shared" si="33"/>
        <v>2.0000000000000018</v>
      </c>
      <c r="E213" s="5">
        <f t="shared" si="27"/>
        <v>0.16683688419665252</v>
      </c>
      <c r="F213" s="5">
        <f t="shared" si="28"/>
        <v>0.67449999999999999</v>
      </c>
      <c r="G213" s="5">
        <f t="shared" si="34"/>
        <v>0.50662738311962574</v>
      </c>
      <c r="H213" s="6" t="str">
        <f t="shared" si="29"/>
        <v/>
      </c>
      <c r="I213" s="6" t="str">
        <f t="shared" si="30"/>
        <v/>
      </c>
      <c r="J213" s="6" t="str">
        <f t="shared" si="31"/>
        <v/>
      </c>
      <c r="K213" s="6" t="str">
        <f t="shared" si="32"/>
        <v/>
      </c>
      <c r="L213" s="6" t="str">
        <f t="shared" si="35"/>
        <v/>
      </c>
      <c r="M213" s="110">
        <f>IF(D213="","",ABS(D213-G$5))</f>
        <v>2.0000000000000018</v>
      </c>
    </row>
    <row r="214" spans="2:13" s="107" customFormat="1" ht="12.75" customHeight="1" x14ac:dyDescent="0.4">
      <c r="B214" s="109">
        <v>44126</v>
      </c>
      <c r="C214" s="5">
        <v>3.14</v>
      </c>
      <c r="D214" s="7">
        <f t="shared" si="33"/>
        <v>-2.9999999999999805</v>
      </c>
      <c r="E214" s="5">
        <f t="shared" si="27"/>
        <v>0.30422412669405352</v>
      </c>
      <c r="F214" s="5">
        <f t="shared" si="28"/>
        <v>1.0117499999999926</v>
      </c>
      <c r="G214" s="5">
        <f t="shared" si="34"/>
        <v>0.93067056772168066</v>
      </c>
      <c r="H214" s="6" t="str">
        <f t="shared" si="29"/>
        <v/>
      </c>
      <c r="I214" s="6" t="str">
        <f t="shared" si="30"/>
        <v/>
      </c>
      <c r="J214" s="6" t="str">
        <f t="shared" si="31"/>
        <v/>
      </c>
      <c r="K214" s="6" t="str">
        <f t="shared" si="32"/>
        <v/>
      </c>
      <c r="L214" s="6" t="str">
        <f t="shared" si="35"/>
        <v/>
      </c>
      <c r="M214" s="110">
        <f>IF(D214="","",ABS(D214-G$5))</f>
        <v>2.9999999999999805</v>
      </c>
    </row>
    <row r="215" spans="2:13" s="107" customFormat="1" ht="12.75" customHeight="1" x14ac:dyDescent="0.4">
      <c r="B215" s="109">
        <v>44127</v>
      </c>
      <c r="C215" s="5">
        <v>3.15</v>
      </c>
      <c r="D215" s="7">
        <f t="shared" si="33"/>
        <v>0.99999999999997868</v>
      </c>
      <c r="E215" s="5">
        <f t="shared" si="27"/>
        <v>7.2624682018508774E-2</v>
      </c>
      <c r="F215" s="5">
        <f t="shared" si="28"/>
        <v>0.3372499999999925</v>
      </c>
      <c r="G215" s="5">
        <f t="shared" si="34"/>
        <v>0.23354880158781843</v>
      </c>
      <c r="H215" s="6" t="str">
        <f t="shared" si="29"/>
        <v/>
      </c>
      <c r="I215" s="6" t="str">
        <f t="shared" si="30"/>
        <v/>
      </c>
      <c r="J215" s="6" t="str">
        <f t="shared" si="31"/>
        <v/>
      </c>
      <c r="K215" s="6" t="str">
        <f t="shared" si="32"/>
        <v/>
      </c>
      <c r="L215" s="6" t="str">
        <f t="shared" si="35"/>
        <v/>
      </c>
      <c r="M215" s="110">
        <f>IF(D215="","",ABS(D215-G$5))</f>
        <v>0.99999999999997868</v>
      </c>
    </row>
    <row r="216" spans="2:13" s="107" customFormat="1" ht="12.75" customHeight="1" x14ac:dyDescent="0.4">
      <c r="B216" s="109">
        <v>44130</v>
      </c>
      <c r="C216" s="5">
        <v>3.27</v>
      </c>
      <c r="D216" s="7">
        <f t="shared" si="33"/>
        <v>12.000000000000011</v>
      </c>
      <c r="E216" s="5">
        <f t="shared" si="27"/>
        <v>1.1089589059780689</v>
      </c>
      <c r="F216" s="5">
        <f t="shared" si="28"/>
        <v>4.0469999999999997</v>
      </c>
      <c r="G216" s="5">
        <f t="shared" si="34"/>
        <v>2.419910281122498</v>
      </c>
      <c r="H216" s="6" t="str">
        <f t="shared" si="29"/>
        <v/>
      </c>
      <c r="I216" s="6" t="str">
        <f t="shared" si="30"/>
        <v>OUTLIER</v>
      </c>
      <c r="J216" s="6" t="str">
        <f t="shared" si="31"/>
        <v/>
      </c>
      <c r="K216" s="6" t="str">
        <f t="shared" si="32"/>
        <v/>
      </c>
      <c r="L216" s="6" t="str">
        <f t="shared" si="35"/>
        <v/>
      </c>
      <c r="M216" s="110">
        <f>IF(D216="","",ABS(D216-G$5))</f>
        <v>12.000000000000011</v>
      </c>
    </row>
    <row r="217" spans="2:13" s="107" customFormat="1" ht="12.75" customHeight="1" x14ac:dyDescent="0.4">
      <c r="B217" s="109">
        <v>44131</v>
      </c>
      <c r="C217" s="5">
        <v>3.26</v>
      </c>
      <c r="D217" s="7">
        <f t="shared" si="33"/>
        <v>-1.0000000000000231</v>
      </c>
      <c r="E217" s="5">
        <f t="shared" si="27"/>
        <v>0.11579972233777447</v>
      </c>
      <c r="F217" s="5">
        <f t="shared" si="28"/>
        <v>0.33725000000000749</v>
      </c>
      <c r="G217" s="5">
        <f t="shared" si="34"/>
        <v>0.26542076600074277</v>
      </c>
      <c r="H217" s="6" t="str">
        <f t="shared" si="29"/>
        <v/>
      </c>
      <c r="I217" s="6" t="str">
        <f t="shared" si="30"/>
        <v/>
      </c>
      <c r="J217" s="6" t="str">
        <f t="shared" si="31"/>
        <v/>
      </c>
      <c r="K217" s="6" t="str">
        <f t="shared" si="32"/>
        <v/>
      </c>
      <c r="L217" s="6" t="str">
        <f t="shared" si="35"/>
        <v/>
      </c>
      <c r="M217" s="110">
        <f>IF(D217="","",ABS(D217-G$5))</f>
        <v>1.0000000000000231</v>
      </c>
    </row>
    <row r="218" spans="2:13" s="107" customFormat="1" ht="12.75" customHeight="1" x14ac:dyDescent="0.4">
      <c r="B218" s="109">
        <v>44132</v>
      </c>
      <c r="C218" s="5">
        <v>3.41</v>
      </c>
      <c r="D218" s="7">
        <f t="shared" si="33"/>
        <v>15.000000000000036</v>
      </c>
      <c r="E218" s="5">
        <f t="shared" si="27"/>
        <v>1.3915955125124959</v>
      </c>
      <c r="F218" s="5">
        <f t="shared" si="28"/>
        <v>5.058750000000007</v>
      </c>
      <c r="G218" s="5">
        <f t="shared" si="34"/>
        <v>2.3034932238618615</v>
      </c>
      <c r="H218" s="6" t="str">
        <f t="shared" si="29"/>
        <v/>
      </c>
      <c r="I218" s="6" t="str">
        <f t="shared" si="30"/>
        <v>OUTLIER</v>
      </c>
      <c r="J218" s="6" t="str">
        <f t="shared" si="31"/>
        <v/>
      </c>
      <c r="K218" s="6" t="str">
        <f t="shared" si="32"/>
        <v/>
      </c>
      <c r="L218" s="6" t="str">
        <f t="shared" si="35"/>
        <v/>
      </c>
      <c r="M218" s="110">
        <f>IF(D218="","",ABS(D218-G$5))</f>
        <v>15.000000000000036</v>
      </c>
    </row>
    <row r="219" spans="2:13" s="107" customFormat="1" ht="12.75" customHeight="1" x14ac:dyDescent="0.4">
      <c r="B219" s="109">
        <v>44133</v>
      </c>
      <c r="C219" s="5">
        <v>3.36</v>
      </c>
      <c r="D219" s="7">
        <f t="shared" si="33"/>
        <v>-5.0000000000000266</v>
      </c>
      <c r="E219" s="5">
        <f t="shared" si="27"/>
        <v>0.49264853105034101</v>
      </c>
      <c r="F219" s="5">
        <f t="shared" si="28"/>
        <v>1.6862500000000074</v>
      </c>
      <c r="G219" s="5">
        <f t="shared" si="34"/>
        <v>0.82948810498550896</v>
      </c>
      <c r="H219" s="6" t="str">
        <f t="shared" si="29"/>
        <v/>
      </c>
      <c r="I219" s="6" t="str">
        <f t="shared" si="30"/>
        <v/>
      </c>
      <c r="J219" s="6" t="str">
        <f t="shared" si="31"/>
        <v/>
      </c>
      <c r="K219" s="6" t="str">
        <f t="shared" si="32"/>
        <v/>
      </c>
      <c r="L219" s="6" t="str">
        <f t="shared" si="35"/>
        <v/>
      </c>
      <c r="M219" s="110">
        <f>IF(D219="","",ABS(D219-G$5))</f>
        <v>5.0000000000000266</v>
      </c>
    </row>
    <row r="220" spans="2:13" s="107" customFormat="1" ht="12.75" customHeight="1" x14ac:dyDescent="0.4">
      <c r="B220" s="109">
        <v>44134</v>
      </c>
      <c r="C220" s="5">
        <v>3.47</v>
      </c>
      <c r="D220" s="7">
        <f t="shared" si="33"/>
        <v>11.000000000000032</v>
      </c>
      <c r="E220" s="5">
        <f t="shared" si="27"/>
        <v>1.0147467037999294</v>
      </c>
      <c r="F220" s="5">
        <f t="shared" si="28"/>
        <v>3.7097500000000072</v>
      </c>
      <c r="G220" s="5">
        <f t="shared" si="34"/>
        <v>1.564974933688267</v>
      </c>
      <c r="H220" s="6" t="str">
        <f t="shared" si="29"/>
        <v/>
      </c>
      <c r="I220" s="6" t="str">
        <f t="shared" si="30"/>
        <v>OUTLIER</v>
      </c>
      <c r="J220" s="6" t="str">
        <f t="shared" si="31"/>
        <v/>
      </c>
      <c r="K220" s="6" t="str">
        <f t="shared" si="32"/>
        <v/>
      </c>
      <c r="L220" s="6" t="str">
        <f t="shared" si="35"/>
        <v/>
      </c>
      <c r="M220" s="110">
        <f>IF(D220="","",ABS(D220-G$5))</f>
        <v>11.000000000000032</v>
      </c>
    </row>
    <row r="221" spans="2:13" s="107" customFormat="1" ht="12.75" customHeight="1" x14ac:dyDescent="0.4">
      <c r="B221" s="109">
        <v>44137</v>
      </c>
      <c r="C221" s="5">
        <v>3.44</v>
      </c>
      <c r="D221" s="7">
        <f t="shared" si="33"/>
        <v>-3.0000000000000249</v>
      </c>
      <c r="E221" s="5">
        <f t="shared" si="27"/>
        <v>0.30422412669405774</v>
      </c>
      <c r="F221" s="5">
        <f t="shared" si="28"/>
        <v>1.0117500000000075</v>
      </c>
      <c r="G221" s="5">
        <f t="shared" si="34"/>
        <v>0.48862398052493144</v>
      </c>
      <c r="H221" s="6" t="str">
        <f t="shared" si="29"/>
        <v/>
      </c>
      <c r="I221" s="6" t="str">
        <f t="shared" si="30"/>
        <v/>
      </c>
      <c r="J221" s="6" t="str">
        <f t="shared" si="31"/>
        <v/>
      </c>
      <c r="K221" s="6" t="str">
        <f t="shared" si="32"/>
        <v/>
      </c>
      <c r="L221" s="6" t="str">
        <f t="shared" si="35"/>
        <v/>
      </c>
      <c r="M221" s="110">
        <f>IF(D221="","",ABS(D221-G$5))</f>
        <v>3.0000000000000249</v>
      </c>
    </row>
    <row r="222" spans="2:13" s="107" customFormat="1" ht="12.75" customHeight="1" x14ac:dyDescent="0.4">
      <c r="B222" s="109">
        <v>44138</v>
      </c>
      <c r="C222" s="5">
        <v>3.35</v>
      </c>
      <c r="D222" s="7">
        <f t="shared" si="33"/>
        <v>-8.9999999999999858</v>
      </c>
      <c r="E222" s="5">
        <f t="shared" si="27"/>
        <v>0.86949733976290322</v>
      </c>
      <c r="F222" s="5">
        <f t="shared" si="28"/>
        <v>3.0352499999999925</v>
      </c>
      <c r="G222" s="5">
        <f t="shared" si="34"/>
        <v>1.334555408614492</v>
      </c>
      <c r="H222" s="6" t="str">
        <f t="shared" si="29"/>
        <v/>
      </c>
      <c r="I222" s="6" t="str">
        <f t="shared" si="30"/>
        <v>OUTLIER</v>
      </c>
      <c r="J222" s="6" t="str">
        <f t="shared" si="31"/>
        <v/>
      </c>
      <c r="K222" s="6" t="str">
        <f t="shared" si="32"/>
        <v/>
      </c>
      <c r="L222" s="6" t="str">
        <f t="shared" si="35"/>
        <v/>
      </c>
      <c r="M222" s="110">
        <f>IF(D222="","",ABS(D222-G$5))</f>
        <v>8.9999999999999858</v>
      </c>
    </row>
    <row r="223" spans="2:13" s="107" customFormat="1" ht="12.75" customHeight="1" x14ac:dyDescent="0.4">
      <c r="B223" s="109">
        <v>44139</v>
      </c>
      <c r="C223" s="5">
        <v>3.21</v>
      </c>
      <c r="D223" s="7">
        <f t="shared" si="33"/>
        <v>-14.000000000000012</v>
      </c>
      <c r="E223" s="5">
        <f t="shared" si="27"/>
        <v>1.3405583506536134</v>
      </c>
      <c r="F223" s="5">
        <f t="shared" si="28"/>
        <v>4.7214999999999998</v>
      </c>
      <c r="G223" s="5">
        <f t="shared" si="34"/>
        <v>1.7886087062372509</v>
      </c>
      <c r="H223" s="6" t="str">
        <f t="shared" si="29"/>
        <v/>
      </c>
      <c r="I223" s="6" t="str">
        <f t="shared" si="30"/>
        <v>OUTLIER</v>
      </c>
      <c r="J223" s="6" t="str">
        <f t="shared" si="31"/>
        <v/>
      </c>
      <c r="K223" s="6" t="str">
        <f t="shared" si="32"/>
        <v/>
      </c>
      <c r="L223" s="6" t="str">
        <f t="shared" si="35"/>
        <v/>
      </c>
      <c r="M223" s="110">
        <f>IF(D223="","",ABS(D223-G$5))</f>
        <v>14.000000000000012</v>
      </c>
    </row>
    <row r="224" spans="2:13" s="107" customFormat="1" ht="12.75" customHeight="1" x14ac:dyDescent="0.4">
      <c r="B224" s="109">
        <v>44140</v>
      </c>
      <c r="C224" s="5">
        <v>3.11</v>
      </c>
      <c r="D224" s="7">
        <f t="shared" si="33"/>
        <v>-10.000000000000009</v>
      </c>
      <c r="E224" s="5">
        <f t="shared" si="27"/>
        <v>0.96370954194104697</v>
      </c>
      <c r="F224" s="5">
        <f t="shared" si="28"/>
        <v>3.3725000000000001</v>
      </c>
      <c r="G224" s="5">
        <f t="shared" si="34"/>
        <v>1.245758064436906</v>
      </c>
      <c r="H224" s="6" t="str">
        <f t="shared" si="29"/>
        <v/>
      </c>
      <c r="I224" s="6" t="str">
        <f t="shared" si="30"/>
        <v>OUTLIER</v>
      </c>
      <c r="J224" s="6" t="str">
        <f t="shared" si="31"/>
        <v/>
      </c>
      <c r="K224" s="6" t="str">
        <f t="shared" si="32"/>
        <v/>
      </c>
      <c r="L224" s="6" t="str">
        <f t="shared" si="35"/>
        <v/>
      </c>
      <c r="M224" s="110">
        <f>IF(D224="","",ABS(D224-G$5))</f>
        <v>10.000000000000009</v>
      </c>
    </row>
    <row r="225" spans="2:13" s="107" customFormat="1" ht="12.75" customHeight="1" x14ac:dyDescent="0.4">
      <c r="B225" s="109">
        <v>44141</v>
      </c>
      <c r="C225" s="5">
        <v>3.15</v>
      </c>
      <c r="D225" s="7">
        <f t="shared" si="33"/>
        <v>4.0000000000000036</v>
      </c>
      <c r="E225" s="5">
        <f t="shared" si="27"/>
        <v>0.35526128855293576</v>
      </c>
      <c r="F225" s="5">
        <f t="shared" si="28"/>
        <v>1.349</v>
      </c>
      <c r="G225" s="5">
        <f t="shared" si="34"/>
        <v>0.47850278143717406</v>
      </c>
      <c r="H225" s="6" t="str">
        <f t="shared" si="29"/>
        <v/>
      </c>
      <c r="I225" s="6" t="str">
        <f t="shared" si="30"/>
        <v/>
      </c>
      <c r="J225" s="6" t="str">
        <f t="shared" si="31"/>
        <v/>
      </c>
      <c r="K225" s="6" t="str">
        <f t="shared" si="32"/>
        <v/>
      </c>
      <c r="L225" s="6" t="str">
        <f t="shared" si="35"/>
        <v/>
      </c>
      <c r="M225" s="110">
        <f>IF(D225="","",ABS(D225-G$5))</f>
        <v>4.0000000000000036</v>
      </c>
    </row>
    <row r="226" spans="2:13" s="107" customFormat="1" ht="12.75" customHeight="1" x14ac:dyDescent="0.4">
      <c r="B226" s="109">
        <v>44144</v>
      </c>
      <c r="C226" s="5">
        <v>2.98</v>
      </c>
      <c r="D226" s="7">
        <f t="shared" si="33"/>
        <v>-16.999999999999993</v>
      </c>
      <c r="E226" s="5">
        <f t="shared" si="27"/>
        <v>1.6231949571880364</v>
      </c>
      <c r="F226" s="5">
        <f t="shared" si="28"/>
        <v>5.733249999999992</v>
      </c>
      <c r="G226" s="5">
        <f t="shared" si="34"/>
        <v>1.8624515093025087</v>
      </c>
      <c r="H226" s="6" t="str">
        <f t="shared" si="29"/>
        <v/>
      </c>
      <c r="I226" s="6" t="str">
        <f t="shared" si="30"/>
        <v>OUTLIER</v>
      </c>
      <c r="J226" s="6" t="str">
        <f t="shared" si="31"/>
        <v/>
      </c>
      <c r="K226" s="6" t="str">
        <f t="shared" si="32"/>
        <v/>
      </c>
      <c r="L226" s="6" t="str">
        <f t="shared" si="35"/>
        <v/>
      </c>
      <c r="M226" s="110">
        <f>IF(D226="","",ABS(D226-G$5))</f>
        <v>16.999999999999993</v>
      </c>
    </row>
    <row r="227" spans="2:13" s="107" customFormat="1" ht="12.75" customHeight="1" x14ac:dyDescent="0.4">
      <c r="B227" s="109">
        <v>44145</v>
      </c>
      <c r="C227" s="5">
        <v>2.95</v>
      </c>
      <c r="D227" s="7">
        <f t="shared" si="33"/>
        <v>-2.9999999999999805</v>
      </c>
      <c r="E227" s="5">
        <f t="shared" si="27"/>
        <v>0.30422412669405352</v>
      </c>
      <c r="F227" s="5">
        <f t="shared" si="28"/>
        <v>1.0117499999999926</v>
      </c>
      <c r="G227" s="5">
        <f t="shared" si="34"/>
        <v>0.36548246371687815</v>
      </c>
      <c r="H227" s="6" t="str">
        <f t="shared" si="29"/>
        <v/>
      </c>
      <c r="I227" s="6" t="str">
        <f t="shared" si="30"/>
        <v/>
      </c>
      <c r="J227" s="6" t="str">
        <f t="shared" si="31"/>
        <v/>
      </c>
      <c r="K227" s="6" t="str">
        <f t="shared" si="32"/>
        <v/>
      </c>
      <c r="L227" s="6" t="str">
        <f t="shared" si="35"/>
        <v/>
      </c>
      <c r="M227" s="110">
        <f>IF(D227="","",ABS(D227-G$5))</f>
        <v>2.9999999999999805</v>
      </c>
    </row>
    <row r="228" spans="2:13" s="107" customFormat="1" ht="12.75" customHeight="1" x14ac:dyDescent="0.4">
      <c r="B228" s="109">
        <v>44146</v>
      </c>
      <c r="C228" s="5"/>
      <c r="D228" s="7" t="str">
        <f t="shared" si="33"/>
        <v/>
      </c>
      <c r="E228" s="5" t="str">
        <f t="shared" si="27"/>
        <v/>
      </c>
      <c r="F228" s="5" t="str">
        <f t="shared" si="28"/>
        <v/>
      </c>
      <c r="G228" s="5" t="str">
        <f t="shared" si="34"/>
        <v/>
      </c>
      <c r="H228" s="6" t="str">
        <f t="shared" si="29"/>
        <v/>
      </c>
      <c r="I228" s="6" t="str">
        <f t="shared" si="30"/>
        <v/>
      </c>
      <c r="J228" s="6" t="str">
        <f t="shared" si="31"/>
        <v/>
      </c>
      <c r="K228" s="6" t="str">
        <f t="shared" si="32"/>
        <v>MISSING</v>
      </c>
      <c r="L228" s="6" t="str">
        <f t="shared" si="35"/>
        <v/>
      </c>
      <c r="M228" s="110" t="str">
        <f>IF(D228="","",ABS(D228-G$5))</f>
        <v/>
      </c>
    </row>
    <row r="229" spans="2:13" s="107" customFormat="1" ht="12.75" customHeight="1" x14ac:dyDescent="0.4">
      <c r="B229" s="109">
        <v>44147</v>
      </c>
      <c r="C229" s="5">
        <v>2.95</v>
      </c>
      <c r="D229" s="7" t="str">
        <f t="shared" si="33"/>
        <v/>
      </c>
      <c r="E229" s="5" t="str">
        <f t="shared" si="27"/>
        <v/>
      </c>
      <c r="F229" s="5" t="str">
        <f t="shared" si="28"/>
        <v/>
      </c>
      <c r="G229" s="5" t="str">
        <f t="shared" si="34"/>
        <v/>
      </c>
      <c r="H229" s="6" t="str">
        <f t="shared" si="29"/>
        <v/>
      </c>
      <c r="I229" s="6" t="str">
        <f t="shared" si="30"/>
        <v/>
      </c>
      <c r="J229" s="6" t="str">
        <f t="shared" si="31"/>
        <v/>
      </c>
      <c r="K229" s="6" t="str">
        <f t="shared" si="32"/>
        <v/>
      </c>
      <c r="L229" s="6" t="str">
        <f t="shared" si="35"/>
        <v/>
      </c>
      <c r="M229" s="110" t="str">
        <f>IF(D229="","",ABS(D229-G$5))</f>
        <v/>
      </c>
    </row>
    <row r="230" spans="2:13" s="107" customFormat="1" ht="12.75" customHeight="1" x14ac:dyDescent="0.4">
      <c r="B230" s="109">
        <v>44148</v>
      </c>
      <c r="C230" s="5">
        <v>2.93</v>
      </c>
      <c r="D230" s="7">
        <f t="shared" si="33"/>
        <v>-2.0000000000000018</v>
      </c>
      <c r="E230" s="5">
        <f t="shared" si="27"/>
        <v>0.21001192451591399</v>
      </c>
      <c r="F230" s="5">
        <f t="shared" si="28"/>
        <v>0.67449999999999999</v>
      </c>
      <c r="G230" s="5">
        <f t="shared" si="34"/>
        <v>0.22083156826923173</v>
      </c>
      <c r="H230" s="6" t="str">
        <f t="shared" si="29"/>
        <v/>
      </c>
      <c r="I230" s="6" t="str">
        <f t="shared" si="30"/>
        <v/>
      </c>
      <c r="J230" s="6" t="str">
        <f t="shared" si="31"/>
        <v/>
      </c>
      <c r="K230" s="6" t="str">
        <f t="shared" si="32"/>
        <v/>
      </c>
      <c r="L230" s="6" t="str">
        <f t="shared" si="35"/>
        <v/>
      </c>
      <c r="M230" s="110">
        <f>IF(D230="","",ABS(D230-G$5))</f>
        <v>2.0000000000000018</v>
      </c>
    </row>
    <row r="231" spans="2:13" s="107" customFormat="1" ht="12.75" customHeight="1" x14ac:dyDescent="0.4">
      <c r="B231" s="109">
        <v>44151</v>
      </c>
      <c r="C231" s="5">
        <v>2.91</v>
      </c>
      <c r="D231" s="7">
        <f t="shared" si="33"/>
        <v>-2.0000000000000018</v>
      </c>
      <c r="E231" s="5">
        <f t="shared" si="27"/>
        <v>0.21001192451591399</v>
      </c>
      <c r="F231" s="5">
        <f t="shared" si="28"/>
        <v>0.67449999999999999</v>
      </c>
      <c r="G231" s="5">
        <f t="shared" si="34"/>
        <v>0.23214881114027799</v>
      </c>
      <c r="H231" s="6" t="str">
        <f t="shared" si="29"/>
        <v/>
      </c>
      <c r="I231" s="6" t="str">
        <f t="shared" si="30"/>
        <v/>
      </c>
      <c r="J231" s="6" t="str">
        <f t="shared" si="31"/>
        <v/>
      </c>
      <c r="K231" s="6" t="str">
        <f t="shared" si="32"/>
        <v/>
      </c>
      <c r="L231" s="6" t="str">
        <f t="shared" si="35"/>
        <v/>
      </c>
      <c r="M231" s="110">
        <f>IF(D231="","",ABS(D231-G$5))</f>
        <v>2.0000000000000018</v>
      </c>
    </row>
    <row r="232" spans="2:13" s="107" customFormat="1" ht="12.75" customHeight="1" x14ac:dyDescent="0.4">
      <c r="B232" s="109">
        <v>44152</v>
      </c>
      <c r="C232" s="5">
        <v>2.94</v>
      </c>
      <c r="D232" s="7">
        <f t="shared" si="33"/>
        <v>2.9999999999999805</v>
      </c>
      <c r="E232" s="5">
        <f t="shared" si="27"/>
        <v>0.26104908637479202</v>
      </c>
      <c r="F232" s="5">
        <f t="shared" si="28"/>
        <v>1.0117499999999926</v>
      </c>
      <c r="G232" s="5">
        <f t="shared" si="34"/>
        <v>0.30277748079040756</v>
      </c>
      <c r="H232" s="6" t="str">
        <f t="shared" si="29"/>
        <v/>
      </c>
      <c r="I232" s="6" t="str">
        <f t="shared" si="30"/>
        <v/>
      </c>
      <c r="J232" s="6" t="str">
        <f t="shared" si="31"/>
        <v/>
      </c>
      <c r="K232" s="6" t="str">
        <f t="shared" si="32"/>
        <v/>
      </c>
      <c r="L232" s="6" t="str">
        <f t="shared" si="35"/>
        <v/>
      </c>
      <c r="M232" s="110">
        <f>IF(D232="","",ABS(D232-G$5))</f>
        <v>2.9999999999999805</v>
      </c>
    </row>
    <row r="233" spans="2:13" s="107" customFormat="1" ht="12.75" customHeight="1" x14ac:dyDescent="0.4">
      <c r="B233" s="109">
        <v>44153</v>
      </c>
      <c r="C233" s="5">
        <v>2.97</v>
      </c>
      <c r="D233" s="7">
        <f t="shared" si="33"/>
        <v>3.0000000000000249</v>
      </c>
      <c r="E233" s="5">
        <f t="shared" si="27"/>
        <v>0.26104908637479624</v>
      </c>
      <c r="F233" s="5">
        <f t="shared" si="28"/>
        <v>1.0117500000000075</v>
      </c>
      <c r="G233" s="5">
        <f t="shared" si="34"/>
        <v>0.31754233861145525</v>
      </c>
      <c r="H233" s="6" t="str">
        <f t="shared" si="29"/>
        <v/>
      </c>
      <c r="I233" s="6" t="str">
        <f t="shared" si="30"/>
        <v/>
      </c>
      <c r="J233" s="6" t="str">
        <f t="shared" si="31"/>
        <v/>
      </c>
      <c r="K233" s="6" t="str">
        <f t="shared" si="32"/>
        <v/>
      </c>
      <c r="L233" s="6" t="str">
        <f t="shared" si="35"/>
        <v/>
      </c>
      <c r="M233" s="110">
        <f>IF(D233="","",ABS(D233-G$5))</f>
        <v>3.0000000000000249</v>
      </c>
    </row>
    <row r="234" spans="2:13" s="107" customFormat="1" ht="12.75" customHeight="1" x14ac:dyDescent="0.4">
      <c r="B234" s="109">
        <v>44154</v>
      </c>
      <c r="C234" s="5">
        <v>2.98</v>
      </c>
      <c r="D234" s="7">
        <f t="shared" si="33"/>
        <v>0.99999999999997868</v>
      </c>
      <c r="E234" s="5">
        <f t="shared" si="27"/>
        <v>7.2624682018508774E-2</v>
      </c>
      <c r="F234" s="5">
        <f t="shared" si="28"/>
        <v>0.3372499999999925</v>
      </c>
      <c r="G234" s="5">
        <f t="shared" si="34"/>
        <v>9.3079541833051338E-2</v>
      </c>
      <c r="H234" s="6" t="str">
        <f t="shared" si="29"/>
        <v/>
      </c>
      <c r="I234" s="6" t="str">
        <f t="shared" si="30"/>
        <v/>
      </c>
      <c r="J234" s="6" t="str">
        <f t="shared" si="31"/>
        <v/>
      </c>
      <c r="K234" s="6" t="str">
        <f t="shared" si="32"/>
        <v/>
      </c>
      <c r="L234" s="6" t="str">
        <f t="shared" si="35"/>
        <v/>
      </c>
      <c r="M234" s="110">
        <f>IF(D234="","",ABS(D234-G$5))</f>
        <v>0.99999999999997868</v>
      </c>
    </row>
    <row r="235" spans="2:13" s="107" customFormat="1" ht="12.75" customHeight="1" x14ac:dyDescent="0.4">
      <c r="B235" s="109">
        <v>44155</v>
      </c>
      <c r="C235" s="5">
        <v>3.03</v>
      </c>
      <c r="D235" s="7">
        <f t="shared" si="33"/>
        <v>4.9999999999999822</v>
      </c>
      <c r="E235" s="5">
        <f t="shared" si="27"/>
        <v>0.44947349073107523</v>
      </c>
      <c r="F235" s="5">
        <f t="shared" si="28"/>
        <v>1.6862499999999925</v>
      </c>
      <c r="G235" s="5">
        <f t="shared" si="34"/>
        <v>0.59633471020219198</v>
      </c>
      <c r="H235" s="6" t="str">
        <f t="shared" si="29"/>
        <v/>
      </c>
      <c r="I235" s="6" t="str">
        <f t="shared" si="30"/>
        <v/>
      </c>
      <c r="J235" s="6" t="str">
        <f t="shared" si="31"/>
        <v/>
      </c>
      <c r="K235" s="6" t="str">
        <f t="shared" si="32"/>
        <v/>
      </c>
      <c r="L235" s="6" t="str">
        <f t="shared" si="35"/>
        <v/>
      </c>
      <c r="M235" s="110">
        <f>IF(D235="","",ABS(D235-G$5))</f>
        <v>4.9999999999999822</v>
      </c>
    </row>
    <row r="236" spans="2:13" s="107" customFormat="1" ht="12.75" customHeight="1" x14ac:dyDescent="0.4">
      <c r="B236" s="109">
        <v>44158</v>
      </c>
      <c r="C236" s="5">
        <v>2.97</v>
      </c>
      <c r="D236" s="7">
        <f t="shared" si="33"/>
        <v>-5.9999999999999609</v>
      </c>
      <c r="E236" s="5">
        <f t="shared" si="27"/>
        <v>0.58686073322847643</v>
      </c>
      <c r="F236" s="5">
        <f t="shared" si="28"/>
        <v>2.0234999999999852</v>
      </c>
      <c r="G236" s="5">
        <f t="shared" si="34"/>
        <v>0.7944094822256289</v>
      </c>
      <c r="H236" s="6" t="str">
        <f t="shared" si="29"/>
        <v/>
      </c>
      <c r="I236" s="6" t="str">
        <f t="shared" si="30"/>
        <v/>
      </c>
      <c r="J236" s="6" t="str">
        <f t="shared" si="31"/>
        <v/>
      </c>
      <c r="K236" s="6" t="str">
        <f t="shared" si="32"/>
        <v/>
      </c>
      <c r="L236" s="6" t="str">
        <f t="shared" si="35"/>
        <v/>
      </c>
      <c r="M236" s="110">
        <f>IF(D236="","",ABS(D236-G$5))</f>
        <v>5.9999999999999609</v>
      </c>
    </row>
    <row r="237" spans="2:13" s="107" customFormat="1" ht="12.75" customHeight="1" x14ac:dyDescent="0.4">
      <c r="B237" s="109">
        <v>44159</v>
      </c>
      <c r="C237" s="5">
        <v>2.89</v>
      </c>
      <c r="D237" s="7">
        <f t="shared" si="33"/>
        <v>-8.0000000000000071</v>
      </c>
      <c r="E237" s="5">
        <f t="shared" si="27"/>
        <v>0.77528513758476369</v>
      </c>
      <c r="F237" s="5">
        <f t="shared" si="28"/>
        <v>2.698</v>
      </c>
      <c r="G237" s="5">
        <f t="shared" si="34"/>
        <v>1.0441916788250942</v>
      </c>
      <c r="H237" s="6" t="str">
        <f t="shared" si="29"/>
        <v/>
      </c>
      <c r="I237" s="6" t="str">
        <f t="shared" si="30"/>
        <v/>
      </c>
      <c r="J237" s="6" t="str">
        <f t="shared" si="31"/>
        <v/>
      </c>
      <c r="K237" s="6" t="str">
        <f t="shared" si="32"/>
        <v/>
      </c>
      <c r="L237" s="6" t="str">
        <f t="shared" si="35"/>
        <v/>
      </c>
      <c r="M237" s="110">
        <f>IF(D237="","",ABS(D237-G$5))</f>
        <v>8.0000000000000071</v>
      </c>
    </row>
    <row r="238" spans="2:13" s="107" customFormat="1" ht="12.75" customHeight="1" x14ac:dyDescent="0.4">
      <c r="B238" s="109">
        <v>44160</v>
      </c>
      <c r="C238" s="5">
        <v>2.87</v>
      </c>
      <c r="D238" s="7">
        <f t="shared" si="33"/>
        <v>-2.0000000000000018</v>
      </c>
      <c r="E238" s="5">
        <f t="shared" si="27"/>
        <v>0.21001192451591399</v>
      </c>
      <c r="F238" s="5">
        <f t="shared" si="28"/>
        <v>0.67449999999999999</v>
      </c>
      <c r="G238" s="5">
        <f t="shared" si="34"/>
        <v>0.29683810044640102</v>
      </c>
      <c r="H238" s="6" t="str">
        <f t="shared" si="29"/>
        <v/>
      </c>
      <c r="I238" s="6" t="str">
        <f t="shared" si="30"/>
        <v/>
      </c>
      <c r="J238" s="6" t="str">
        <f t="shared" si="31"/>
        <v/>
      </c>
      <c r="K238" s="6" t="str">
        <f t="shared" si="32"/>
        <v/>
      </c>
      <c r="L238" s="6" t="str">
        <f t="shared" si="35"/>
        <v/>
      </c>
      <c r="M238" s="110">
        <f>IF(D238="","",ABS(D238-G$5))</f>
        <v>2.0000000000000018</v>
      </c>
    </row>
    <row r="239" spans="2:13" s="107" customFormat="1" ht="12.75" customHeight="1" x14ac:dyDescent="0.4">
      <c r="B239" s="109">
        <v>44162</v>
      </c>
      <c r="C239" s="5"/>
      <c r="D239" s="7" t="str">
        <f t="shared" si="33"/>
        <v/>
      </c>
      <c r="E239" s="5" t="str">
        <f t="shared" si="27"/>
        <v/>
      </c>
      <c r="F239" s="5" t="str">
        <f t="shared" si="28"/>
        <v/>
      </c>
      <c r="G239" s="5" t="str">
        <f t="shared" si="34"/>
        <v/>
      </c>
      <c r="H239" s="6" t="str">
        <f t="shared" si="29"/>
        <v/>
      </c>
      <c r="I239" s="6" t="str">
        <f t="shared" si="30"/>
        <v/>
      </c>
      <c r="J239" s="6" t="str">
        <f t="shared" si="31"/>
        <v/>
      </c>
      <c r="K239" s="6" t="str">
        <f t="shared" si="32"/>
        <v>MISSING</v>
      </c>
      <c r="L239" s="6" t="str">
        <f t="shared" si="35"/>
        <v/>
      </c>
      <c r="M239" s="110" t="str">
        <f>IF(D239="","",ABS(D239-G$5))</f>
        <v/>
      </c>
    </row>
    <row r="240" spans="2:13" s="107" customFormat="1" ht="12.75" customHeight="1" x14ac:dyDescent="0.4">
      <c r="B240" s="109">
        <v>44165</v>
      </c>
      <c r="C240" s="5">
        <v>2.87</v>
      </c>
      <c r="D240" s="7" t="str">
        <f t="shared" si="33"/>
        <v/>
      </c>
      <c r="E240" s="5" t="str">
        <f t="shared" si="27"/>
        <v/>
      </c>
      <c r="F240" s="5" t="str">
        <f t="shared" si="28"/>
        <v/>
      </c>
      <c r="G240" s="5" t="str">
        <f t="shared" si="34"/>
        <v/>
      </c>
      <c r="H240" s="6" t="str">
        <f t="shared" si="29"/>
        <v/>
      </c>
      <c r="I240" s="6" t="str">
        <f t="shared" si="30"/>
        <v/>
      </c>
      <c r="J240" s="6" t="str">
        <f t="shared" si="31"/>
        <v/>
      </c>
      <c r="K240" s="6" t="str">
        <f t="shared" si="32"/>
        <v/>
      </c>
      <c r="L240" s="6" t="str">
        <f t="shared" si="35"/>
        <v/>
      </c>
      <c r="M240" s="110" t="str">
        <f>IF(D240="","",ABS(D240-G$5))</f>
        <v/>
      </c>
    </row>
    <row r="241" spans="2:13" s="107" customFormat="1" ht="12.75" customHeight="1" x14ac:dyDescent="0.4">
      <c r="B241" s="109">
        <v>44166</v>
      </c>
      <c r="C241" s="5">
        <v>2.83</v>
      </c>
      <c r="D241" s="7">
        <f t="shared" si="33"/>
        <v>-4.0000000000000036</v>
      </c>
      <c r="E241" s="5">
        <f t="shared" si="27"/>
        <v>0.39843632887219732</v>
      </c>
      <c r="F241" s="5">
        <f t="shared" si="28"/>
        <v>1.349</v>
      </c>
      <c r="G241" s="5">
        <f t="shared" si="34"/>
        <v>0.41633295777596274</v>
      </c>
      <c r="H241" s="6" t="str">
        <f t="shared" si="29"/>
        <v/>
      </c>
      <c r="I241" s="6" t="str">
        <f t="shared" si="30"/>
        <v/>
      </c>
      <c r="J241" s="6" t="str">
        <f t="shared" si="31"/>
        <v/>
      </c>
      <c r="K241" s="6" t="str">
        <f t="shared" si="32"/>
        <v/>
      </c>
      <c r="L241" s="6" t="str">
        <f t="shared" si="35"/>
        <v/>
      </c>
      <c r="M241" s="110">
        <f>IF(D241="","",ABS(D241-G$5))</f>
        <v>4.0000000000000036</v>
      </c>
    </row>
    <row r="242" spans="2:13" s="107" customFormat="1" ht="12.75" customHeight="1" x14ac:dyDescent="0.4">
      <c r="B242" s="109">
        <v>44167</v>
      </c>
      <c r="C242" s="5">
        <v>2.82</v>
      </c>
      <c r="D242" s="7">
        <f t="shared" si="33"/>
        <v>-1.0000000000000231</v>
      </c>
      <c r="E242" s="5">
        <f t="shared" si="27"/>
        <v>0.11579972233777447</v>
      </c>
      <c r="F242" s="5">
        <f t="shared" si="28"/>
        <v>0.33725000000000749</v>
      </c>
      <c r="G242" s="5">
        <f t="shared" si="34"/>
        <v>0.12744275623919624</v>
      </c>
      <c r="H242" s="6" t="str">
        <f t="shared" si="29"/>
        <v/>
      </c>
      <c r="I242" s="6" t="str">
        <f t="shared" si="30"/>
        <v/>
      </c>
      <c r="J242" s="6" t="str">
        <f t="shared" si="31"/>
        <v/>
      </c>
      <c r="K242" s="6" t="str">
        <f t="shared" si="32"/>
        <v/>
      </c>
      <c r="L242" s="6" t="str">
        <f t="shared" si="35"/>
        <v/>
      </c>
      <c r="M242" s="110">
        <f>IF(D242="","",ABS(D242-G$5))</f>
        <v>1.0000000000000231</v>
      </c>
    </row>
    <row r="243" spans="2:13" s="107" customFormat="1" ht="12.75" customHeight="1" x14ac:dyDescent="0.4">
      <c r="B243" s="109">
        <v>44168</v>
      </c>
      <c r="C243" s="5">
        <v>2.82</v>
      </c>
      <c r="D243" s="7">
        <f t="shared" si="33"/>
        <v>0</v>
      </c>
      <c r="E243" s="5">
        <f t="shared" si="27"/>
        <v>2.1587520159630759E-2</v>
      </c>
      <c r="F243" s="5">
        <f t="shared" si="28"/>
        <v>0</v>
      </c>
      <c r="G243" s="5">
        <f t="shared" si="34"/>
        <v>2.5042375348479484E-2</v>
      </c>
      <c r="H243" s="6" t="str">
        <f t="shared" si="29"/>
        <v/>
      </c>
      <c r="I243" s="6" t="str">
        <f t="shared" si="30"/>
        <v/>
      </c>
      <c r="J243" s="6" t="str">
        <f t="shared" si="31"/>
        <v/>
      </c>
      <c r="K243" s="6" t="str">
        <f t="shared" si="32"/>
        <v/>
      </c>
      <c r="L243" s="6" t="str">
        <f t="shared" si="35"/>
        <v>STALE</v>
      </c>
      <c r="M243" s="110">
        <f>IF(D243="","",ABS(D243-G$5))</f>
        <v>0</v>
      </c>
    </row>
    <row r="244" spans="2:13" s="107" customFormat="1" ht="12.75" customHeight="1" x14ac:dyDescent="0.4">
      <c r="B244" s="109">
        <v>44169</v>
      </c>
      <c r="C244" s="5">
        <v>2.8</v>
      </c>
      <c r="D244" s="7">
        <f t="shared" si="33"/>
        <v>-2.0000000000000018</v>
      </c>
      <c r="E244" s="5">
        <f t="shared" si="27"/>
        <v>0.21001192451591399</v>
      </c>
      <c r="F244" s="5">
        <f t="shared" si="28"/>
        <v>0.67449999999999999</v>
      </c>
      <c r="G244" s="5">
        <f t="shared" si="34"/>
        <v>0.25595767605305125</v>
      </c>
      <c r="H244" s="6" t="str">
        <f t="shared" si="29"/>
        <v/>
      </c>
      <c r="I244" s="6" t="str">
        <f t="shared" si="30"/>
        <v/>
      </c>
      <c r="J244" s="6" t="str">
        <f t="shared" si="31"/>
        <v/>
      </c>
      <c r="K244" s="6" t="str">
        <f t="shared" si="32"/>
        <v/>
      </c>
      <c r="L244" s="6" t="str">
        <f t="shared" si="35"/>
        <v/>
      </c>
      <c r="M244" s="110">
        <f>IF(D244="","",ABS(D244-G$5))</f>
        <v>2.0000000000000018</v>
      </c>
    </row>
    <row r="245" spans="2:13" s="107" customFormat="1" ht="12.75" customHeight="1" x14ac:dyDescent="0.4">
      <c r="B245" s="109">
        <v>44172</v>
      </c>
      <c r="C245" s="5">
        <v>2.78</v>
      </c>
      <c r="D245" s="7">
        <f t="shared" si="33"/>
        <v>-2.0000000000000018</v>
      </c>
      <c r="E245" s="5">
        <f t="shared" si="27"/>
        <v>0.21001192451591399</v>
      </c>
      <c r="F245" s="5">
        <f t="shared" si="28"/>
        <v>0.67449999999999999</v>
      </c>
      <c r="G245" s="5">
        <f t="shared" si="34"/>
        <v>0.26882641098744126</v>
      </c>
      <c r="H245" s="6" t="str">
        <f t="shared" si="29"/>
        <v/>
      </c>
      <c r="I245" s="6" t="str">
        <f t="shared" si="30"/>
        <v/>
      </c>
      <c r="J245" s="6" t="str">
        <f t="shared" si="31"/>
        <v/>
      </c>
      <c r="K245" s="6" t="str">
        <f t="shared" si="32"/>
        <v/>
      </c>
      <c r="L245" s="6" t="str">
        <f t="shared" si="35"/>
        <v/>
      </c>
      <c r="M245" s="110">
        <f>IF(D245="","",ABS(D245-G$5))</f>
        <v>2.0000000000000018</v>
      </c>
    </row>
    <row r="246" spans="2:13" s="107" customFormat="1" ht="12.75" customHeight="1" x14ac:dyDescent="0.4">
      <c r="B246" s="109">
        <v>44173</v>
      </c>
      <c r="C246" s="5">
        <v>2.77</v>
      </c>
      <c r="D246" s="7">
        <f t="shared" si="33"/>
        <v>-0.99999999999997868</v>
      </c>
      <c r="E246" s="5">
        <f t="shared" si="27"/>
        <v>0.11579972233777029</v>
      </c>
      <c r="F246" s="5">
        <f t="shared" si="28"/>
        <v>0.3372499999999925</v>
      </c>
      <c r="G246" s="5">
        <f t="shared" si="34"/>
        <v>0.1560575405097937</v>
      </c>
      <c r="H246" s="6" t="str">
        <f t="shared" si="29"/>
        <v/>
      </c>
      <c r="I246" s="6" t="str">
        <f t="shared" si="30"/>
        <v/>
      </c>
      <c r="J246" s="6" t="str">
        <f t="shared" si="31"/>
        <v/>
      </c>
      <c r="K246" s="6" t="str">
        <f t="shared" si="32"/>
        <v/>
      </c>
      <c r="L246" s="6" t="str">
        <f t="shared" si="35"/>
        <v/>
      </c>
      <c r="M246" s="110">
        <f>IF(D246="","",ABS(D246-G$5))</f>
        <v>0.99999999999997868</v>
      </c>
    </row>
    <row r="247" spans="2:13" s="107" customFormat="1" ht="12.75" customHeight="1" x14ac:dyDescent="0.4">
      <c r="B247" s="109">
        <v>44174</v>
      </c>
      <c r="C247" s="5">
        <v>2.79</v>
      </c>
      <c r="D247" s="7">
        <f t="shared" si="33"/>
        <v>2.0000000000000018</v>
      </c>
      <c r="E247" s="5">
        <f t="shared" si="27"/>
        <v>0.16683688419665252</v>
      </c>
      <c r="F247" s="5">
        <f t="shared" si="28"/>
        <v>0.67449999999999999</v>
      </c>
      <c r="G247" s="5">
        <f t="shared" si="34"/>
        <v>0.23633703120737015</v>
      </c>
      <c r="H247" s="6" t="str">
        <f t="shared" si="29"/>
        <v/>
      </c>
      <c r="I247" s="6" t="str">
        <f t="shared" si="30"/>
        <v/>
      </c>
      <c r="J247" s="6" t="str">
        <f t="shared" si="31"/>
        <v/>
      </c>
      <c r="K247" s="6" t="str">
        <f t="shared" si="32"/>
        <v/>
      </c>
      <c r="L247" s="6" t="str">
        <f t="shared" si="35"/>
        <v/>
      </c>
      <c r="M247" s="110">
        <f>IF(D247="","",ABS(D247-G$5))</f>
        <v>2.0000000000000018</v>
      </c>
    </row>
    <row r="248" spans="2:13" s="107" customFormat="1" ht="12.75" customHeight="1" x14ac:dyDescent="0.4">
      <c r="B248" s="109">
        <v>44175</v>
      </c>
      <c r="C248" s="5">
        <v>2.78</v>
      </c>
      <c r="D248" s="7">
        <f t="shared" si="33"/>
        <v>-1.0000000000000231</v>
      </c>
      <c r="E248" s="5">
        <f t="shared" si="27"/>
        <v>0.11579972233777447</v>
      </c>
      <c r="F248" s="5">
        <f t="shared" si="28"/>
        <v>0.33725000000000749</v>
      </c>
      <c r="G248" s="5">
        <f t="shared" si="34"/>
        <v>0.172654417971084</v>
      </c>
      <c r="H248" s="6" t="str">
        <f t="shared" si="29"/>
        <v/>
      </c>
      <c r="I248" s="6" t="str">
        <f t="shared" si="30"/>
        <v/>
      </c>
      <c r="J248" s="6" t="str">
        <f t="shared" si="31"/>
        <v/>
      </c>
      <c r="K248" s="6" t="str">
        <f t="shared" si="32"/>
        <v/>
      </c>
      <c r="L248" s="6" t="str">
        <f t="shared" si="35"/>
        <v/>
      </c>
      <c r="M248" s="110">
        <f>IF(D248="","",ABS(D248-G$5))</f>
        <v>1.0000000000000231</v>
      </c>
    </row>
    <row r="249" spans="2:13" s="107" customFormat="1" ht="12.75" customHeight="1" x14ac:dyDescent="0.4">
      <c r="B249" s="109">
        <v>44176</v>
      </c>
      <c r="C249" s="5">
        <v>2.78</v>
      </c>
      <c r="D249" s="7">
        <f t="shared" si="33"/>
        <v>0</v>
      </c>
      <c r="E249" s="5">
        <f t="shared" si="27"/>
        <v>2.1587520159630759E-2</v>
      </c>
      <c r="F249" s="5">
        <f t="shared" si="28"/>
        <v>0</v>
      </c>
      <c r="G249" s="5">
        <f t="shared" si="34"/>
        <v>3.3925533452962932E-2</v>
      </c>
      <c r="H249" s="6" t="str">
        <f t="shared" si="29"/>
        <v/>
      </c>
      <c r="I249" s="6" t="str">
        <f t="shared" si="30"/>
        <v/>
      </c>
      <c r="J249" s="6" t="str">
        <f t="shared" si="31"/>
        <v/>
      </c>
      <c r="K249" s="6" t="str">
        <f t="shared" si="32"/>
        <v/>
      </c>
      <c r="L249" s="6" t="str">
        <f t="shared" si="35"/>
        <v>STALE</v>
      </c>
      <c r="M249" s="110">
        <f>IF(D249="","",ABS(D249-G$5))</f>
        <v>0</v>
      </c>
    </row>
    <row r="250" spans="2:13" s="107" customFormat="1" ht="12.75" customHeight="1" x14ac:dyDescent="0.4">
      <c r="B250" s="109">
        <v>44179</v>
      </c>
      <c r="C250" s="5">
        <v>2.74</v>
      </c>
      <c r="D250" s="7">
        <f t="shared" si="33"/>
        <v>-3.9999999999999591</v>
      </c>
      <c r="E250" s="5">
        <f t="shared" si="27"/>
        <v>0.3984363288721931</v>
      </c>
      <c r="F250" s="5">
        <f t="shared" si="28"/>
        <v>1.3489999999999851</v>
      </c>
      <c r="G250" s="5">
        <f t="shared" si="34"/>
        <v>0.64610359094550407</v>
      </c>
      <c r="H250" s="6" t="str">
        <f t="shared" si="29"/>
        <v/>
      </c>
      <c r="I250" s="6" t="str">
        <f t="shared" si="30"/>
        <v/>
      </c>
      <c r="J250" s="6" t="str">
        <f t="shared" si="31"/>
        <v/>
      </c>
      <c r="K250" s="6" t="str">
        <f t="shared" si="32"/>
        <v/>
      </c>
      <c r="L250" s="6" t="str">
        <f t="shared" si="35"/>
        <v/>
      </c>
      <c r="M250" s="110">
        <f>IF(D250="","",ABS(D250-G$5))</f>
        <v>3.9999999999999591</v>
      </c>
    </row>
    <row r="251" spans="2:13" s="107" customFormat="1" ht="12.75" customHeight="1" x14ac:dyDescent="0.4">
      <c r="B251" s="109">
        <v>44180</v>
      </c>
      <c r="C251" s="5">
        <v>2.71</v>
      </c>
      <c r="D251" s="7">
        <f t="shared" si="33"/>
        <v>-3.0000000000000249</v>
      </c>
      <c r="E251" s="5">
        <f t="shared" si="27"/>
        <v>0.30422412669405774</v>
      </c>
      <c r="F251" s="5">
        <f t="shared" si="28"/>
        <v>1.0117500000000075</v>
      </c>
      <c r="G251" s="5">
        <f t="shared" si="34"/>
        <v>0.51312316427884719</v>
      </c>
      <c r="H251" s="6" t="str">
        <f t="shared" si="29"/>
        <v/>
      </c>
      <c r="I251" s="6" t="str">
        <f t="shared" si="30"/>
        <v/>
      </c>
      <c r="J251" s="6" t="str">
        <f t="shared" si="31"/>
        <v/>
      </c>
      <c r="K251" s="6" t="str">
        <f t="shared" si="32"/>
        <v/>
      </c>
      <c r="L251" s="6" t="str">
        <f t="shared" si="35"/>
        <v/>
      </c>
      <c r="M251" s="110">
        <f>IF(D251="","",ABS(D251-G$5))</f>
        <v>3.0000000000000249</v>
      </c>
    </row>
    <row r="252" spans="2:13" s="107" customFormat="1" ht="12.75" customHeight="1" x14ac:dyDescent="0.4">
      <c r="B252" s="109">
        <v>44181</v>
      </c>
      <c r="C252" s="5">
        <v>2.69</v>
      </c>
      <c r="D252" s="7">
        <f t="shared" si="33"/>
        <v>-2.0000000000000018</v>
      </c>
      <c r="E252" s="5">
        <f t="shared" si="27"/>
        <v>0.21001192451591399</v>
      </c>
      <c r="F252" s="5">
        <f t="shared" si="28"/>
        <v>0.67449999999999999</v>
      </c>
      <c r="G252" s="5">
        <f t="shared" si="34"/>
        <v>0.37080388392357072</v>
      </c>
      <c r="H252" s="6" t="str">
        <f t="shared" si="29"/>
        <v/>
      </c>
      <c r="I252" s="6" t="str">
        <f t="shared" si="30"/>
        <v/>
      </c>
      <c r="J252" s="6" t="str">
        <f t="shared" si="31"/>
        <v/>
      </c>
      <c r="K252" s="6" t="str">
        <f t="shared" si="32"/>
        <v/>
      </c>
      <c r="L252" s="6" t="str">
        <f t="shared" si="35"/>
        <v/>
      </c>
      <c r="M252" s="110">
        <f>IF(D252="","",ABS(D252-G$5))</f>
        <v>2.0000000000000018</v>
      </c>
    </row>
    <row r="253" spans="2:13" s="107" customFormat="1" ht="12.75" customHeight="1" x14ac:dyDescent="0.4">
      <c r="B253" s="109">
        <v>44182</v>
      </c>
      <c r="C253" s="5">
        <v>2.69</v>
      </c>
      <c r="D253" s="7">
        <f t="shared" si="33"/>
        <v>0</v>
      </c>
      <c r="E253" s="5">
        <f t="shared" si="27"/>
        <v>2.1587520159630759E-2</v>
      </c>
      <c r="F253" s="5">
        <f t="shared" si="28"/>
        <v>0</v>
      </c>
      <c r="G253" s="5">
        <f t="shared" si="34"/>
        <v>4.017415691409177E-2</v>
      </c>
      <c r="H253" s="6" t="str">
        <f t="shared" si="29"/>
        <v/>
      </c>
      <c r="I253" s="6" t="str">
        <f t="shared" si="30"/>
        <v/>
      </c>
      <c r="J253" s="6" t="str">
        <f t="shared" si="31"/>
        <v/>
      </c>
      <c r="K253" s="6" t="str">
        <f t="shared" si="32"/>
        <v/>
      </c>
      <c r="L253" s="6" t="str">
        <f t="shared" si="35"/>
        <v>STALE</v>
      </c>
      <c r="M253" s="110">
        <f>IF(D253="","",ABS(D253-G$5))</f>
        <v>0</v>
      </c>
    </row>
    <row r="254" spans="2:13" s="107" customFormat="1" ht="12.75" customHeight="1" x14ac:dyDescent="0.4">
      <c r="B254" s="109">
        <v>44183</v>
      </c>
      <c r="C254" s="5">
        <v>2.72</v>
      </c>
      <c r="D254" s="7">
        <f t="shared" si="33"/>
        <v>3.0000000000000249</v>
      </c>
      <c r="E254" s="5">
        <f t="shared" si="27"/>
        <v>0.26104908637479624</v>
      </c>
      <c r="F254" s="5">
        <f t="shared" si="28"/>
        <v>1.0117500000000075</v>
      </c>
      <c r="G254" s="5">
        <f t="shared" si="34"/>
        <v>0.50550327131740269</v>
      </c>
      <c r="H254" s="6" t="str">
        <f t="shared" si="29"/>
        <v/>
      </c>
      <c r="I254" s="6" t="str">
        <f t="shared" si="30"/>
        <v/>
      </c>
      <c r="J254" s="6" t="str">
        <f t="shared" si="31"/>
        <v/>
      </c>
      <c r="K254" s="6" t="str">
        <f t="shared" si="32"/>
        <v/>
      </c>
      <c r="L254" s="6" t="str">
        <f t="shared" si="35"/>
        <v/>
      </c>
      <c r="M254" s="110">
        <f>IF(D254="","",ABS(D254-G$5))</f>
        <v>3.0000000000000249</v>
      </c>
    </row>
    <row r="255" spans="2:13" s="107" customFormat="1" ht="12.75" customHeight="1" x14ac:dyDescent="0.4">
      <c r="B255" s="109">
        <v>44186</v>
      </c>
      <c r="C255" s="5">
        <v>2.75</v>
      </c>
      <c r="D255" s="7">
        <f t="shared" si="33"/>
        <v>2.9999999999999805</v>
      </c>
      <c r="E255" s="5">
        <f t="shared" si="27"/>
        <v>0.26104908637479202</v>
      </c>
      <c r="F255" s="5">
        <f t="shared" si="28"/>
        <v>1.0117499999999926</v>
      </c>
      <c r="G255" s="5">
        <f t="shared" si="34"/>
        <v>0.52544013242405807</v>
      </c>
      <c r="H255" s="6" t="str">
        <f t="shared" si="29"/>
        <v/>
      </c>
      <c r="I255" s="6" t="str">
        <f t="shared" si="30"/>
        <v/>
      </c>
      <c r="J255" s="6" t="str">
        <f t="shared" si="31"/>
        <v/>
      </c>
      <c r="K255" s="6" t="str">
        <f t="shared" si="32"/>
        <v/>
      </c>
      <c r="L255" s="6" t="str">
        <f t="shared" si="35"/>
        <v/>
      </c>
      <c r="M255" s="110">
        <f>IF(D255="","",ABS(D255-G$5))</f>
        <v>2.9999999999999805</v>
      </c>
    </row>
    <row r="256" spans="2:13" s="107" customFormat="1" ht="12.75" customHeight="1" x14ac:dyDescent="0.4">
      <c r="B256" s="109">
        <v>44187</v>
      </c>
      <c r="C256" s="5">
        <v>2.75</v>
      </c>
      <c r="D256" s="7">
        <f t="shared" si="33"/>
        <v>0</v>
      </c>
      <c r="E256" s="5">
        <f t="shared" si="27"/>
        <v>2.1587520159630759E-2</v>
      </c>
      <c r="F256" s="5">
        <f t="shared" si="28"/>
        <v>0</v>
      </c>
      <c r="G256" s="5">
        <f t="shared" si="34"/>
        <v>4.5796998530916511E-2</v>
      </c>
      <c r="H256" s="6" t="str">
        <f t="shared" si="29"/>
        <v/>
      </c>
      <c r="I256" s="6" t="str">
        <f t="shared" si="30"/>
        <v/>
      </c>
      <c r="J256" s="6" t="str">
        <f t="shared" si="31"/>
        <v/>
      </c>
      <c r="K256" s="6" t="str">
        <f t="shared" si="32"/>
        <v/>
      </c>
      <c r="L256" s="6" t="str">
        <f t="shared" si="35"/>
        <v>STALE</v>
      </c>
      <c r="M256" s="110">
        <f>IF(D256="","",ABS(D256-G$5))</f>
        <v>0</v>
      </c>
    </row>
    <row r="257" spans="2:13" s="107" customFormat="1" ht="12.75" customHeight="1" x14ac:dyDescent="0.4">
      <c r="B257" s="109">
        <v>44188</v>
      </c>
      <c r="C257" s="5">
        <v>2.75</v>
      </c>
      <c r="D257" s="7">
        <f t="shared" si="33"/>
        <v>0</v>
      </c>
      <c r="E257" s="5">
        <f t="shared" si="27"/>
        <v>2.1587520159630759E-2</v>
      </c>
      <c r="F257" s="5">
        <f t="shared" si="28"/>
        <v>0</v>
      </c>
      <c r="G257" s="5">
        <f t="shared" si="34"/>
        <v>4.8268651169818225E-2</v>
      </c>
      <c r="H257" s="6" t="str">
        <f t="shared" si="29"/>
        <v/>
      </c>
      <c r="I257" s="6" t="str">
        <f t="shared" si="30"/>
        <v/>
      </c>
      <c r="J257" s="6" t="str">
        <f t="shared" si="31"/>
        <v/>
      </c>
      <c r="K257" s="6" t="str">
        <f t="shared" si="32"/>
        <v/>
      </c>
      <c r="L257" s="6" t="str">
        <f t="shared" si="35"/>
        <v>STALE</v>
      </c>
      <c r="M257" s="110">
        <f>IF(D257="","",ABS(D257-G$5))</f>
        <v>0</v>
      </c>
    </row>
    <row r="258" spans="2:13" s="107" customFormat="1" ht="12.75" customHeight="1" x14ac:dyDescent="0.4">
      <c r="B258" s="109">
        <v>44189</v>
      </c>
      <c r="C258" s="5"/>
      <c r="D258" s="7" t="str">
        <f t="shared" si="33"/>
        <v/>
      </c>
      <c r="E258" s="5" t="str">
        <f t="shared" si="27"/>
        <v/>
      </c>
      <c r="F258" s="5" t="str">
        <f t="shared" si="28"/>
        <v/>
      </c>
      <c r="G258" s="5" t="str">
        <f t="shared" si="34"/>
        <v/>
      </c>
      <c r="H258" s="6" t="str">
        <f t="shared" si="29"/>
        <v/>
      </c>
      <c r="I258" s="6" t="str">
        <f t="shared" si="30"/>
        <v/>
      </c>
      <c r="J258" s="6" t="str">
        <f t="shared" si="31"/>
        <v/>
      </c>
      <c r="K258" s="6" t="str">
        <f t="shared" si="32"/>
        <v>MISSING</v>
      </c>
      <c r="L258" s="6" t="str">
        <f t="shared" si="35"/>
        <v/>
      </c>
      <c r="M258" s="110" t="str">
        <f>IF(D258="","",ABS(D258-G$5))</f>
        <v/>
      </c>
    </row>
    <row r="259" spans="2:13" s="107" customFormat="1" ht="12.75" customHeight="1" x14ac:dyDescent="0.4">
      <c r="B259" s="109">
        <v>44193</v>
      </c>
      <c r="C259" s="5">
        <v>2.67</v>
      </c>
      <c r="D259" s="7" t="str">
        <f t="shared" si="33"/>
        <v/>
      </c>
      <c r="E259" s="5" t="str">
        <f t="shared" si="27"/>
        <v/>
      </c>
      <c r="F259" s="5" t="str">
        <f t="shared" si="28"/>
        <v/>
      </c>
      <c r="G259" s="5" t="str">
        <f t="shared" si="34"/>
        <v/>
      </c>
      <c r="H259" s="6" t="str">
        <f t="shared" si="29"/>
        <v/>
      </c>
      <c r="I259" s="6" t="str">
        <f t="shared" si="30"/>
        <v/>
      </c>
      <c r="J259" s="6" t="str">
        <f t="shared" si="31"/>
        <v/>
      </c>
      <c r="K259" s="6" t="str">
        <f t="shared" si="32"/>
        <v/>
      </c>
      <c r="L259" s="6" t="str">
        <f t="shared" si="35"/>
        <v/>
      </c>
      <c r="M259" s="110" t="str">
        <f>IF(D259="","",ABS(D259-G$5))</f>
        <v/>
      </c>
    </row>
    <row r="260" spans="2:13" s="107" customFormat="1" ht="12.75" customHeight="1" x14ac:dyDescent="0.4">
      <c r="B260" s="109">
        <v>44194</v>
      </c>
      <c r="C260" s="5">
        <v>2.67</v>
      </c>
      <c r="D260" s="7">
        <f t="shared" si="33"/>
        <v>0</v>
      </c>
      <c r="E260" s="5">
        <f t="shared" si="27"/>
        <v>2.1587520159630759E-2</v>
      </c>
      <c r="F260" s="5">
        <f t="shared" si="28"/>
        <v>0</v>
      </c>
      <c r="G260" s="5">
        <f t="shared" si="34"/>
        <v>2.2754655134718329E-2</v>
      </c>
      <c r="H260" s="6" t="str">
        <f t="shared" si="29"/>
        <v/>
      </c>
      <c r="I260" s="6" t="str">
        <f t="shared" si="30"/>
        <v/>
      </c>
      <c r="J260" s="6" t="str">
        <f t="shared" si="31"/>
        <v/>
      </c>
      <c r="K260" s="6" t="str">
        <f t="shared" si="32"/>
        <v/>
      </c>
      <c r="L260" s="6" t="str">
        <f t="shared" si="35"/>
        <v>STALE</v>
      </c>
      <c r="M260" s="110">
        <f>IF(D260="","",ABS(D260-G$5))</f>
        <v>0</v>
      </c>
    </row>
    <row r="261" spans="2:13" s="107" customFormat="1" ht="12.75" customHeight="1" x14ac:dyDescent="0.4">
      <c r="B261" s="109">
        <v>44195</v>
      </c>
      <c r="C261" s="5">
        <v>2.65</v>
      </c>
      <c r="D261" s="7">
        <f t="shared" si="33"/>
        <v>-2.0000000000000018</v>
      </c>
      <c r="E261" s="5">
        <f t="shared" si="27"/>
        <v>0.21001192451591399</v>
      </c>
      <c r="F261" s="5">
        <f t="shared" si="28"/>
        <v>0.67449999999999999</v>
      </c>
      <c r="G261" s="5">
        <f t="shared" si="34"/>
        <v>0.2327078799777732</v>
      </c>
      <c r="H261" s="6" t="str">
        <f t="shared" si="29"/>
        <v/>
      </c>
      <c r="I261" s="6" t="str">
        <f t="shared" si="30"/>
        <v/>
      </c>
      <c r="J261" s="6" t="str">
        <f t="shared" si="31"/>
        <v/>
      </c>
      <c r="K261" s="6" t="str">
        <f t="shared" si="32"/>
        <v/>
      </c>
      <c r="L261" s="6" t="str">
        <f t="shared" si="35"/>
        <v/>
      </c>
      <c r="M261" s="110">
        <f>IF(D261="","",ABS(D261-G$5))</f>
        <v>2.0000000000000018</v>
      </c>
    </row>
    <row r="262" spans="2:13" s="107" customFormat="1" ht="18" customHeight="1" x14ac:dyDescent="0.4">
      <c r="B262" s="108">
        <v>44196</v>
      </c>
      <c r="C262" s="111"/>
      <c r="D262" s="111"/>
      <c r="E262" s="112" t="str">
        <f t="shared" si="27"/>
        <v/>
      </c>
      <c r="F262" s="112" t="str">
        <f t="shared" si="28"/>
        <v/>
      </c>
      <c r="G262" s="112" t="str">
        <f t="shared" si="34"/>
        <v/>
      </c>
      <c r="H262" s="112" t="str">
        <f t="shared" si="29"/>
        <v/>
      </c>
      <c r="I262" s="112" t="str">
        <f t="shared" si="30"/>
        <v/>
      </c>
      <c r="J262" s="112" t="str">
        <f t="shared" si="31"/>
        <v/>
      </c>
      <c r="K262" s="112" t="str">
        <f t="shared" si="32"/>
        <v>MISSING</v>
      </c>
      <c r="L262" s="112" t="str">
        <f t="shared" si="35"/>
        <v/>
      </c>
      <c r="M262" s="110" t="str">
        <f>IF(D262="","",ABS(D262-G$5))</f>
        <v/>
      </c>
    </row>
    <row r="263" spans="2:13" ht="15.75" customHeight="1" x14ac:dyDescent="0.55000000000000004">
      <c r="B263" s="94"/>
      <c r="C263" s="98"/>
      <c r="D263" s="98"/>
      <c r="E263" s="98"/>
      <c r="F263" s="100" t="str">
        <f t="shared" si="28"/>
        <v/>
      </c>
      <c r="G263" s="100"/>
      <c r="H263" s="100"/>
      <c r="I263" s="100"/>
      <c r="J263" s="100"/>
      <c r="K263" s="100"/>
      <c r="L263" s="100"/>
      <c r="M263" s="106" t="str">
        <f>IF(D263="","",ABS(D263-G$5))</f>
        <v/>
      </c>
    </row>
    <row r="264" spans="2:13" ht="15.75" customHeight="1" x14ac:dyDescent="0.55000000000000004">
      <c r="B264" s="101" t="str">
        <f>"YEAR 2021   |   Observations: "&amp;COUNTA(C266:C521)&amp;"   |   Missing: "&amp;COUNTIF(K266:K521,"MISSING")&amp;"   |   Stale: "&amp;COUNTIF(L266:L521,"STALE")&amp;"   |   Z&gt;3 Outliers: "&amp;COUNTIF(H266:H521,"OUTLIER")&amp;"   |   Robust Z&gt;3: "&amp;COUNTIF(I266:I521,"OUTLIER")</f>
        <v>YEAR 2021   |   Observations: 249   |   Missing: 4   |   Stale: 31   |   Z&gt;3 Outliers: 0   |   Robust Z&gt;3: 1</v>
      </c>
      <c r="C264" s="101"/>
      <c r="D264" s="101"/>
      <c r="E264" s="101"/>
      <c r="F264" s="101"/>
      <c r="G264" s="101"/>
      <c r="H264" s="101"/>
      <c r="I264" s="101"/>
      <c r="J264" s="101"/>
      <c r="K264" s="101"/>
      <c r="L264" s="101"/>
      <c r="M264" s="106"/>
    </row>
    <row r="265" spans="2:13" ht="15.75" customHeight="1" x14ac:dyDescent="0.55000000000000004">
      <c r="B265" s="83" t="s">
        <v>51</v>
      </c>
      <c r="C265" s="86" t="s">
        <v>52</v>
      </c>
      <c r="D265" s="87" t="s">
        <v>53</v>
      </c>
      <c r="E265" s="87" t="s">
        <v>54</v>
      </c>
      <c r="F265" s="88" t="s">
        <v>55</v>
      </c>
      <c r="G265" s="88" t="s">
        <v>56</v>
      </c>
      <c r="H265" s="88" t="s">
        <v>57</v>
      </c>
      <c r="I265" s="88" t="s">
        <v>105</v>
      </c>
      <c r="J265" s="88" t="s">
        <v>106</v>
      </c>
      <c r="K265" s="88" t="s">
        <v>58</v>
      </c>
      <c r="L265" s="88" t="s">
        <v>59</v>
      </c>
      <c r="M265" s="106"/>
    </row>
    <row r="266" spans="2:13" ht="15.75" customHeight="1" x14ac:dyDescent="0.55000000000000004">
      <c r="B266" s="94">
        <v>44197</v>
      </c>
      <c r="C266" s="98"/>
      <c r="D266" s="98"/>
      <c r="E266" s="98"/>
      <c r="F266" s="100" t="str">
        <f t="shared" ref="F266:F273" si="36">IF(D266="","",ABS(D266-$G$5)/$H$5)</f>
        <v/>
      </c>
      <c r="G266" s="100"/>
      <c r="H266" s="100"/>
      <c r="I266" s="100"/>
      <c r="J266" s="100"/>
      <c r="K266" s="100"/>
      <c r="L266" s="100"/>
      <c r="M266" s="106" t="str">
        <f>IF(D266="","",ABS(D266-G$5))</f>
        <v/>
      </c>
    </row>
    <row r="267" spans="2:13" ht="15.75" customHeight="1" x14ac:dyDescent="0.55000000000000004">
      <c r="B267" s="94">
        <v>44200</v>
      </c>
      <c r="C267" s="98">
        <v>2.64</v>
      </c>
      <c r="D267" s="98"/>
      <c r="E267" s="98"/>
      <c r="F267" s="100" t="str">
        <f t="shared" si="36"/>
        <v/>
      </c>
      <c r="G267" s="100"/>
      <c r="H267" s="100"/>
      <c r="I267" s="100"/>
      <c r="J267" s="100"/>
      <c r="K267" s="100"/>
      <c r="L267" s="100"/>
      <c r="M267" s="106" t="str">
        <f>IF(D267="","",ABS(D267-G$5))</f>
        <v/>
      </c>
    </row>
    <row r="268" spans="2:13" ht="15.75" customHeight="1" x14ac:dyDescent="0.55000000000000004">
      <c r="B268" s="94">
        <v>44201</v>
      </c>
      <c r="C268" s="98">
        <v>2.63</v>
      </c>
      <c r="D268" s="98"/>
      <c r="E268" s="98"/>
      <c r="F268" s="100" t="str">
        <f t="shared" si="36"/>
        <v/>
      </c>
      <c r="G268" s="100"/>
      <c r="H268" s="100"/>
      <c r="I268" s="100"/>
      <c r="J268" s="100"/>
      <c r="K268" s="100"/>
      <c r="L268" s="100"/>
      <c r="M268" s="106" t="str">
        <f>IF(D268="","",ABS(D268-G$5))</f>
        <v/>
      </c>
    </row>
    <row r="269" spans="2:13" ht="15.75" customHeight="1" x14ac:dyDescent="0.55000000000000004">
      <c r="B269" s="94">
        <v>44202</v>
      </c>
      <c r="C269" s="98">
        <v>2.67</v>
      </c>
      <c r="D269" s="98"/>
      <c r="E269" s="98"/>
      <c r="F269" s="100" t="str">
        <f t="shared" si="36"/>
        <v/>
      </c>
      <c r="G269" s="100"/>
      <c r="H269" s="100"/>
      <c r="I269" s="100"/>
      <c r="J269" s="100"/>
      <c r="K269" s="100"/>
      <c r="L269" s="100"/>
      <c r="M269" s="106" t="str">
        <f>IF(D269="","",ABS(D269-G$5))</f>
        <v/>
      </c>
    </row>
    <row r="270" spans="2:13" ht="15.75" customHeight="1" x14ac:dyDescent="0.55000000000000004">
      <c r="B270" s="94">
        <v>44203</v>
      </c>
      <c r="C270" s="98">
        <v>2.64</v>
      </c>
      <c r="D270" s="98"/>
      <c r="E270" s="98"/>
      <c r="F270" s="100" t="str">
        <f t="shared" si="36"/>
        <v/>
      </c>
      <c r="G270" s="100"/>
      <c r="H270" s="100"/>
      <c r="I270" s="100"/>
      <c r="J270" s="100"/>
      <c r="K270" s="100"/>
      <c r="L270" s="100"/>
      <c r="M270" s="106" t="str">
        <f>IF(D270="","",ABS(D270-G$5))</f>
        <v/>
      </c>
    </row>
    <row r="271" spans="2:13" ht="15.75" customHeight="1" x14ac:dyDescent="0.55000000000000004">
      <c r="B271" s="94">
        <v>44204</v>
      </c>
      <c r="C271" s="98">
        <v>2.63</v>
      </c>
      <c r="D271" s="98"/>
      <c r="E271" s="98"/>
      <c r="F271" s="100" t="str">
        <f t="shared" si="36"/>
        <v/>
      </c>
      <c r="G271" s="100"/>
      <c r="H271" s="100"/>
      <c r="I271" s="100"/>
      <c r="J271" s="100"/>
      <c r="K271" s="100"/>
      <c r="L271" s="100"/>
      <c r="M271" s="106" t="str">
        <f>IF(D271="","",ABS(D271-G$5))</f>
        <v/>
      </c>
    </row>
    <row r="272" spans="2:13" ht="15.75" customHeight="1" x14ac:dyDescent="0.55000000000000004">
      <c r="B272" s="94">
        <v>44207</v>
      </c>
      <c r="C272" s="98">
        <v>2.65</v>
      </c>
      <c r="D272" s="98"/>
      <c r="E272" s="98"/>
      <c r="F272" s="100" t="str">
        <f t="shared" si="36"/>
        <v/>
      </c>
      <c r="G272" s="100"/>
      <c r="H272" s="100"/>
      <c r="I272" s="100"/>
      <c r="J272" s="100"/>
      <c r="K272" s="100"/>
      <c r="L272" s="100"/>
      <c r="M272" s="106" t="str">
        <f>IF(D272="","",ABS(D272-G$5))</f>
        <v/>
      </c>
    </row>
    <row r="273" spans="2:13" ht="15.75" customHeight="1" x14ac:dyDescent="0.55000000000000004">
      <c r="B273" s="94">
        <v>44208</v>
      </c>
      <c r="C273" s="98">
        <v>2.64</v>
      </c>
      <c r="D273" s="98">
        <f>IF(OR(C273="",C272=""),"",(C273-C272)*100)</f>
        <v>-0.99999999999997868</v>
      </c>
      <c r="E273" s="98">
        <f>IF(D273="","",ABS(D273-$E$5)/$F$5)</f>
        <v>0.11579972233777029</v>
      </c>
      <c r="F273" s="100">
        <f t="shared" si="36"/>
        <v>0.3372499999999925</v>
      </c>
      <c r="G273" s="100">
        <f>IF(D273="","",ABS(D273-$E$5)/SQRT(0.9*(IF(G272="",($F$5)^2,(ABS(D272-$E$5)/MAX(G272,0.0000000001))^2))+0.1*(D273-$E$5)^2))</f>
        <v>0.1219727919676494</v>
      </c>
      <c r="H273" s="100" t="str">
        <f>IF(E273="","",IF(E273&gt;$I$5,"OUTLIER",""))</f>
        <v/>
      </c>
      <c r="I273" s="100" t="str">
        <f>IF(F273="","",IF(F273&gt;$I$5,"OUTLIER",""))</f>
        <v/>
      </c>
      <c r="J273" s="100" t="str">
        <f>IF(G273="","",IF(G273&gt;$I$5,"OUTLIER",""))</f>
        <v/>
      </c>
      <c r="K273" s="100" t="str">
        <f>IF(C273="","MISSING","")</f>
        <v/>
      </c>
      <c r="L273" s="100" t="str">
        <f>IF(AND(C273&lt;&gt;"",C272&lt;&gt;"",C273=C272),"STALE","")</f>
        <v/>
      </c>
      <c r="M273" s="106">
        <f>IF(D273="","",ABS(D273-G$5))</f>
        <v>0.99999999999997868</v>
      </c>
    </row>
    <row r="274" spans="2:13" ht="15.75" customHeight="1" x14ac:dyDescent="0.55000000000000004">
      <c r="B274" s="94">
        <v>44209</v>
      </c>
      <c r="C274" s="98"/>
      <c r="D274" s="98"/>
      <c r="E274" s="98"/>
      <c r="F274" s="100"/>
      <c r="G274" s="100"/>
      <c r="H274" s="100"/>
      <c r="I274" s="100"/>
      <c r="J274" s="100"/>
      <c r="K274" s="100"/>
      <c r="L274" s="100"/>
      <c r="M274" s="106" t="str">
        <f>IF(D274="","",ABS(D274-G$5))</f>
        <v/>
      </c>
    </row>
    <row r="275" spans="2:13" ht="18" customHeight="1" x14ac:dyDescent="0.55000000000000004">
      <c r="B275" s="97">
        <v>44210</v>
      </c>
      <c r="C275" s="90">
        <v>2.65</v>
      </c>
      <c r="D275" s="90" t="str">
        <f t="shared" ref="D275:D281" si="37">IF(OR(C275="",C274=""),"",(C275-C274)*100)</f>
        <v/>
      </c>
      <c r="E275" s="90" t="str">
        <f t="shared" ref="E275:E281" si="38">IF(D275="","",ABS(D275-$E$5)/$F$5)</f>
        <v/>
      </c>
      <c r="F275" s="90" t="str">
        <f t="shared" ref="F275:F281" si="39">IF(D275="","",ABS(D275-$G$5)/$H$5)</f>
        <v/>
      </c>
      <c r="G275" s="90" t="str">
        <f t="shared" ref="G275:G281" si="40">IF(D275="","",ABS(D275-$E$5)/SQRT(0.9*(IF(G274="",($F$5)^2,(ABS(D274-$E$5)/MAX(G274,0.0000000001))^2))+0.1*(D275-$E$5)^2))</f>
        <v/>
      </c>
      <c r="H275" s="90" t="str">
        <f t="shared" ref="H275:J281" si="41">IF(E275="","",IF(E275&gt;$I$5,"OUTLIER",""))</f>
        <v/>
      </c>
      <c r="I275" s="90" t="str">
        <f t="shared" si="41"/>
        <v/>
      </c>
      <c r="J275" s="99" t="str">
        <f t="shared" si="41"/>
        <v/>
      </c>
      <c r="K275" s="99" t="str">
        <f t="shared" ref="K275:K281" si="42">IF(C275="","MISSING","")</f>
        <v/>
      </c>
      <c r="L275" s="99" t="str">
        <f t="shared" ref="L275:L281" si="43">IF(AND(C275&lt;&gt;"",C274&lt;&gt;"",C275=C274),"STALE","")</f>
        <v/>
      </c>
      <c r="M275" s="106" t="str">
        <f>IF(D275="","",ABS(D275-G$5))</f>
        <v/>
      </c>
    </row>
    <row r="276" spans="2:13" ht="13.5" customHeight="1" x14ac:dyDescent="0.55000000000000004">
      <c r="B276" s="97">
        <v>44211</v>
      </c>
      <c r="C276" s="89">
        <v>2.68</v>
      </c>
      <c r="D276" s="91">
        <f t="shared" si="37"/>
        <v>3.0000000000000249</v>
      </c>
      <c r="E276" s="91">
        <f t="shared" si="38"/>
        <v>0.26104908637479624</v>
      </c>
      <c r="F276" s="89">
        <f t="shared" si="39"/>
        <v>1.0117500000000075</v>
      </c>
      <c r="G276" s="89">
        <f t="shared" si="40"/>
        <v>0.27413400481612582</v>
      </c>
      <c r="H276" s="89" t="str">
        <f t="shared" si="41"/>
        <v/>
      </c>
      <c r="I276" s="90" t="str">
        <f t="shared" si="41"/>
        <v/>
      </c>
      <c r="J276" s="99" t="str">
        <f t="shared" si="41"/>
        <v/>
      </c>
      <c r="K276" s="99" t="str">
        <f t="shared" si="42"/>
        <v/>
      </c>
      <c r="L276" s="99" t="str">
        <f t="shared" si="43"/>
        <v/>
      </c>
      <c r="M276" s="106">
        <f>IF(D276="","",ABS(D276-G$5))</f>
        <v>3.0000000000000249</v>
      </c>
    </row>
    <row r="277" spans="2:13" ht="13.5" customHeight="1" x14ac:dyDescent="0.55000000000000004">
      <c r="B277" s="97">
        <v>44214</v>
      </c>
      <c r="C277" s="89"/>
      <c r="D277" s="91" t="str">
        <f t="shared" si="37"/>
        <v/>
      </c>
      <c r="E277" s="91" t="str">
        <f t="shared" si="38"/>
        <v/>
      </c>
      <c r="F277" s="89" t="str">
        <f t="shared" si="39"/>
        <v/>
      </c>
      <c r="G277" s="89" t="str">
        <f t="shared" si="40"/>
        <v/>
      </c>
      <c r="H277" s="89" t="str">
        <f t="shared" si="41"/>
        <v/>
      </c>
      <c r="I277" s="90" t="str">
        <f t="shared" si="41"/>
        <v/>
      </c>
      <c r="J277" s="99" t="str">
        <f t="shared" si="41"/>
        <v/>
      </c>
      <c r="K277" s="99" t="str">
        <f t="shared" si="42"/>
        <v>MISSING</v>
      </c>
      <c r="L277" s="99" t="str">
        <f t="shared" si="43"/>
        <v/>
      </c>
      <c r="M277" s="106" t="str">
        <f>IF(D277="","",ABS(D277-G$5))</f>
        <v/>
      </c>
    </row>
    <row r="278" spans="2:13" ht="13.5" customHeight="1" x14ac:dyDescent="0.55000000000000004">
      <c r="B278" s="97">
        <v>44215</v>
      </c>
      <c r="C278" s="89">
        <v>2.67</v>
      </c>
      <c r="D278" s="91" t="str">
        <f t="shared" si="37"/>
        <v/>
      </c>
      <c r="E278" s="91" t="str">
        <f t="shared" si="38"/>
        <v/>
      </c>
      <c r="F278" s="89" t="str">
        <f t="shared" si="39"/>
        <v/>
      </c>
      <c r="G278" s="89" t="str">
        <f t="shared" si="40"/>
        <v/>
      </c>
      <c r="H278" s="89" t="str">
        <f t="shared" si="41"/>
        <v/>
      </c>
      <c r="I278" s="90" t="str">
        <f t="shared" si="41"/>
        <v/>
      </c>
      <c r="J278" s="99" t="str">
        <f t="shared" si="41"/>
        <v/>
      </c>
      <c r="K278" s="99" t="str">
        <f t="shared" si="42"/>
        <v/>
      </c>
      <c r="L278" s="99" t="str">
        <f t="shared" si="43"/>
        <v/>
      </c>
      <c r="M278" s="106" t="str">
        <f>IF(D278="","",ABS(D278-G$5))</f>
        <v/>
      </c>
    </row>
    <row r="279" spans="2:13" ht="13.5" customHeight="1" x14ac:dyDescent="0.55000000000000004">
      <c r="B279" s="97">
        <v>44216</v>
      </c>
      <c r="C279" s="89">
        <v>2.64</v>
      </c>
      <c r="D279" s="91">
        <f t="shared" si="37"/>
        <v>-2.9999999999999805</v>
      </c>
      <c r="E279" s="91">
        <f t="shared" si="38"/>
        <v>0.30422412669405352</v>
      </c>
      <c r="F279" s="89">
        <f t="shared" si="39"/>
        <v>1.0117499999999926</v>
      </c>
      <c r="G279" s="89">
        <f t="shared" si="40"/>
        <v>0.31904412277726141</v>
      </c>
      <c r="H279" s="89" t="str">
        <f t="shared" si="41"/>
        <v/>
      </c>
      <c r="I279" s="90" t="str">
        <f t="shared" si="41"/>
        <v/>
      </c>
      <c r="J279" s="99" t="str">
        <f t="shared" si="41"/>
        <v/>
      </c>
      <c r="K279" s="99" t="str">
        <f t="shared" si="42"/>
        <v/>
      </c>
      <c r="L279" s="99" t="str">
        <f t="shared" si="43"/>
        <v/>
      </c>
      <c r="M279" s="106">
        <f>IF(D279="","",ABS(D279-G$5))</f>
        <v>2.9999999999999805</v>
      </c>
    </row>
    <row r="280" spans="2:13" ht="13.5" customHeight="1" x14ac:dyDescent="0.55000000000000004">
      <c r="B280" s="97">
        <v>44217</v>
      </c>
      <c r="C280" s="89">
        <v>2.64</v>
      </c>
      <c r="D280" s="91">
        <f t="shared" si="37"/>
        <v>0</v>
      </c>
      <c r="E280" s="91">
        <f t="shared" si="38"/>
        <v>2.1587520159630759E-2</v>
      </c>
      <c r="F280" s="89">
        <f t="shared" si="39"/>
        <v>0</v>
      </c>
      <c r="G280" s="89">
        <f t="shared" si="40"/>
        <v>2.3863065393097193E-2</v>
      </c>
      <c r="H280" s="89" t="str">
        <f t="shared" si="41"/>
        <v/>
      </c>
      <c r="I280" s="90" t="str">
        <f t="shared" si="41"/>
        <v/>
      </c>
      <c r="J280" s="99" t="str">
        <f t="shared" si="41"/>
        <v/>
      </c>
      <c r="K280" s="99" t="str">
        <f t="shared" si="42"/>
        <v/>
      </c>
      <c r="L280" s="99" t="str">
        <f t="shared" si="43"/>
        <v>STALE</v>
      </c>
      <c r="M280" s="106">
        <f>IF(D280="","",ABS(D280-G$5))</f>
        <v>0</v>
      </c>
    </row>
    <row r="281" spans="2:13" ht="13.5" customHeight="1" x14ac:dyDescent="0.55000000000000004">
      <c r="B281" s="94">
        <v>44218</v>
      </c>
      <c r="C281" s="99">
        <v>2.66</v>
      </c>
      <c r="D281" s="99">
        <f t="shared" si="37"/>
        <v>2.0000000000000018</v>
      </c>
      <c r="E281" s="99">
        <f t="shared" si="38"/>
        <v>0.16683688419665252</v>
      </c>
      <c r="F281" s="99">
        <f t="shared" si="39"/>
        <v>0.67449999999999999</v>
      </c>
      <c r="G281" s="99">
        <f t="shared" si="40"/>
        <v>0.1940328291929429</v>
      </c>
      <c r="H281" s="99" t="str">
        <f t="shared" si="41"/>
        <v/>
      </c>
      <c r="I281" s="99" t="str">
        <f t="shared" si="41"/>
        <v/>
      </c>
      <c r="J281" s="99" t="str">
        <f t="shared" si="41"/>
        <v/>
      </c>
      <c r="K281" s="99" t="str">
        <f t="shared" si="42"/>
        <v/>
      </c>
      <c r="L281" s="99" t="str">
        <f t="shared" si="43"/>
        <v/>
      </c>
      <c r="M281" s="106">
        <f>IF(D281="","",ABS(D281-G$5))</f>
        <v>2.0000000000000018</v>
      </c>
    </row>
    <row r="282" spans="2:13" ht="13.5" customHeight="1" x14ac:dyDescent="0.55000000000000004">
      <c r="B282" s="94">
        <v>44221</v>
      </c>
      <c r="C282" s="99"/>
      <c r="D282" s="99"/>
      <c r="E282" s="99"/>
      <c r="F282" s="99"/>
      <c r="G282" s="99"/>
      <c r="H282" s="99"/>
      <c r="I282" s="99"/>
      <c r="J282" s="99"/>
      <c r="K282" s="99"/>
      <c r="L282" s="99"/>
      <c r="M282" s="106" t="str">
        <f>IF(D282="","",ABS(D282-G$5))</f>
        <v/>
      </c>
    </row>
    <row r="283" spans="2:13" ht="13.5" customHeight="1" x14ac:dyDescent="0.55000000000000004">
      <c r="B283" s="94">
        <v>44222</v>
      </c>
      <c r="C283" s="99">
        <v>2.63</v>
      </c>
      <c r="D283" s="99" t="str">
        <f t="shared" ref="D283:D346" si="44">IF(OR(C283="",C282=""),"",(C283-C282)*100)</f>
        <v/>
      </c>
      <c r="E283" s="99" t="str">
        <f t="shared" ref="E283:E346" si="45">IF(D283="","",ABS(D283-$E$5)/$F$5)</f>
        <v/>
      </c>
      <c r="F283" s="99" t="str">
        <f t="shared" ref="F283:F346" si="46">IF(D283="","",ABS(D283-$G$5)/$H$5)</f>
        <v/>
      </c>
      <c r="G283" s="99" t="str">
        <f t="shared" ref="G283:G346" si="47">IF(D283="","",ABS(D283-$E$5)/SQRT(0.9*(IF(G282="",($F$5)^2,(ABS(D282-$E$5)/MAX(G282,0.0000000001))^2))+0.1*(D283-$E$5)^2))</f>
        <v/>
      </c>
      <c r="H283" s="99" t="str">
        <f t="shared" ref="H283:H346" si="48">IF(E283="","",IF(E283&gt;$I$5,"OUTLIER",""))</f>
        <v/>
      </c>
      <c r="I283" s="99" t="str">
        <f t="shared" ref="I283:I346" si="49">IF(F283="","",IF(F283&gt;$I$5,"OUTLIER",""))</f>
        <v/>
      </c>
      <c r="J283" s="99" t="str">
        <f t="shared" ref="J283:J346" si="50">IF(G283="","",IF(G283&gt;$I$5,"OUTLIER",""))</f>
        <v/>
      </c>
      <c r="K283" s="99" t="str">
        <f t="shared" ref="K283:K346" si="51">IF(C283="","MISSING","")</f>
        <v/>
      </c>
      <c r="L283" s="99" t="str">
        <f t="shared" ref="L283:L346" si="52">IF(AND(C283&lt;&gt;"",C282&lt;&gt;"",C283=C282),"STALE","")</f>
        <v/>
      </c>
      <c r="M283" s="106" t="str">
        <f>IF(D283="","",ABS(D283-G$5))</f>
        <v/>
      </c>
    </row>
    <row r="284" spans="2:13" ht="13.5" customHeight="1" x14ac:dyDescent="0.55000000000000004">
      <c r="B284" s="94">
        <v>44223</v>
      </c>
      <c r="C284" s="99">
        <v>2.68</v>
      </c>
      <c r="D284" s="99">
        <f t="shared" si="44"/>
        <v>5.0000000000000266</v>
      </c>
      <c r="E284" s="99">
        <f t="shared" si="45"/>
        <v>0.44947349073107945</v>
      </c>
      <c r="F284" s="99">
        <f t="shared" si="46"/>
        <v>1.6862500000000074</v>
      </c>
      <c r="G284" s="99">
        <f t="shared" si="47"/>
        <v>0.46855690775463488</v>
      </c>
      <c r="H284" s="99" t="str">
        <f t="shared" si="48"/>
        <v/>
      </c>
      <c r="I284" s="99" t="str">
        <f t="shared" si="49"/>
        <v/>
      </c>
      <c r="J284" s="99" t="str">
        <f t="shared" si="50"/>
        <v/>
      </c>
      <c r="K284" s="99" t="str">
        <f t="shared" si="51"/>
        <v/>
      </c>
      <c r="L284" s="99" t="str">
        <f t="shared" si="52"/>
        <v/>
      </c>
      <c r="M284" s="106">
        <f>IF(D284="","",ABS(D284-G$5))</f>
        <v>5.0000000000000266</v>
      </c>
    </row>
    <row r="285" spans="2:13" ht="13.5" customHeight="1" x14ac:dyDescent="0.55000000000000004">
      <c r="B285" s="94">
        <v>44224</v>
      </c>
      <c r="C285" s="99">
        <v>2.68</v>
      </c>
      <c r="D285" s="99">
        <f t="shared" si="44"/>
        <v>0</v>
      </c>
      <c r="E285" s="99">
        <f t="shared" si="45"/>
        <v>2.1587520159630759E-2</v>
      </c>
      <c r="F285" s="99">
        <f t="shared" si="46"/>
        <v>0</v>
      </c>
      <c r="G285" s="99">
        <f t="shared" si="47"/>
        <v>2.3720702401990174E-2</v>
      </c>
      <c r="H285" s="99" t="str">
        <f t="shared" si="48"/>
        <v/>
      </c>
      <c r="I285" s="99" t="str">
        <f t="shared" si="49"/>
        <v/>
      </c>
      <c r="J285" s="99" t="str">
        <f t="shared" si="50"/>
        <v/>
      </c>
      <c r="K285" s="99" t="str">
        <f t="shared" si="51"/>
        <v/>
      </c>
      <c r="L285" s="99" t="str">
        <f t="shared" si="52"/>
        <v>STALE</v>
      </c>
      <c r="M285" s="106">
        <f>IF(D285="","",ABS(D285-G$5))</f>
        <v>0</v>
      </c>
    </row>
    <row r="286" spans="2:13" ht="13.5" customHeight="1" x14ac:dyDescent="0.55000000000000004">
      <c r="B286" s="94">
        <v>44225</v>
      </c>
      <c r="C286" s="99">
        <v>2.71</v>
      </c>
      <c r="D286" s="99">
        <f t="shared" si="44"/>
        <v>2.9999999999999805</v>
      </c>
      <c r="E286" s="99">
        <f t="shared" si="45"/>
        <v>0.26104908637479202</v>
      </c>
      <c r="F286" s="99">
        <f t="shared" si="46"/>
        <v>1.0117499999999926</v>
      </c>
      <c r="G286" s="99">
        <f t="shared" si="47"/>
        <v>0.30098823799957408</v>
      </c>
      <c r="H286" s="99" t="str">
        <f t="shared" si="48"/>
        <v/>
      </c>
      <c r="I286" s="99" t="str">
        <f t="shared" si="49"/>
        <v/>
      </c>
      <c r="J286" s="99" t="str">
        <f t="shared" si="50"/>
        <v/>
      </c>
      <c r="K286" s="99" t="str">
        <f t="shared" si="51"/>
        <v/>
      </c>
      <c r="L286" s="99" t="str">
        <f t="shared" si="52"/>
        <v/>
      </c>
      <c r="M286" s="106">
        <f>IF(D286="","",ABS(D286-G$5))</f>
        <v>2.9999999999999805</v>
      </c>
    </row>
    <row r="287" spans="2:13" ht="13.5" customHeight="1" x14ac:dyDescent="0.55000000000000004">
      <c r="B287" s="94">
        <v>44228</v>
      </c>
      <c r="C287" s="99">
        <v>2.68</v>
      </c>
      <c r="D287" s="99">
        <f t="shared" si="44"/>
        <v>-2.9999999999999805</v>
      </c>
      <c r="E287" s="99">
        <f t="shared" si="45"/>
        <v>0.30422412669405352</v>
      </c>
      <c r="F287" s="99">
        <f t="shared" si="46"/>
        <v>1.0117499999999926</v>
      </c>
      <c r="G287" s="99">
        <f t="shared" si="47"/>
        <v>0.36724106630239367</v>
      </c>
      <c r="H287" s="99" t="str">
        <f t="shared" si="48"/>
        <v/>
      </c>
      <c r="I287" s="99" t="str">
        <f t="shared" si="49"/>
        <v/>
      </c>
      <c r="J287" s="99" t="str">
        <f t="shared" si="50"/>
        <v/>
      </c>
      <c r="K287" s="99" t="str">
        <f t="shared" si="51"/>
        <v/>
      </c>
      <c r="L287" s="99" t="str">
        <f t="shared" si="52"/>
        <v/>
      </c>
      <c r="M287" s="106">
        <f>IF(D287="","",ABS(D287-G$5))</f>
        <v>2.9999999999999805</v>
      </c>
    </row>
    <row r="288" spans="2:13" ht="13.5" customHeight="1" x14ac:dyDescent="0.55000000000000004">
      <c r="B288" s="94">
        <v>44229</v>
      </c>
      <c r="C288" s="99">
        <v>2.66</v>
      </c>
      <c r="D288" s="99">
        <f t="shared" si="44"/>
        <v>-2.0000000000000018</v>
      </c>
      <c r="E288" s="99">
        <f t="shared" si="45"/>
        <v>0.21001192451591399</v>
      </c>
      <c r="F288" s="99">
        <f t="shared" si="46"/>
        <v>0.67449999999999999</v>
      </c>
      <c r="G288" s="99">
        <f t="shared" si="47"/>
        <v>0.26627791219780095</v>
      </c>
      <c r="H288" s="99" t="str">
        <f t="shared" si="48"/>
        <v/>
      </c>
      <c r="I288" s="99" t="str">
        <f t="shared" si="49"/>
        <v/>
      </c>
      <c r="J288" s="99" t="str">
        <f t="shared" si="50"/>
        <v/>
      </c>
      <c r="K288" s="99" t="str">
        <f t="shared" si="51"/>
        <v/>
      </c>
      <c r="L288" s="99" t="str">
        <f t="shared" si="52"/>
        <v/>
      </c>
      <c r="M288" s="106">
        <f>IF(D288="","",ABS(D288-G$5))</f>
        <v>2.0000000000000018</v>
      </c>
    </row>
    <row r="289" spans="2:13" ht="13.5" customHeight="1" x14ac:dyDescent="0.55000000000000004">
      <c r="B289" s="94">
        <v>44230</v>
      </c>
      <c r="C289" s="99">
        <v>2.62</v>
      </c>
      <c r="D289" s="99">
        <f t="shared" si="44"/>
        <v>-4.0000000000000036</v>
      </c>
      <c r="E289" s="99">
        <f t="shared" si="45"/>
        <v>0.39843632887219732</v>
      </c>
      <c r="F289" s="99">
        <f t="shared" si="46"/>
        <v>1.349</v>
      </c>
      <c r="G289" s="99">
        <f t="shared" si="47"/>
        <v>0.52511804740244072</v>
      </c>
      <c r="H289" s="99" t="str">
        <f t="shared" si="48"/>
        <v/>
      </c>
      <c r="I289" s="99" t="str">
        <f t="shared" si="49"/>
        <v/>
      </c>
      <c r="J289" s="99" t="str">
        <f t="shared" si="50"/>
        <v/>
      </c>
      <c r="K289" s="99" t="str">
        <f t="shared" si="51"/>
        <v/>
      </c>
      <c r="L289" s="99" t="str">
        <f t="shared" si="52"/>
        <v/>
      </c>
      <c r="M289" s="106">
        <f>IF(D289="","",ABS(D289-G$5))</f>
        <v>4.0000000000000036</v>
      </c>
    </row>
    <row r="290" spans="2:13" ht="13.5" customHeight="1" x14ac:dyDescent="0.55000000000000004">
      <c r="B290" s="94">
        <v>44231</v>
      </c>
      <c r="C290" s="99">
        <v>2.59</v>
      </c>
      <c r="D290" s="99">
        <f t="shared" si="44"/>
        <v>-3.0000000000000249</v>
      </c>
      <c r="E290" s="99">
        <f t="shared" si="45"/>
        <v>0.30422412669405774</v>
      </c>
      <c r="F290" s="99">
        <f t="shared" si="46"/>
        <v>1.0117500000000075</v>
      </c>
      <c r="G290" s="99">
        <f t="shared" si="47"/>
        <v>0.41891495835568959</v>
      </c>
      <c r="H290" s="99" t="str">
        <f t="shared" si="48"/>
        <v/>
      </c>
      <c r="I290" s="99" t="str">
        <f t="shared" si="49"/>
        <v/>
      </c>
      <c r="J290" s="99" t="str">
        <f t="shared" si="50"/>
        <v/>
      </c>
      <c r="K290" s="99" t="str">
        <f t="shared" si="51"/>
        <v/>
      </c>
      <c r="L290" s="99" t="str">
        <f t="shared" si="52"/>
        <v/>
      </c>
      <c r="M290" s="106">
        <f>IF(D290="","",ABS(D290-G$5))</f>
        <v>3.0000000000000249</v>
      </c>
    </row>
    <row r="291" spans="2:13" ht="13.5" customHeight="1" x14ac:dyDescent="0.55000000000000004">
      <c r="B291" s="94">
        <v>44232</v>
      </c>
      <c r="C291" s="99">
        <v>2.57</v>
      </c>
      <c r="D291" s="99">
        <f t="shared" si="44"/>
        <v>-2.0000000000000018</v>
      </c>
      <c r="E291" s="99">
        <f t="shared" si="45"/>
        <v>0.21001192451591399</v>
      </c>
      <c r="F291" s="99">
        <f t="shared" si="46"/>
        <v>0.67449999999999999</v>
      </c>
      <c r="G291" s="99">
        <f t="shared" si="47"/>
        <v>0.30342160182731637</v>
      </c>
      <c r="H291" s="99" t="str">
        <f t="shared" si="48"/>
        <v/>
      </c>
      <c r="I291" s="99" t="str">
        <f t="shared" si="49"/>
        <v/>
      </c>
      <c r="J291" s="99" t="str">
        <f t="shared" si="50"/>
        <v/>
      </c>
      <c r="K291" s="99" t="str">
        <f t="shared" si="51"/>
        <v/>
      </c>
      <c r="L291" s="99" t="str">
        <f t="shared" si="52"/>
        <v/>
      </c>
      <c r="M291" s="106">
        <f>IF(D291="","",ABS(D291-G$5))</f>
        <v>2.0000000000000018</v>
      </c>
    </row>
    <row r="292" spans="2:13" ht="13.5" customHeight="1" x14ac:dyDescent="0.55000000000000004">
      <c r="B292" s="94">
        <v>44235</v>
      </c>
      <c r="C292" s="99">
        <v>2.54</v>
      </c>
      <c r="D292" s="99">
        <f t="shared" si="44"/>
        <v>-2.9999999999999805</v>
      </c>
      <c r="E292" s="99">
        <f t="shared" si="45"/>
        <v>0.30422412669405352</v>
      </c>
      <c r="F292" s="99">
        <f t="shared" si="46"/>
        <v>1.0117499999999926</v>
      </c>
      <c r="G292" s="99">
        <f t="shared" si="47"/>
        <v>0.45841940770257233</v>
      </c>
      <c r="H292" s="99" t="str">
        <f t="shared" si="48"/>
        <v/>
      </c>
      <c r="I292" s="99" t="str">
        <f t="shared" si="49"/>
        <v/>
      </c>
      <c r="J292" s="99" t="str">
        <f t="shared" si="50"/>
        <v/>
      </c>
      <c r="K292" s="99" t="str">
        <f t="shared" si="51"/>
        <v/>
      </c>
      <c r="L292" s="99" t="str">
        <f t="shared" si="52"/>
        <v/>
      </c>
      <c r="M292" s="106">
        <f>IF(D292="","",ABS(D292-G$5))</f>
        <v>2.9999999999999805</v>
      </c>
    </row>
    <row r="293" spans="2:13" ht="13.5" customHeight="1" x14ac:dyDescent="0.55000000000000004">
      <c r="B293" s="94">
        <v>44236</v>
      </c>
      <c r="C293" s="99">
        <v>2.5299999999999998</v>
      </c>
      <c r="D293" s="99">
        <f t="shared" si="44"/>
        <v>-1.0000000000000231</v>
      </c>
      <c r="E293" s="99">
        <f t="shared" si="45"/>
        <v>0.11579972233777447</v>
      </c>
      <c r="F293" s="99">
        <f t="shared" si="46"/>
        <v>0.33725000000000749</v>
      </c>
      <c r="G293" s="99">
        <f t="shared" si="47"/>
        <v>0.18362094624082143</v>
      </c>
      <c r="H293" s="99" t="str">
        <f t="shared" si="48"/>
        <v/>
      </c>
      <c r="I293" s="99" t="str">
        <f t="shared" si="49"/>
        <v/>
      </c>
      <c r="J293" s="99" t="str">
        <f t="shared" si="50"/>
        <v/>
      </c>
      <c r="K293" s="99" t="str">
        <f t="shared" si="51"/>
        <v/>
      </c>
      <c r="L293" s="99" t="str">
        <f t="shared" si="52"/>
        <v/>
      </c>
      <c r="M293" s="106">
        <f>IF(D293="","",ABS(D293-G$5))</f>
        <v>1.0000000000000231</v>
      </c>
    </row>
    <row r="294" spans="2:13" ht="13.5" customHeight="1" x14ac:dyDescent="0.55000000000000004">
      <c r="B294" s="94">
        <v>44237</v>
      </c>
      <c r="C294" s="99">
        <v>2.54</v>
      </c>
      <c r="D294" s="99">
        <f t="shared" si="44"/>
        <v>1.0000000000000231</v>
      </c>
      <c r="E294" s="99">
        <f t="shared" si="45"/>
        <v>7.2624682018512965E-2</v>
      </c>
      <c r="F294" s="99">
        <f t="shared" si="46"/>
        <v>0.33725000000000749</v>
      </c>
      <c r="G294" s="99">
        <f t="shared" si="47"/>
        <v>0.1212992058053301</v>
      </c>
      <c r="H294" s="99" t="str">
        <f t="shared" si="48"/>
        <v/>
      </c>
      <c r="I294" s="99" t="str">
        <f t="shared" si="49"/>
        <v/>
      </c>
      <c r="J294" s="99" t="str">
        <f t="shared" si="50"/>
        <v/>
      </c>
      <c r="K294" s="99" t="str">
        <f t="shared" si="51"/>
        <v/>
      </c>
      <c r="L294" s="99" t="str">
        <f t="shared" si="52"/>
        <v/>
      </c>
      <c r="M294" s="106">
        <f>IF(D294="","",ABS(D294-G$5))</f>
        <v>1.0000000000000231</v>
      </c>
    </row>
    <row r="295" spans="2:13" ht="13.5" customHeight="1" x14ac:dyDescent="0.55000000000000004">
      <c r="B295" s="94">
        <v>44238</v>
      </c>
      <c r="C295" s="99">
        <v>2.54</v>
      </c>
      <c r="D295" s="99">
        <f t="shared" si="44"/>
        <v>0</v>
      </c>
      <c r="E295" s="99">
        <f t="shared" si="45"/>
        <v>2.1587520159630759E-2</v>
      </c>
      <c r="F295" s="99">
        <f t="shared" si="46"/>
        <v>0</v>
      </c>
      <c r="G295" s="99">
        <f t="shared" si="47"/>
        <v>3.8003522331567514E-2</v>
      </c>
      <c r="H295" s="99" t="str">
        <f t="shared" si="48"/>
        <v/>
      </c>
      <c r="I295" s="99" t="str">
        <f t="shared" si="49"/>
        <v/>
      </c>
      <c r="J295" s="99" t="str">
        <f t="shared" si="50"/>
        <v/>
      </c>
      <c r="K295" s="99" t="str">
        <f t="shared" si="51"/>
        <v/>
      </c>
      <c r="L295" s="99" t="str">
        <f t="shared" si="52"/>
        <v>STALE</v>
      </c>
      <c r="M295" s="106">
        <f>IF(D295="","",ABS(D295-G$5))</f>
        <v>0</v>
      </c>
    </row>
    <row r="296" spans="2:13" ht="13.5" customHeight="1" x14ac:dyDescent="0.55000000000000004">
      <c r="B296" s="94">
        <v>44239</v>
      </c>
      <c r="C296" s="99">
        <v>2.52</v>
      </c>
      <c r="D296" s="99">
        <f t="shared" si="44"/>
        <v>-2.0000000000000018</v>
      </c>
      <c r="E296" s="99">
        <f t="shared" si="45"/>
        <v>0.21001192451591399</v>
      </c>
      <c r="F296" s="99">
        <f t="shared" si="46"/>
        <v>0.67449999999999999</v>
      </c>
      <c r="G296" s="99">
        <f t="shared" si="47"/>
        <v>0.38678591810215934</v>
      </c>
      <c r="H296" s="99" t="str">
        <f t="shared" si="48"/>
        <v/>
      </c>
      <c r="I296" s="99" t="str">
        <f t="shared" si="49"/>
        <v/>
      </c>
      <c r="J296" s="99" t="str">
        <f t="shared" si="50"/>
        <v/>
      </c>
      <c r="K296" s="99" t="str">
        <f t="shared" si="51"/>
        <v/>
      </c>
      <c r="L296" s="99" t="str">
        <f t="shared" si="52"/>
        <v/>
      </c>
      <c r="M296" s="106">
        <f>IF(D296="","",ABS(D296-G$5))</f>
        <v>2.0000000000000018</v>
      </c>
    </row>
    <row r="297" spans="2:13" ht="13.5" customHeight="1" x14ac:dyDescent="0.55000000000000004">
      <c r="B297" s="94">
        <v>44243</v>
      </c>
      <c r="C297" s="99">
        <v>2.5099999999999998</v>
      </c>
      <c r="D297" s="99">
        <f t="shared" si="44"/>
        <v>-1.0000000000000231</v>
      </c>
      <c r="E297" s="99">
        <f t="shared" si="45"/>
        <v>0.11579972233777447</v>
      </c>
      <c r="F297" s="99">
        <f t="shared" si="46"/>
        <v>0.33725000000000749</v>
      </c>
      <c r="G297" s="99">
        <f t="shared" si="47"/>
        <v>0.22424268658945545</v>
      </c>
      <c r="H297" s="99" t="str">
        <f t="shared" si="48"/>
        <v/>
      </c>
      <c r="I297" s="99" t="str">
        <f t="shared" si="49"/>
        <v/>
      </c>
      <c r="J297" s="99" t="str">
        <f t="shared" si="50"/>
        <v/>
      </c>
      <c r="K297" s="99" t="str">
        <f t="shared" si="51"/>
        <v/>
      </c>
      <c r="L297" s="99" t="str">
        <f t="shared" si="52"/>
        <v/>
      </c>
      <c r="M297" s="106">
        <f>IF(D297="","",ABS(D297-G$5))</f>
        <v>1.0000000000000231</v>
      </c>
    </row>
    <row r="298" spans="2:13" ht="13.5" customHeight="1" x14ac:dyDescent="0.55000000000000004">
      <c r="B298" s="94">
        <v>44244</v>
      </c>
      <c r="C298" s="99">
        <v>2.52</v>
      </c>
      <c r="D298" s="99">
        <f t="shared" si="44"/>
        <v>1.0000000000000231</v>
      </c>
      <c r="E298" s="99">
        <f t="shared" si="45"/>
        <v>7.2624682018512965E-2</v>
      </c>
      <c r="F298" s="99">
        <f t="shared" si="46"/>
        <v>0.33725000000000749</v>
      </c>
      <c r="G298" s="99">
        <f t="shared" si="47"/>
        <v>0.14808023027294645</v>
      </c>
      <c r="H298" s="99" t="str">
        <f t="shared" si="48"/>
        <v/>
      </c>
      <c r="I298" s="99" t="str">
        <f t="shared" si="49"/>
        <v/>
      </c>
      <c r="J298" s="99" t="str">
        <f t="shared" si="50"/>
        <v/>
      </c>
      <c r="K298" s="99" t="str">
        <f t="shared" si="51"/>
        <v/>
      </c>
      <c r="L298" s="99" t="str">
        <f t="shared" si="52"/>
        <v/>
      </c>
      <c r="M298" s="106">
        <f>IF(D298="","",ABS(D298-G$5))</f>
        <v>1.0000000000000231</v>
      </c>
    </row>
    <row r="299" spans="2:13" ht="13.5" customHeight="1" x14ac:dyDescent="0.55000000000000004">
      <c r="B299" s="94">
        <v>44245</v>
      </c>
      <c r="C299" s="99">
        <v>2.56</v>
      </c>
      <c r="D299" s="99">
        <f t="shared" si="44"/>
        <v>4.0000000000000036</v>
      </c>
      <c r="E299" s="99">
        <f t="shared" si="45"/>
        <v>0.35526128855293576</v>
      </c>
      <c r="F299" s="99">
        <f t="shared" si="46"/>
        <v>1.349</v>
      </c>
      <c r="G299" s="99">
        <f t="shared" si="47"/>
        <v>0.74222364425337406</v>
      </c>
      <c r="H299" s="99" t="str">
        <f t="shared" si="48"/>
        <v/>
      </c>
      <c r="I299" s="99" t="str">
        <f t="shared" si="49"/>
        <v/>
      </c>
      <c r="J299" s="99" t="str">
        <f t="shared" si="50"/>
        <v/>
      </c>
      <c r="K299" s="99" t="str">
        <f t="shared" si="51"/>
        <v/>
      </c>
      <c r="L299" s="99" t="str">
        <f t="shared" si="52"/>
        <v/>
      </c>
      <c r="M299" s="106">
        <f>IF(D299="","",ABS(D299-G$5))</f>
        <v>4.0000000000000036</v>
      </c>
    </row>
    <row r="300" spans="2:13" ht="13.5" customHeight="1" x14ac:dyDescent="0.55000000000000004">
      <c r="B300" s="94">
        <v>44246</v>
      </c>
      <c r="C300" s="99">
        <v>2.57</v>
      </c>
      <c r="D300" s="99">
        <f t="shared" si="44"/>
        <v>0.99999999999997868</v>
      </c>
      <c r="E300" s="99">
        <f t="shared" si="45"/>
        <v>7.2624682018508774E-2</v>
      </c>
      <c r="F300" s="99">
        <f t="shared" si="46"/>
        <v>0.3372499999999925</v>
      </c>
      <c r="G300" s="99">
        <f t="shared" si="47"/>
        <v>0.15973317903532205</v>
      </c>
      <c r="H300" s="99" t="str">
        <f t="shared" si="48"/>
        <v/>
      </c>
      <c r="I300" s="99" t="str">
        <f t="shared" si="49"/>
        <v/>
      </c>
      <c r="J300" s="99" t="str">
        <f t="shared" si="50"/>
        <v/>
      </c>
      <c r="K300" s="99" t="str">
        <f t="shared" si="51"/>
        <v/>
      </c>
      <c r="L300" s="99" t="str">
        <f t="shared" si="52"/>
        <v/>
      </c>
      <c r="M300" s="106">
        <f>IF(D300="","",ABS(D300-G$5))</f>
        <v>0.99999999999997868</v>
      </c>
    </row>
    <row r="301" spans="2:13" ht="13.5" customHeight="1" x14ac:dyDescent="0.55000000000000004">
      <c r="B301" s="94">
        <v>44249</v>
      </c>
      <c r="C301" s="99">
        <v>2.62</v>
      </c>
      <c r="D301" s="99">
        <f t="shared" si="44"/>
        <v>5.0000000000000266</v>
      </c>
      <c r="E301" s="99">
        <f t="shared" si="45"/>
        <v>0.44947349073107945</v>
      </c>
      <c r="F301" s="99">
        <f t="shared" si="46"/>
        <v>1.6862500000000074</v>
      </c>
      <c r="G301" s="99">
        <f t="shared" si="47"/>
        <v>0.98971091123045873</v>
      </c>
      <c r="H301" s="99" t="str">
        <f t="shared" si="48"/>
        <v/>
      </c>
      <c r="I301" s="99" t="str">
        <f t="shared" si="49"/>
        <v/>
      </c>
      <c r="J301" s="99" t="str">
        <f t="shared" si="50"/>
        <v/>
      </c>
      <c r="K301" s="99" t="str">
        <f t="shared" si="51"/>
        <v/>
      </c>
      <c r="L301" s="99" t="str">
        <f t="shared" si="52"/>
        <v/>
      </c>
      <c r="M301" s="106">
        <f>IF(D301="","",ABS(D301-G$5))</f>
        <v>5.0000000000000266</v>
      </c>
    </row>
    <row r="302" spans="2:13" ht="13.5" customHeight="1" x14ac:dyDescent="0.55000000000000004">
      <c r="B302" s="94">
        <v>44250</v>
      </c>
      <c r="C302" s="99">
        <v>2.67</v>
      </c>
      <c r="D302" s="99">
        <f t="shared" si="44"/>
        <v>4.9999999999999822</v>
      </c>
      <c r="E302" s="99">
        <f t="shared" si="45"/>
        <v>0.44947349073107523</v>
      </c>
      <c r="F302" s="99">
        <f t="shared" si="46"/>
        <v>1.6862499999999925</v>
      </c>
      <c r="G302" s="99">
        <f t="shared" si="47"/>
        <v>0.99072555293883768</v>
      </c>
      <c r="H302" s="99" t="str">
        <f t="shared" si="48"/>
        <v/>
      </c>
      <c r="I302" s="99" t="str">
        <f t="shared" si="49"/>
        <v/>
      </c>
      <c r="J302" s="99" t="str">
        <f t="shared" si="50"/>
        <v/>
      </c>
      <c r="K302" s="99" t="str">
        <f t="shared" si="51"/>
        <v/>
      </c>
      <c r="L302" s="99" t="str">
        <f t="shared" si="52"/>
        <v/>
      </c>
      <c r="M302" s="106">
        <f>IF(D302="","",ABS(D302-G$5))</f>
        <v>4.9999999999999822</v>
      </c>
    </row>
    <row r="303" spans="2:13" ht="13.5" customHeight="1" x14ac:dyDescent="0.55000000000000004">
      <c r="B303" s="94">
        <v>44251</v>
      </c>
      <c r="C303" s="99">
        <v>2.65</v>
      </c>
      <c r="D303" s="99">
        <f t="shared" si="44"/>
        <v>-2.0000000000000018</v>
      </c>
      <c r="E303" s="99">
        <f t="shared" si="45"/>
        <v>0.21001192451591399</v>
      </c>
      <c r="F303" s="99">
        <f t="shared" si="46"/>
        <v>0.67449999999999999</v>
      </c>
      <c r="G303" s="99">
        <f t="shared" si="47"/>
        <v>0.48223916385425558</v>
      </c>
      <c r="H303" s="99" t="str">
        <f t="shared" si="48"/>
        <v/>
      </c>
      <c r="I303" s="99" t="str">
        <f t="shared" si="49"/>
        <v/>
      </c>
      <c r="J303" s="99" t="str">
        <f t="shared" si="50"/>
        <v/>
      </c>
      <c r="K303" s="99" t="str">
        <f t="shared" si="51"/>
        <v/>
      </c>
      <c r="L303" s="99" t="str">
        <f t="shared" si="52"/>
        <v/>
      </c>
      <c r="M303" s="106">
        <f>IF(D303="","",ABS(D303-G$5))</f>
        <v>2.0000000000000018</v>
      </c>
    </row>
    <row r="304" spans="2:13" ht="13.5" customHeight="1" x14ac:dyDescent="0.55000000000000004">
      <c r="B304" s="94">
        <v>44252</v>
      </c>
      <c r="C304" s="99">
        <v>2.77</v>
      </c>
      <c r="D304" s="99">
        <f t="shared" si="44"/>
        <v>12.000000000000011</v>
      </c>
      <c r="E304" s="99">
        <f t="shared" si="45"/>
        <v>1.1089589059780689</v>
      </c>
      <c r="F304" s="99">
        <f t="shared" si="46"/>
        <v>4.0469999999999997</v>
      </c>
      <c r="G304" s="99">
        <f t="shared" si="47"/>
        <v>2.0463841880532536</v>
      </c>
      <c r="H304" s="99" t="str">
        <f t="shared" si="48"/>
        <v/>
      </c>
      <c r="I304" s="99" t="str">
        <f t="shared" si="49"/>
        <v>OUTLIER</v>
      </c>
      <c r="J304" s="99" t="str">
        <f t="shared" si="50"/>
        <v/>
      </c>
      <c r="K304" s="99" t="str">
        <f t="shared" si="51"/>
        <v/>
      </c>
      <c r="L304" s="99" t="str">
        <f t="shared" si="52"/>
        <v/>
      </c>
      <c r="M304" s="106">
        <f>IF(D304="","",ABS(D304-G$5))</f>
        <v>12.000000000000011</v>
      </c>
    </row>
    <row r="305" spans="2:13" ht="13.5" customHeight="1" x14ac:dyDescent="0.55000000000000004">
      <c r="B305" s="94">
        <v>44253</v>
      </c>
      <c r="C305" s="99">
        <v>2.8</v>
      </c>
      <c r="D305" s="99">
        <f t="shared" si="44"/>
        <v>2.9999999999999805</v>
      </c>
      <c r="E305" s="99">
        <f t="shared" si="45"/>
        <v>0.26104908637479202</v>
      </c>
      <c r="F305" s="99">
        <f t="shared" si="46"/>
        <v>1.0117499999999926</v>
      </c>
      <c r="G305" s="99">
        <f t="shared" si="47"/>
        <v>0.50135429969058065</v>
      </c>
      <c r="H305" s="99" t="str">
        <f t="shared" si="48"/>
        <v/>
      </c>
      <c r="I305" s="99" t="str">
        <f t="shared" si="49"/>
        <v/>
      </c>
      <c r="J305" s="99" t="str">
        <f t="shared" si="50"/>
        <v/>
      </c>
      <c r="K305" s="99" t="str">
        <f t="shared" si="51"/>
        <v/>
      </c>
      <c r="L305" s="99" t="str">
        <f t="shared" si="52"/>
        <v/>
      </c>
      <c r="M305" s="106">
        <f>IF(D305="","",ABS(D305-G$5))</f>
        <v>2.9999999999999805</v>
      </c>
    </row>
    <row r="306" spans="2:13" ht="13.5" customHeight="1" x14ac:dyDescent="0.55000000000000004">
      <c r="B306" s="94">
        <v>44256</v>
      </c>
      <c r="C306" s="99">
        <v>2.77</v>
      </c>
      <c r="D306" s="99">
        <f t="shared" si="44"/>
        <v>-2.9999999999999805</v>
      </c>
      <c r="E306" s="99">
        <f t="shared" si="45"/>
        <v>0.30422412669405352</v>
      </c>
      <c r="F306" s="99">
        <f t="shared" si="46"/>
        <v>1.0117499999999926</v>
      </c>
      <c r="G306" s="99">
        <f t="shared" si="47"/>
        <v>0.60452017964612448</v>
      </c>
      <c r="H306" s="99" t="str">
        <f t="shared" si="48"/>
        <v/>
      </c>
      <c r="I306" s="99" t="str">
        <f t="shared" si="49"/>
        <v/>
      </c>
      <c r="J306" s="99" t="str">
        <f t="shared" si="50"/>
        <v/>
      </c>
      <c r="K306" s="99" t="str">
        <f t="shared" si="51"/>
        <v/>
      </c>
      <c r="L306" s="99" t="str">
        <f t="shared" si="52"/>
        <v/>
      </c>
      <c r="M306" s="106">
        <f>IF(D306="","",ABS(D306-G$5))</f>
        <v>2.9999999999999805</v>
      </c>
    </row>
    <row r="307" spans="2:13" ht="13.5" customHeight="1" x14ac:dyDescent="0.55000000000000004">
      <c r="B307" s="94">
        <v>44257</v>
      </c>
      <c r="C307" s="99">
        <v>2.76</v>
      </c>
      <c r="D307" s="99">
        <f t="shared" si="44"/>
        <v>-1.0000000000000231</v>
      </c>
      <c r="E307" s="99">
        <f t="shared" si="45"/>
        <v>0.11579972233777447</v>
      </c>
      <c r="F307" s="99">
        <f t="shared" si="46"/>
        <v>0.33725000000000749</v>
      </c>
      <c r="G307" s="99">
        <f t="shared" si="47"/>
        <v>0.24184084713949669</v>
      </c>
      <c r="H307" s="99" t="str">
        <f t="shared" si="48"/>
        <v/>
      </c>
      <c r="I307" s="99" t="str">
        <f t="shared" si="49"/>
        <v/>
      </c>
      <c r="J307" s="99" t="str">
        <f t="shared" si="50"/>
        <v/>
      </c>
      <c r="K307" s="99" t="str">
        <f t="shared" si="51"/>
        <v/>
      </c>
      <c r="L307" s="99" t="str">
        <f t="shared" si="52"/>
        <v/>
      </c>
      <c r="M307" s="106">
        <f>IF(D307="","",ABS(D307-G$5))</f>
        <v>1.0000000000000231</v>
      </c>
    </row>
    <row r="308" spans="2:13" ht="13.5" customHeight="1" x14ac:dyDescent="0.55000000000000004">
      <c r="B308" s="94">
        <v>44258</v>
      </c>
      <c r="C308" s="99">
        <v>2.77</v>
      </c>
      <c r="D308" s="99">
        <f t="shared" si="44"/>
        <v>1.0000000000000231</v>
      </c>
      <c r="E308" s="99">
        <f t="shared" si="45"/>
        <v>7.2624682018512965E-2</v>
      </c>
      <c r="F308" s="99">
        <f t="shared" si="46"/>
        <v>0.33725000000000749</v>
      </c>
      <c r="G308" s="99">
        <f t="shared" si="47"/>
        <v>0.15967274605014289</v>
      </c>
      <c r="H308" s="99" t="str">
        <f t="shared" si="48"/>
        <v/>
      </c>
      <c r="I308" s="99" t="str">
        <f t="shared" si="49"/>
        <v/>
      </c>
      <c r="J308" s="99" t="str">
        <f t="shared" si="50"/>
        <v/>
      </c>
      <c r="K308" s="99" t="str">
        <f t="shared" si="51"/>
        <v/>
      </c>
      <c r="L308" s="99" t="str">
        <f t="shared" si="52"/>
        <v/>
      </c>
      <c r="M308" s="106">
        <f>IF(D308="","",ABS(D308-G$5))</f>
        <v>1.0000000000000231</v>
      </c>
    </row>
    <row r="309" spans="2:13" ht="13.5" customHeight="1" x14ac:dyDescent="0.55000000000000004">
      <c r="B309" s="94">
        <v>44259</v>
      </c>
      <c r="C309" s="99">
        <v>2.82</v>
      </c>
      <c r="D309" s="99">
        <f t="shared" si="44"/>
        <v>4.9999999999999822</v>
      </c>
      <c r="E309" s="99">
        <f t="shared" si="45"/>
        <v>0.44947349073107523</v>
      </c>
      <c r="F309" s="99">
        <f t="shared" si="46"/>
        <v>1.6862499999999925</v>
      </c>
      <c r="G309" s="99">
        <f t="shared" si="47"/>
        <v>0.98937312597527949</v>
      </c>
      <c r="H309" s="99" t="str">
        <f t="shared" si="48"/>
        <v/>
      </c>
      <c r="I309" s="99" t="str">
        <f t="shared" si="49"/>
        <v/>
      </c>
      <c r="J309" s="99" t="str">
        <f t="shared" si="50"/>
        <v/>
      </c>
      <c r="K309" s="99" t="str">
        <f t="shared" si="51"/>
        <v/>
      </c>
      <c r="L309" s="99" t="str">
        <f t="shared" si="52"/>
        <v/>
      </c>
      <c r="M309" s="106">
        <f>IF(D309="","",ABS(D309-G$5))</f>
        <v>4.9999999999999822</v>
      </c>
    </row>
    <row r="310" spans="2:13" ht="13.5" customHeight="1" x14ac:dyDescent="0.55000000000000004">
      <c r="B310" s="94">
        <v>44260</v>
      </c>
      <c r="C310" s="99">
        <v>2.84</v>
      </c>
      <c r="D310" s="99">
        <f t="shared" si="44"/>
        <v>2.0000000000000018</v>
      </c>
      <c r="E310" s="99">
        <f t="shared" si="45"/>
        <v>0.16683688419665252</v>
      </c>
      <c r="F310" s="99">
        <f t="shared" si="46"/>
        <v>0.67449999999999999</v>
      </c>
      <c r="G310" s="99">
        <f t="shared" si="47"/>
        <v>0.38423511579246805</v>
      </c>
      <c r="H310" s="99" t="str">
        <f t="shared" si="48"/>
        <v/>
      </c>
      <c r="I310" s="99" t="str">
        <f t="shared" si="49"/>
        <v/>
      </c>
      <c r="J310" s="99" t="str">
        <f t="shared" si="50"/>
        <v/>
      </c>
      <c r="K310" s="99" t="str">
        <f t="shared" si="51"/>
        <v/>
      </c>
      <c r="L310" s="99" t="str">
        <f t="shared" si="52"/>
        <v/>
      </c>
      <c r="M310" s="106">
        <f>IF(D310="","",ABS(D310-G$5))</f>
        <v>2.0000000000000018</v>
      </c>
    </row>
    <row r="311" spans="2:13" ht="13.5" customHeight="1" x14ac:dyDescent="0.55000000000000004">
      <c r="B311" s="94">
        <v>44263</v>
      </c>
      <c r="C311" s="99">
        <v>2.85</v>
      </c>
      <c r="D311" s="99">
        <f t="shared" si="44"/>
        <v>1.0000000000000231</v>
      </c>
      <c r="E311" s="99">
        <f t="shared" si="45"/>
        <v>7.2624682018512965E-2</v>
      </c>
      <c r="F311" s="99">
        <f t="shared" si="46"/>
        <v>0.33725000000000749</v>
      </c>
      <c r="G311" s="99">
        <f t="shared" si="47"/>
        <v>0.17603297944928742</v>
      </c>
      <c r="H311" s="99" t="str">
        <f t="shared" si="48"/>
        <v/>
      </c>
      <c r="I311" s="99" t="str">
        <f t="shared" si="49"/>
        <v/>
      </c>
      <c r="J311" s="99" t="str">
        <f t="shared" si="50"/>
        <v/>
      </c>
      <c r="K311" s="99" t="str">
        <f t="shared" si="51"/>
        <v/>
      </c>
      <c r="L311" s="99" t="str">
        <f t="shared" si="52"/>
        <v/>
      </c>
      <c r="M311" s="106">
        <f>IF(D311="","",ABS(D311-G$5))</f>
        <v>1.0000000000000231</v>
      </c>
    </row>
    <row r="312" spans="2:13" ht="13.5" customHeight="1" x14ac:dyDescent="0.55000000000000004">
      <c r="B312" s="94">
        <v>44264</v>
      </c>
      <c r="C312" s="99">
        <v>2.82</v>
      </c>
      <c r="D312" s="99">
        <f t="shared" si="44"/>
        <v>-3.0000000000000249</v>
      </c>
      <c r="E312" s="99">
        <f t="shared" si="45"/>
        <v>0.30422412669405774</v>
      </c>
      <c r="F312" s="99">
        <f t="shared" si="46"/>
        <v>1.0117500000000075</v>
      </c>
      <c r="G312" s="99">
        <f t="shared" si="47"/>
        <v>0.75482053102619662</v>
      </c>
      <c r="H312" s="99" t="str">
        <f t="shared" si="48"/>
        <v/>
      </c>
      <c r="I312" s="99" t="str">
        <f t="shared" si="49"/>
        <v/>
      </c>
      <c r="J312" s="99" t="str">
        <f t="shared" si="50"/>
        <v/>
      </c>
      <c r="K312" s="99" t="str">
        <f t="shared" si="51"/>
        <v/>
      </c>
      <c r="L312" s="99" t="str">
        <f t="shared" si="52"/>
        <v/>
      </c>
      <c r="M312" s="106">
        <f>IF(D312="","",ABS(D312-G$5))</f>
        <v>3.0000000000000249</v>
      </c>
    </row>
    <row r="313" spans="2:13" ht="13.5" customHeight="1" x14ac:dyDescent="0.55000000000000004">
      <c r="B313" s="94">
        <v>44265</v>
      </c>
      <c r="C313" s="99">
        <v>2.79</v>
      </c>
      <c r="D313" s="99">
        <f t="shared" si="44"/>
        <v>-2.9999999999999805</v>
      </c>
      <c r="E313" s="99">
        <f t="shared" si="45"/>
        <v>0.30422412669405352</v>
      </c>
      <c r="F313" s="99">
        <f t="shared" si="46"/>
        <v>1.0117499999999926</v>
      </c>
      <c r="G313" s="99">
        <f t="shared" si="47"/>
        <v>0.77160195024105327</v>
      </c>
      <c r="H313" s="99" t="str">
        <f t="shared" si="48"/>
        <v/>
      </c>
      <c r="I313" s="99" t="str">
        <f t="shared" si="49"/>
        <v/>
      </c>
      <c r="J313" s="99" t="str">
        <f t="shared" si="50"/>
        <v/>
      </c>
      <c r="K313" s="99" t="str">
        <f t="shared" si="51"/>
        <v/>
      </c>
      <c r="L313" s="99" t="str">
        <f t="shared" si="52"/>
        <v/>
      </c>
      <c r="M313" s="106">
        <f>IF(D313="","",ABS(D313-G$5))</f>
        <v>2.9999999999999805</v>
      </c>
    </row>
    <row r="314" spans="2:13" ht="13.5" customHeight="1" x14ac:dyDescent="0.55000000000000004">
      <c r="B314" s="94">
        <v>44266</v>
      </c>
      <c r="C314" s="99">
        <v>2.77</v>
      </c>
      <c r="D314" s="99">
        <f t="shared" si="44"/>
        <v>-2.0000000000000018</v>
      </c>
      <c r="E314" s="99">
        <f t="shared" si="45"/>
        <v>0.21001192451591399</v>
      </c>
      <c r="F314" s="99">
        <f t="shared" si="46"/>
        <v>0.67449999999999999</v>
      </c>
      <c r="G314" s="99">
        <f t="shared" si="47"/>
        <v>0.55281859524785504</v>
      </c>
      <c r="H314" s="99" t="str">
        <f t="shared" si="48"/>
        <v/>
      </c>
      <c r="I314" s="99" t="str">
        <f t="shared" si="49"/>
        <v/>
      </c>
      <c r="J314" s="99" t="str">
        <f t="shared" si="50"/>
        <v/>
      </c>
      <c r="K314" s="99" t="str">
        <f t="shared" si="51"/>
        <v/>
      </c>
      <c r="L314" s="99" t="str">
        <f t="shared" si="52"/>
        <v/>
      </c>
      <c r="M314" s="106">
        <f>IF(D314="","",ABS(D314-G$5))</f>
        <v>2.0000000000000018</v>
      </c>
    </row>
    <row r="315" spans="2:13" ht="13.5" customHeight="1" x14ac:dyDescent="0.55000000000000004">
      <c r="B315" s="94">
        <v>44267</v>
      </c>
      <c r="C315" s="99">
        <v>2.8</v>
      </c>
      <c r="D315" s="99">
        <f t="shared" si="44"/>
        <v>2.9999999999999805</v>
      </c>
      <c r="E315" s="99">
        <f t="shared" si="45"/>
        <v>0.26104908637479202</v>
      </c>
      <c r="F315" s="99">
        <f t="shared" si="46"/>
        <v>1.0117499999999926</v>
      </c>
      <c r="G315" s="99">
        <f t="shared" si="47"/>
        <v>0.7060501378720232</v>
      </c>
      <c r="H315" s="99" t="str">
        <f t="shared" si="48"/>
        <v/>
      </c>
      <c r="I315" s="99" t="str">
        <f t="shared" si="49"/>
        <v/>
      </c>
      <c r="J315" s="99" t="str">
        <f t="shared" si="50"/>
        <v/>
      </c>
      <c r="K315" s="99" t="str">
        <f t="shared" si="51"/>
        <v/>
      </c>
      <c r="L315" s="99" t="str">
        <f t="shared" si="52"/>
        <v/>
      </c>
      <c r="M315" s="106">
        <f>IF(D315="","",ABS(D315-G$5))</f>
        <v>2.9999999999999805</v>
      </c>
    </row>
    <row r="316" spans="2:13" ht="13.5" customHeight="1" x14ac:dyDescent="0.55000000000000004">
      <c r="B316" s="94">
        <v>44270</v>
      </c>
      <c r="C316" s="99">
        <v>2.77</v>
      </c>
      <c r="D316" s="99">
        <f t="shared" si="44"/>
        <v>-2.9999999999999805</v>
      </c>
      <c r="E316" s="99">
        <f t="shared" si="45"/>
        <v>0.30422412669405352</v>
      </c>
      <c r="F316" s="99">
        <f t="shared" si="46"/>
        <v>1.0117499999999926</v>
      </c>
      <c r="G316" s="99">
        <f t="shared" si="47"/>
        <v>0.83644186134333065</v>
      </c>
      <c r="H316" s="99" t="str">
        <f t="shared" si="48"/>
        <v/>
      </c>
      <c r="I316" s="99" t="str">
        <f t="shared" si="49"/>
        <v/>
      </c>
      <c r="J316" s="99" t="str">
        <f t="shared" si="50"/>
        <v/>
      </c>
      <c r="K316" s="99" t="str">
        <f t="shared" si="51"/>
        <v/>
      </c>
      <c r="L316" s="99" t="str">
        <f t="shared" si="52"/>
        <v/>
      </c>
      <c r="M316" s="106">
        <f>IF(D316="","",ABS(D316-G$5))</f>
        <v>2.9999999999999805</v>
      </c>
    </row>
    <row r="317" spans="2:13" ht="13.5" customHeight="1" x14ac:dyDescent="0.55000000000000004">
      <c r="B317" s="94">
        <v>44271</v>
      </c>
      <c r="C317" s="99">
        <v>2.76</v>
      </c>
      <c r="D317" s="99">
        <f t="shared" si="44"/>
        <v>-1.0000000000000231</v>
      </c>
      <c r="E317" s="99">
        <f t="shared" si="45"/>
        <v>0.11579972233777447</v>
      </c>
      <c r="F317" s="99">
        <f t="shared" si="46"/>
        <v>0.33725000000000749</v>
      </c>
      <c r="G317" s="99">
        <f t="shared" si="47"/>
        <v>0.33373080531572413</v>
      </c>
      <c r="H317" s="99" t="str">
        <f t="shared" si="48"/>
        <v/>
      </c>
      <c r="I317" s="99" t="str">
        <f t="shared" si="49"/>
        <v/>
      </c>
      <c r="J317" s="99" t="str">
        <f t="shared" si="50"/>
        <v/>
      </c>
      <c r="K317" s="99" t="str">
        <f t="shared" si="51"/>
        <v/>
      </c>
      <c r="L317" s="99" t="str">
        <f t="shared" si="52"/>
        <v/>
      </c>
      <c r="M317" s="106">
        <f>IF(D317="","",ABS(D317-G$5))</f>
        <v>1.0000000000000231</v>
      </c>
    </row>
    <row r="318" spans="2:13" ht="13.5" customHeight="1" x14ac:dyDescent="0.55000000000000004">
      <c r="B318" s="94">
        <v>44272</v>
      </c>
      <c r="C318" s="99">
        <v>2.73</v>
      </c>
      <c r="D318" s="99">
        <f t="shared" si="44"/>
        <v>-2.9999999999999805</v>
      </c>
      <c r="E318" s="99">
        <f t="shared" si="45"/>
        <v>0.30422412669405352</v>
      </c>
      <c r="F318" s="99">
        <f t="shared" si="46"/>
        <v>1.0117499999999926</v>
      </c>
      <c r="G318" s="99">
        <f t="shared" si="47"/>
        <v>0.887081926939434</v>
      </c>
      <c r="H318" s="99" t="str">
        <f t="shared" si="48"/>
        <v/>
      </c>
      <c r="I318" s="99" t="str">
        <f t="shared" si="49"/>
        <v/>
      </c>
      <c r="J318" s="99" t="str">
        <f t="shared" si="50"/>
        <v/>
      </c>
      <c r="K318" s="99" t="str">
        <f t="shared" si="51"/>
        <v/>
      </c>
      <c r="L318" s="99" t="str">
        <f t="shared" si="52"/>
        <v/>
      </c>
      <c r="M318" s="106">
        <f>IF(D318="","",ABS(D318-G$5))</f>
        <v>2.9999999999999805</v>
      </c>
    </row>
    <row r="319" spans="2:13" ht="13.5" customHeight="1" x14ac:dyDescent="0.55000000000000004">
      <c r="B319" s="94">
        <v>44273</v>
      </c>
      <c r="C319" s="99">
        <v>2.77</v>
      </c>
      <c r="D319" s="99">
        <f t="shared" si="44"/>
        <v>4.0000000000000036</v>
      </c>
      <c r="E319" s="99">
        <f t="shared" si="45"/>
        <v>0.35526128855293576</v>
      </c>
      <c r="F319" s="99">
        <f t="shared" si="46"/>
        <v>1.349</v>
      </c>
      <c r="G319" s="99">
        <f t="shared" si="47"/>
        <v>1.0321352707327571</v>
      </c>
      <c r="H319" s="99" t="str">
        <f t="shared" si="48"/>
        <v/>
      </c>
      <c r="I319" s="99" t="str">
        <f t="shared" si="49"/>
        <v/>
      </c>
      <c r="J319" s="99" t="str">
        <f t="shared" si="50"/>
        <v/>
      </c>
      <c r="K319" s="99" t="str">
        <f t="shared" si="51"/>
        <v/>
      </c>
      <c r="L319" s="99" t="str">
        <f t="shared" si="52"/>
        <v/>
      </c>
      <c r="M319" s="106">
        <f>IF(D319="","",ABS(D319-G$5))</f>
        <v>4.0000000000000036</v>
      </c>
    </row>
    <row r="320" spans="2:13" ht="13.5" customHeight="1" x14ac:dyDescent="0.55000000000000004">
      <c r="B320" s="94">
        <v>44274</v>
      </c>
      <c r="C320" s="99">
        <v>2.79</v>
      </c>
      <c r="D320" s="99">
        <f t="shared" si="44"/>
        <v>2.0000000000000018</v>
      </c>
      <c r="E320" s="99">
        <f t="shared" si="45"/>
        <v>0.16683688419665252</v>
      </c>
      <c r="F320" s="99">
        <f t="shared" si="46"/>
        <v>0.67449999999999999</v>
      </c>
      <c r="G320" s="99">
        <f t="shared" si="47"/>
        <v>0.50438679135614628</v>
      </c>
      <c r="H320" s="99" t="str">
        <f t="shared" si="48"/>
        <v/>
      </c>
      <c r="I320" s="99" t="str">
        <f t="shared" si="49"/>
        <v/>
      </c>
      <c r="J320" s="99" t="str">
        <f t="shared" si="50"/>
        <v/>
      </c>
      <c r="K320" s="99" t="str">
        <f t="shared" si="51"/>
        <v/>
      </c>
      <c r="L320" s="99" t="str">
        <f t="shared" si="52"/>
        <v/>
      </c>
      <c r="M320" s="106">
        <f>IF(D320="","",ABS(D320-G$5))</f>
        <v>2.0000000000000018</v>
      </c>
    </row>
    <row r="321" spans="2:13" ht="13.5" customHeight="1" x14ac:dyDescent="0.55000000000000004">
      <c r="B321" s="94">
        <v>44277</v>
      </c>
      <c r="C321" s="99">
        <v>2.8</v>
      </c>
      <c r="D321" s="99">
        <f t="shared" si="44"/>
        <v>0.99999999999997868</v>
      </c>
      <c r="E321" s="99">
        <f t="shared" si="45"/>
        <v>7.2624682018508774E-2</v>
      </c>
      <c r="F321" s="99">
        <f t="shared" si="46"/>
        <v>0.3372499999999925</v>
      </c>
      <c r="G321" s="99">
        <f t="shared" si="47"/>
        <v>0.23082062368012743</v>
      </c>
      <c r="H321" s="99" t="str">
        <f t="shared" si="48"/>
        <v/>
      </c>
      <c r="I321" s="99" t="str">
        <f t="shared" si="49"/>
        <v/>
      </c>
      <c r="J321" s="99" t="str">
        <f t="shared" si="50"/>
        <v/>
      </c>
      <c r="K321" s="99" t="str">
        <f t="shared" si="51"/>
        <v/>
      </c>
      <c r="L321" s="99" t="str">
        <f t="shared" si="52"/>
        <v/>
      </c>
      <c r="M321" s="106">
        <f>IF(D321="","",ABS(D321-G$5))</f>
        <v>0.99999999999997868</v>
      </c>
    </row>
    <row r="322" spans="2:13" ht="13.5" customHeight="1" x14ac:dyDescent="0.55000000000000004">
      <c r="B322" s="94">
        <v>44278</v>
      </c>
      <c r="C322" s="99">
        <v>2.79</v>
      </c>
      <c r="D322" s="99">
        <f t="shared" si="44"/>
        <v>-0.99999999999997868</v>
      </c>
      <c r="E322" s="99">
        <f t="shared" si="45"/>
        <v>0.11579972233777029</v>
      </c>
      <c r="F322" s="99">
        <f t="shared" si="46"/>
        <v>0.3372499999999925</v>
      </c>
      <c r="G322" s="99">
        <f t="shared" si="47"/>
        <v>0.38506388445419054</v>
      </c>
      <c r="H322" s="99" t="str">
        <f t="shared" si="48"/>
        <v/>
      </c>
      <c r="I322" s="99" t="str">
        <f t="shared" si="49"/>
        <v/>
      </c>
      <c r="J322" s="99" t="str">
        <f t="shared" si="50"/>
        <v/>
      </c>
      <c r="K322" s="99" t="str">
        <f t="shared" si="51"/>
        <v/>
      </c>
      <c r="L322" s="99" t="str">
        <f t="shared" si="52"/>
        <v/>
      </c>
      <c r="M322" s="106">
        <f>IF(D322="","",ABS(D322-G$5))</f>
        <v>0.99999999999997868</v>
      </c>
    </row>
    <row r="323" spans="2:13" ht="13.5" customHeight="1" x14ac:dyDescent="0.55000000000000004">
      <c r="B323" s="94">
        <v>44279</v>
      </c>
      <c r="C323" s="99">
        <v>2.82</v>
      </c>
      <c r="D323" s="99">
        <f t="shared" si="44"/>
        <v>2.9999999999999805</v>
      </c>
      <c r="E323" s="99">
        <f t="shared" si="45"/>
        <v>0.26104908637479202</v>
      </c>
      <c r="F323" s="99">
        <f t="shared" si="46"/>
        <v>1.0117499999999926</v>
      </c>
      <c r="G323" s="99">
        <f t="shared" si="47"/>
        <v>0.87895522759897426</v>
      </c>
      <c r="H323" s="99" t="str">
        <f t="shared" si="48"/>
        <v/>
      </c>
      <c r="I323" s="99" t="str">
        <f t="shared" si="49"/>
        <v/>
      </c>
      <c r="J323" s="99" t="str">
        <f t="shared" si="50"/>
        <v/>
      </c>
      <c r="K323" s="99" t="str">
        <f t="shared" si="51"/>
        <v/>
      </c>
      <c r="L323" s="99" t="str">
        <f t="shared" si="52"/>
        <v/>
      </c>
      <c r="M323" s="106">
        <f>IF(D323="","",ABS(D323-G$5))</f>
        <v>2.9999999999999805</v>
      </c>
    </row>
    <row r="324" spans="2:13" ht="13.5" customHeight="1" x14ac:dyDescent="0.55000000000000004">
      <c r="B324" s="94">
        <v>44280</v>
      </c>
      <c r="C324" s="99">
        <v>2.84</v>
      </c>
      <c r="D324" s="99">
        <f t="shared" si="44"/>
        <v>2.0000000000000018</v>
      </c>
      <c r="E324" s="99">
        <f t="shared" si="45"/>
        <v>0.16683688419665252</v>
      </c>
      <c r="F324" s="99">
        <f t="shared" si="46"/>
        <v>0.67449999999999999</v>
      </c>
      <c r="G324" s="99">
        <f t="shared" si="47"/>
        <v>0.58201249603351735</v>
      </c>
      <c r="H324" s="99" t="str">
        <f t="shared" si="48"/>
        <v/>
      </c>
      <c r="I324" s="99" t="str">
        <f t="shared" si="49"/>
        <v/>
      </c>
      <c r="J324" s="99" t="str">
        <f t="shared" si="50"/>
        <v/>
      </c>
      <c r="K324" s="99" t="str">
        <f t="shared" si="51"/>
        <v/>
      </c>
      <c r="L324" s="99" t="str">
        <f t="shared" si="52"/>
        <v/>
      </c>
      <c r="M324" s="106">
        <f>IF(D324="","",ABS(D324-G$5))</f>
        <v>2.0000000000000018</v>
      </c>
    </row>
    <row r="325" spans="2:13" ht="13.5" customHeight="1" x14ac:dyDescent="0.55000000000000004">
      <c r="B325" s="94">
        <v>44281</v>
      </c>
      <c r="C325" s="99">
        <v>2.82</v>
      </c>
      <c r="D325" s="99">
        <f t="shared" si="44"/>
        <v>-2.0000000000000018</v>
      </c>
      <c r="E325" s="99">
        <f t="shared" si="45"/>
        <v>0.21001192451591399</v>
      </c>
      <c r="F325" s="99">
        <f t="shared" si="46"/>
        <v>0.67449999999999999</v>
      </c>
      <c r="G325" s="99">
        <f t="shared" si="47"/>
        <v>0.75021215726175028</v>
      </c>
      <c r="H325" s="99" t="str">
        <f t="shared" si="48"/>
        <v/>
      </c>
      <c r="I325" s="99" t="str">
        <f t="shared" si="49"/>
        <v/>
      </c>
      <c r="J325" s="99" t="str">
        <f t="shared" si="50"/>
        <v/>
      </c>
      <c r="K325" s="99" t="str">
        <f t="shared" si="51"/>
        <v/>
      </c>
      <c r="L325" s="99" t="str">
        <f t="shared" si="52"/>
        <v/>
      </c>
      <c r="M325" s="106">
        <f>IF(D325="","",ABS(D325-G$5))</f>
        <v>2.0000000000000018</v>
      </c>
    </row>
    <row r="326" spans="2:13" ht="13.5" customHeight="1" x14ac:dyDescent="0.55000000000000004">
      <c r="B326" s="94">
        <v>44284</v>
      </c>
      <c r="C326" s="99">
        <v>2.78</v>
      </c>
      <c r="D326" s="99">
        <f t="shared" si="44"/>
        <v>-4.0000000000000036</v>
      </c>
      <c r="E326" s="99">
        <f t="shared" si="45"/>
        <v>0.39843632887219732</v>
      </c>
      <c r="F326" s="99">
        <f t="shared" si="46"/>
        <v>1.349</v>
      </c>
      <c r="G326" s="99">
        <f t="shared" si="47"/>
        <v>1.3554823676309318</v>
      </c>
      <c r="H326" s="99" t="str">
        <f t="shared" si="48"/>
        <v/>
      </c>
      <c r="I326" s="99" t="str">
        <f t="shared" si="49"/>
        <v/>
      </c>
      <c r="J326" s="99" t="str">
        <f t="shared" si="50"/>
        <v/>
      </c>
      <c r="K326" s="99" t="str">
        <f t="shared" si="51"/>
        <v/>
      </c>
      <c r="L326" s="99" t="str">
        <f t="shared" si="52"/>
        <v/>
      </c>
      <c r="M326" s="106">
        <f>IF(D326="","",ABS(D326-G$5))</f>
        <v>4.0000000000000036</v>
      </c>
    </row>
    <row r="327" spans="2:13" ht="13.5" customHeight="1" x14ac:dyDescent="0.55000000000000004">
      <c r="B327" s="94">
        <v>44285</v>
      </c>
      <c r="C327" s="99">
        <v>2.77</v>
      </c>
      <c r="D327" s="99">
        <f t="shared" si="44"/>
        <v>-0.99999999999997868</v>
      </c>
      <c r="E327" s="99">
        <f t="shared" si="45"/>
        <v>0.11579972233777029</v>
      </c>
      <c r="F327" s="99">
        <f t="shared" si="46"/>
        <v>0.3372499999999925</v>
      </c>
      <c r="G327" s="99">
        <f t="shared" si="47"/>
        <v>0.41172629123032345</v>
      </c>
      <c r="H327" s="99" t="str">
        <f t="shared" si="48"/>
        <v/>
      </c>
      <c r="I327" s="99" t="str">
        <f t="shared" si="49"/>
        <v/>
      </c>
      <c r="J327" s="99" t="str">
        <f t="shared" si="50"/>
        <v/>
      </c>
      <c r="K327" s="99" t="str">
        <f t="shared" si="51"/>
        <v/>
      </c>
      <c r="L327" s="99" t="str">
        <f t="shared" si="52"/>
        <v/>
      </c>
      <c r="M327" s="106">
        <f>IF(D327="","",ABS(D327-G$5))</f>
        <v>0.99999999999997868</v>
      </c>
    </row>
    <row r="328" spans="2:13" ht="13.5" customHeight="1" x14ac:dyDescent="0.55000000000000004">
      <c r="B328" s="94">
        <v>44286</v>
      </c>
      <c r="C328" s="99">
        <v>2.79</v>
      </c>
      <c r="D328" s="99">
        <f t="shared" si="44"/>
        <v>2.0000000000000018</v>
      </c>
      <c r="E328" s="99">
        <f t="shared" si="45"/>
        <v>0.16683688419665252</v>
      </c>
      <c r="F328" s="99">
        <f t="shared" si="46"/>
        <v>0.67449999999999999</v>
      </c>
      <c r="G328" s="99">
        <f t="shared" si="47"/>
        <v>0.61340010452575899</v>
      </c>
      <c r="H328" s="99" t="str">
        <f t="shared" si="48"/>
        <v/>
      </c>
      <c r="I328" s="99" t="str">
        <f t="shared" si="49"/>
        <v/>
      </c>
      <c r="J328" s="99" t="str">
        <f t="shared" si="50"/>
        <v/>
      </c>
      <c r="K328" s="99" t="str">
        <f t="shared" si="51"/>
        <v/>
      </c>
      <c r="L328" s="99" t="str">
        <f t="shared" si="52"/>
        <v/>
      </c>
      <c r="M328" s="106">
        <f>IF(D328="","",ABS(D328-G$5))</f>
        <v>2.0000000000000018</v>
      </c>
    </row>
    <row r="329" spans="2:13" ht="13.5" customHeight="1" x14ac:dyDescent="0.55000000000000004">
      <c r="B329" s="94">
        <v>44287</v>
      </c>
      <c r="C329" s="99">
        <v>2.74</v>
      </c>
      <c r="D329" s="99">
        <f t="shared" si="44"/>
        <v>-4.9999999999999822</v>
      </c>
      <c r="E329" s="99">
        <f t="shared" si="45"/>
        <v>0.49264853105033685</v>
      </c>
      <c r="F329" s="99">
        <f t="shared" si="46"/>
        <v>1.6862499999999925</v>
      </c>
      <c r="G329" s="99">
        <f t="shared" si="47"/>
        <v>1.6344659641151418</v>
      </c>
      <c r="H329" s="99" t="str">
        <f t="shared" si="48"/>
        <v/>
      </c>
      <c r="I329" s="99" t="str">
        <f t="shared" si="49"/>
        <v/>
      </c>
      <c r="J329" s="99" t="str">
        <f t="shared" si="50"/>
        <v/>
      </c>
      <c r="K329" s="99" t="str">
        <f t="shared" si="51"/>
        <v/>
      </c>
      <c r="L329" s="99" t="str">
        <f t="shared" si="52"/>
        <v/>
      </c>
      <c r="M329" s="106">
        <f>IF(D329="","",ABS(D329-G$5))</f>
        <v>4.9999999999999822</v>
      </c>
    </row>
    <row r="330" spans="2:13" ht="13.5" customHeight="1" x14ac:dyDescent="0.55000000000000004">
      <c r="B330" s="94">
        <v>44291</v>
      </c>
      <c r="C330" s="99">
        <v>2.71</v>
      </c>
      <c r="D330" s="99">
        <f t="shared" si="44"/>
        <v>-3.0000000000000249</v>
      </c>
      <c r="E330" s="99">
        <f t="shared" si="45"/>
        <v>0.30422412669405774</v>
      </c>
      <c r="F330" s="99">
        <f t="shared" si="46"/>
        <v>1.0117500000000075</v>
      </c>
      <c r="G330" s="99">
        <f t="shared" si="47"/>
        <v>1.0083834789866626</v>
      </c>
      <c r="H330" s="99" t="str">
        <f t="shared" si="48"/>
        <v/>
      </c>
      <c r="I330" s="99" t="str">
        <f t="shared" si="49"/>
        <v/>
      </c>
      <c r="J330" s="99" t="str">
        <f t="shared" si="50"/>
        <v/>
      </c>
      <c r="K330" s="99" t="str">
        <f t="shared" si="51"/>
        <v/>
      </c>
      <c r="L330" s="99" t="str">
        <f t="shared" si="52"/>
        <v/>
      </c>
      <c r="M330" s="106">
        <f>IF(D330="","",ABS(D330-G$5))</f>
        <v>3.0000000000000249</v>
      </c>
    </row>
    <row r="331" spans="2:13" ht="13.5" customHeight="1" x14ac:dyDescent="0.55000000000000004">
      <c r="B331" s="94">
        <v>44292</v>
      </c>
      <c r="C331" s="99">
        <v>2.72</v>
      </c>
      <c r="D331" s="99">
        <f t="shared" si="44"/>
        <v>1.0000000000000231</v>
      </c>
      <c r="E331" s="99">
        <f t="shared" si="45"/>
        <v>7.2624682018512965E-2</v>
      </c>
      <c r="F331" s="99">
        <f t="shared" si="46"/>
        <v>0.33725000000000749</v>
      </c>
      <c r="G331" s="99">
        <f t="shared" si="47"/>
        <v>0.25293062639708819</v>
      </c>
      <c r="H331" s="99" t="str">
        <f t="shared" si="48"/>
        <v/>
      </c>
      <c r="I331" s="99" t="str">
        <f t="shared" si="49"/>
        <v/>
      </c>
      <c r="J331" s="99" t="str">
        <f t="shared" si="50"/>
        <v/>
      </c>
      <c r="K331" s="99" t="str">
        <f t="shared" si="51"/>
        <v/>
      </c>
      <c r="L331" s="99" t="str">
        <f t="shared" si="52"/>
        <v/>
      </c>
      <c r="M331" s="106">
        <f>IF(D331="","",ABS(D331-G$5))</f>
        <v>1.0000000000000231</v>
      </c>
    </row>
    <row r="332" spans="2:13" ht="13.5" customHeight="1" x14ac:dyDescent="0.55000000000000004">
      <c r="B332" s="94">
        <v>44293</v>
      </c>
      <c r="C332" s="99">
        <v>2.71</v>
      </c>
      <c r="D332" s="99">
        <f t="shared" si="44"/>
        <v>-1.0000000000000231</v>
      </c>
      <c r="E332" s="99">
        <f t="shared" si="45"/>
        <v>0.11579972233777447</v>
      </c>
      <c r="F332" s="99">
        <f t="shared" si="46"/>
        <v>0.33725000000000749</v>
      </c>
      <c r="G332" s="99">
        <f t="shared" si="47"/>
        <v>0.42132204798362216</v>
      </c>
      <c r="H332" s="99" t="str">
        <f t="shared" si="48"/>
        <v/>
      </c>
      <c r="I332" s="99" t="str">
        <f t="shared" si="49"/>
        <v/>
      </c>
      <c r="J332" s="99" t="str">
        <f t="shared" si="50"/>
        <v/>
      </c>
      <c r="K332" s="99" t="str">
        <f t="shared" si="51"/>
        <v/>
      </c>
      <c r="L332" s="99" t="str">
        <f t="shared" si="52"/>
        <v/>
      </c>
      <c r="M332" s="106">
        <f>IF(D332="","",ABS(D332-G$5))</f>
        <v>1.0000000000000231</v>
      </c>
    </row>
    <row r="333" spans="2:13" ht="13.5" customHeight="1" x14ac:dyDescent="0.55000000000000004">
      <c r="B333" s="94">
        <v>44294</v>
      </c>
      <c r="C333" s="99">
        <v>2.67</v>
      </c>
      <c r="D333" s="99">
        <f t="shared" si="44"/>
        <v>-4.0000000000000036</v>
      </c>
      <c r="E333" s="99">
        <f t="shared" si="45"/>
        <v>0.39843632887219732</v>
      </c>
      <c r="F333" s="99">
        <f t="shared" si="46"/>
        <v>1.349</v>
      </c>
      <c r="G333" s="99">
        <f t="shared" si="47"/>
        <v>1.3758611135035841</v>
      </c>
      <c r="H333" s="99" t="str">
        <f t="shared" si="48"/>
        <v/>
      </c>
      <c r="I333" s="99" t="str">
        <f t="shared" si="49"/>
        <v/>
      </c>
      <c r="J333" s="99" t="str">
        <f t="shared" si="50"/>
        <v/>
      </c>
      <c r="K333" s="99" t="str">
        <f t="shared" si="51"/>
        <v/>
      </c>
      <c r="L333" s="99" t="str">
        <f t="shared" si="52"/>
        <v/>
      </c>
      <c r="M333" s="106">
        <f>IF(D333="","",ABS(D333-G$5))</f>
        <v>4.0000000000000036</v>
      </c>
    </row>
    <row r="334" spans="2:13" ht="13.5" customHeight="1" x14ac:dyDescent="0.55000000000000004">
      <c r="B334" s="94">
        <v>44295</v>
      </c>
      <c r="C334" s="99">
        <v>2.65</v>
      </c>
      <c r="D334" s="99">
        <f t="shared" si="44"/>
        <v>-2.0000000000000018</v>
      </c>
      <c r="E334" s="99">
        <f t="shared" si="45"/>
        <v>0.21001192451591399</v>
      </c>
      <c r="F334" s="99">
        <f t="shared" si="46"/>
        <v>0.67449999999999999</v>
      </c>
      <c r="G334" s="99">
        <f t="shared" si="47"/>
        <v>0.74302969115977879</v>
      </c>
      <c r="H334" s="99" t="str">
        <f t="shared" si="48"/>
        <v/>
      </c>
      <c r="I334" s="99" t="str">
        <f t="shared" si="49"/>
        <v/>
      </c>
      <c r="J334" s="99" t="str">
        <f t="shared" si="50"/>
        <v/>
      </c>
      <c r="K334" s="99" t="str">
        <f t="shared" si="51"/>
        <v/>
      </c>
      <c r="L334" s="99" t="str">
        <f t="shared" si="52"/>
        <v/>
      </c>
      <c r="M334" s="106">
        <f>IF(D334="","",ABS(D334-G$5))</f>
        <v>2.0000000000000018</v>
      </c>
    </row>
    <row r="335" spans="2:13" ht="13.5" customHeight="1" x14ac:dyDescent="0.55000000000000004">
      <c r="B335" s="94">
        <v>44298</v>
      </c>
      <c r="C335" s="99">
        <v>2.64</v>
      </c>
      <c r="D335" s="99">
        <f t="shared" si="44"/>
        <v>-0.99999999999997868</v>
      </c>
      <c r="E335" s="99">
        <f t="shared" si="45"/>
        <v>0.11579972233777029</v>
      </c>
      <c r="F335" s="99">
        <f t="shared" si="46"/>
        <v>0.3372499999999925</v>
      </c>
      <c r="G335" s="99">
        <f t="shared" si="47"/>
        <v>0.42789362512186557</v>
      </c>
      <c r="H335" s="99" t="str">
        <f t="shared" si="48"/>
        <v/>
      </c>
      <c r="I335" s="99" t="str">
        <f t="shared" si="49"/>
        <v/>
      </c>
      <c r="J335" s="99" t="str">
        <f t="shared" si="50"/>
        <v/>
      </c>
      <c r="K335" s="99" t="str">
        <f t="shared" si="51"/>
        <v/>
      </c>
      <c r="L335" s="99" t="str">
        <f t="shared" si="52"/>
        <v/>
      </c>
      <c r="M335" s="106">
        <f>IF(D335="","",ABS(D335-G$5))</f>
        <v>0.99999999999997868</v>
      </c>
    </row>
    <row r="336" spans="2:13" ht="13.5" customHeight="1" x14ac:dyDescent="0.55000000000000004">
      <c r="B336" s="94">
        <v>44299</v>
      </c>
      <c r="C336" s="99">
        <v>2.62</v>
      </c>
      <c r="D336" s="99">
        <f t="shared" si="44"/>
        <v>-2.0000000000000018</v>
      </c>
      <c r="E336" s="99">
        <f t="shared" si="45"/>
        <v>0.21001192451591399</v>
      </c>
      <c r="F336" s="99">
        <f t="shared" si="46"/>
        <v>0.67449999999999999</v>
      </c>
      <c r="G336" s="99">
        <f t="shared" si="47"/>
        <v>0.79192993845279225</v>
      </c>
      <c r="H336" s="99" t="str">
        <f t="shared" si="48"/>
        <v/>
      </c>
      <c r="I336" s="99" t="str">
        <f t="shared" si="49"/>
        <v/>
      </c>
      <c r="J336" s="99" t="str">
        <f t="shared" si="50"/>
        <v/>
      </c>
      <c r="K336" s="99" t="str">
        <f t="shared" si="51"/>
        <v/>
      </c>
      <c r="L336" s="99" t="str">
        <f t="shared" si="52"/>
        <v/>
      </c>
      <c r="M336" s="106">
        <f>IF(D336="","",ABS(D336-G$5))</f>
        <v>2.0000000000000018</v>
      </c>
    </row>
    <row r="337" spans="2:13" ht="13.5" customHeight="1" x14ac:dyDescent="0.55000000000000004">
      <c r="B337" s="94">
        <v>44300</v>
      </c>
      <c r="C337" s="99">
        <v>2.61</v>
      </c>
      <c r="D337" s="99">
        <f t="shared" si="44"/>
        <v>-1.0000000000000231</v>
      </c>
      <c r="E337" s="99">
        <f t="shared" si="45"/>
        <v>0.11579972233777447</v>
      </c>
      <c r="F337" s="99">
        <f t="shared" si="46"/>
        <v>0.33725000000000749</v>
      </c>
      <c r="G337" s="99">
        <f t="shared" si="47"/>
        <v>0.45548758997118499</v>
      </c>
      <c r="H337" s="99" t="str">
        <f t="shared" si="48"/>
        <v/>
      </c>
      <c r="I337" s="99" t="str">
        <f t="shared" si="49"/>
        <v/>
      </c>
      <c r="J337" s="99" t="str">
        <f t="shared" si="50"/>
        <v/>
      </c>
      <c r="K337" s="99" t="str">
        <f t="shared" si="51"/>
        <v/>
      </c>
      <c r="L337" s="99" t="str">
        <f t="shared" si="52"/>
        <v/>
      </c>
      <c r="M337" s="106">
        <f>IF(D337="","",ABS(D337-G$5))</f>
        <v>1.0000000000000231</v>
      </c>
    </row>
    <row r="338" spans="2:13" ht="13.5" customHeight="1" x14ac:dyDescent="0.55000000000000004">
      <c r="B338" s="94">
        <v>44301</v>
      </c>
      <c r="C338" s="99">
        <v>2.6</v>
      </c>
      <c r="D338" s="99">
        <f t="shared" si="44"/>
        <v>-0.99999999999997868</v>
      </c>
      <c r="E338" s="99">
        <f t="shared" si="45"/>
        <v>0.11579972233777029</v>
      </c>
      <c r="F338" s="99">
        <f t="shared" si="46"/>
        <v>0.3372499999999925</v>
      </c>
      <c r="G338" s="99">
        <f t="shared" si="47"/>
        <v>0.47468599378979193</v>
      </c>
      <c r="H338" s="99" t="str">
        <f t="shared" si="48"/>
        <v/>
      </c>
      <c r="I338" s="99" t="str">
        <f t="shared" si="49"/>
        <v/>
      </c>
      <c r="J338" s="99" t="str">
        <f t="shared" si="50"/>
        <v/>
      </c>
      <c r="K338" s="99" t="str">
        <f t="shared" si="51"/>
        <v/>
      </c>
      <c r="L338" s="99" t="str">
        <f t="shared" si="52"/>
        <v/>
      </c>
      <c r="M338" s="106">
        <f>IF(D338="","",ABS(D338-G$5))</f>
        <v>0.99999999999997868</v>
      </c>
    </row>
    <row r="339" spans="2:13" ht="13.5" customHeight="1" x14ac:dyDescent="0.55000000000000004">
      <c r="B339" s="94">
        <v>44302</v>
      </c>
      <c r="C339" s="99">
        <v>2.6</v>
      </c>
      <c r="D339" s="99">
        <f t="shared" si="44"/>
        <v>0</v>
      </c>
      <c r="E339" s="99">
        <f t="shared" si="45"/>
        <v>2.1587520159630759E-2</v>
      </c>
      <c r="F339" s="99">
        <f t="shared" si="46"/>
        <v>0</v>
      </c>
      <c r="G339" s="99">
        <f t="shared" si="47"/>
        <v>9.3237698948169342E-2</v>
      </c>
      <c r="H339" s="99" t="str">
        <f t="shared" si="48"/>
        <v/>
      </c>
      <c r="I339" s="99" t="str">
        <f t="shared" si="49"/>
        <v/>
      </c>
      <c r="J339" s="99" t="str">
        <f t="shared" si="50"/>
        <v/>
      </c>
      <c r="K339" s="99" t="str">
        <f t="shared" si="51"/>
        <v/>
      </c>
      <c r="L339" s="99" t="str">
        <f t="shared" si="52"/>
        <v>STALE</v>
      </c>
      <c r="M339" s="106">
        <f>IF(D339="","",ABS(D339-G$5))</f>
        <v>0</v>
      </c>
    </row>
    <row r="340" spans="2:13" ht="13.5" customHeight="1" x14ac:dyDescent="0.55000000000000004">
      <c r="B340" s="94">
        <v>44305</v>
      </c>
      <c r="C340" s="99">
        <v>2.6</v>
      </c>
      <c r="D340" s="99">
        <f t="shared" si="44"/>
        <v>0</v>
      </c>
      <c r="E340" s="99">
        <f t="shared" si="45"/>
        <v>2.1587520159630759E-2</v>
      </c>
      <c r="F340" s="99">
        <f t="shared" si="46"/>
        <v>0</v>
      </c>
      <c r="G340" s="99">
        <f t="shared" si="47"/>
        <v>9.8233732706584795E-2</v>
      </c>
      <c r="H340" s="99" t="str">
        <f t="shared" si="48"/>
        <v/>
      </c>
      <c r="I340" s="99" t="str">
        <f t="shared" si="49"/>
        <v/>
      </c>
      <c r="J340" s="99" t="str">
        <f t="shared" si="50"/>
        <v/>
      </c>
      <c r="K340" s="99" t="str">
        <f t="shared" si="51"/>
        <v/>
      </c>
      <c r="L340" s="99" t="str">
        <f t="shared" si="52"/>
        <v>STALE</v>
      </c>
      <c r="M340" s="106">
        <f>IF(D340="","",ABS(D340-G$5))</f>
        <v>0</v>
      </c>
    </row>
    <row r="341" spans="2:13" ht="13.5" customHeight="1" x14ac:dyDescent="0.55000000000000004">
      <c r="B341" s="94">
        <v>44306</v>
      </c>
      <c r="C341" s="99">
        <v>2.62</v>
      </c>
      <c r="D341" s="99">
        <f t="shared" si="44"/>
        <v>2.0000000000000018</v>
      </c>
      <c r="E341" s="99">
        <f t="shared" si="45"/>
        <v>0.16683688419665252</v>
      </c>
      <c r="F341" s="99">
        <f t="shared" si="46"/>
        <v>0.67449999999999999</v>
      </c>
      <c r="G341" s="99">
        <f t="shared" si="47"/>
        <v>0.77579959023959932</v>
      </c>
      <c r="H341" s="99" t="str">
        <f t="shared" si="48"/>
        <v/>
      </c>
      <c r="I341" s="99" t="str">
        <f t="shared" si="49"/>
        <v/>
      </c>
      <c r="J341" s="99" t="str">
        <f t="shared" si="50"/>
        <v/>
      </c>
      <c r="K341" s="99" t="str">
        <f t="shared" si="51"/>
        <v/>
      </c>
      <c r="L341" s="99" t="str">
        <f t="shared" si="52"/>
        <v/>
      </c>
      <c r="M341" s="106">
        <f>IF(D341="","",ABS(D341-G$5))</f>
        <v>2.0000000000000018</v>
      </c>
    </row>
    <row r="342" spans="2:13" ht="13.5" customHeight="1" x14ac:dyDescent="0.55000000000000004">
      <c r="B342" s="94">
        <v>44307</v>
      </c>
      <c r="C342" s="99">
        <v>2.62</v>
      </c>
      <c r="D342" s="99">
        <f t="shared" si="44"/>
        <v>0</v>
      </c>
      <c r="E342" s="99">
        <f t="shared" si="45"/>
        <v>2.1587520159630759E-2</v>
      </c>
      <c r="F342" s="99">
        <f t="shared" si="46"/>
        <v>0</v>
      </c>
      <c r="G342" s="99">
        <f t="shared" si="47"/>
        <v>0.1057538011515274</v>
      </c>
      <c r="H342" s="99" t="str">
        <f t="shared" si="48"/>
        <v/>
      </c>
      <c r="I342" s="99" t="str">
        <f t="shared" si="49"/>
        <v/>
      </c>
      <c r="J342" s="99" t="str">
        <f t="shared" si="50"/>
        <v/>
      </c>
      <c r="K342" s="99" t="str">
        <f t="shared" si="51"/>
        <v/>
      </c>
      <c r="L342" s="99" t="str">
        <f t="shared" si="52"/>
        <v>STALE</v>
      </c>
      <c r="M342" s="106">
        <f>IF(D342="","",ABS(D342-G$5))</f>
        <v>0</v>
      </c>
    </row>
    <row r="343" spans="2:13" ht="13.5" customHeight="1" x14ac:dyDescent="0.55000000000000004">
      <c r="B343" s="94">
        <v>44308</v>
      </c>
      <c r="C343" s="99">
        <v>2.65</v>
      </c>
      <c r="D343" s="99">
        <f t="shared" si="44"/>
        <v>2.9999999999999805</v>
      </c>
      <c r="E343" s="99">
        <f t="shared" si="45"/>
        <v>0.26104908637479202</v>
      </c>
      <c r="F343" s="99">
        <f t="shared" si="46"/>
        <v>1.0117499999999926</v>
      </c>
      <c r="G343" s="99">
        <f t="shared" si="47"/>
        <v>1.2400464946949201</v>
      </c>
      <c r="H343" s="99" t="str">
        <f t="shared" si="48"/>
        <v/>
      </c>
      <c r="I343" s="99" t="str">
        <f t="shared" si="49"/>
        <v/>
      </c>
      <c r="J343" s="99" t="str">
        <f t="shared" si="50"/>
        <v/>
      </c>
      <c r="K343" s="99" t="str">
        <f t="shared" si="51"/>
        <v/>
      </c>
      <c r="L343" s="99" t="str">
        <f t="shared" si="52"/>
        <v/>
      </c>
      <c r="M343" s="106">
        <f>IF(D343="","",ABS(D343-G$5))</f>
        <v>2.9999999999999805</v>
      </c>
    </row>
    <row r="344" spans="2:13" ht="13.5" customHeight="1" x14ac:dyDescent="0.55000000000000004">
      <c r="B344" s="94">
        <v>44309</v>
      </c>
      <c r="C344" s="99">
        <v>2.63</v>
      </c>
      <c r="D344" s="99">
        <f t="shared" si="44"/>
        <v>-2.0000000000000018</v>
      </c>
      <c r="E344" s="99">
        <f t="shared" si="45"/>
        <v>0.21001192451591399</v>
      </c>
      <c r="F344" s="99">
        <f t="shared" si="46"/>
        <v>0.67449999999999999</v>
      </c>
      <c r="G344" s="99">
        <f t="shared" si="47"/>
        <v>0.99784606175877777</v>
      </c>
      <c r="H344" s="99" t="str">
        <f t="shared" si="48"/>
        <v/>
      </c>
      <c r="I344" s="99" t="str">
        <f t="shared" si="49"/>
        <v/>
      </c>
      <c r="J344" s="99" t="str">
        <f t="shared" si="50"/>
        <v/>
      </c>
      <c r="K344" s="99" t="str">
        <f t="shared" si="51"/>
        <v/>
      </c>
      <c r="L344" s="99" t="str">
        <f t="shared" si="52"/>
        <v/>
      </c>
      <c r="M344" s="106">
        <f>IF(D344="","",ABS(D344-G$5))</f>
        <v>2.0000000000000018</v>
      </c>
    </row>
    <row r="345" spans="2:13" ht="13.5" customHeight="1" x14ac:dyDescent="0.55000000000000004">
      <c r="B345" s="94">
        <v>44312</v>
      </c>
      <c r="C345" s="99">
        <v>2.59</v>
      </c>
      <c r="D345" s="99">
        <f t="shared" si="44"/>
        <v>-4.0000000000000036</v>
      </c>
      <c r="E345" s="99">
        <f t="shared" si="45"/>
        <v>0.39843632887219732</v>
      </c>
      <c r="F345" s="99">
        <f t="shared" si="46"/>
        <v>1.349</v>
      </c>
      <c r="G345" s="99">
        <f t="shared" si="47"/>
        <v>1.6876047070799052</v>
      </c>
      <c r="H345" s="99" t="str">
        <f t="shared" si="48"/>
        <v/>
      </c>
      <c r="I345" s="99" t="str">
        <f t="shared" si="49"/>
        <v/>
      </c>
      <c r="J345" s="99" t="str">
        <f t="shared" si="50"/>
        <v/>
      </c>
      <c r="K345" s="99" t="str">
        <f t="shared" si="51"/>
        <v/>
      </c>
      <c r="L345" s="99" t="str">
        <f t="shared" si="52"/>
        <v/>
      </c>
      <c r="M345" s="106">
        <f>IF(D345="","",ABS(D345-G$5))</f>
        <v>4.0000000000000036</v>
      </c>
    </row>
    <row r="346" spans="2:13" ht="13.5" customHeight="1" x14ac:dyDescent="0.55000000000000004">
      <c r="B346" s="94">
        <v>44313</v>
      </c>
      <c r="C346" s="99">
        <v>2.58</v>
      </c>
      <c r="D346" s="99">
        <f t="shared" si="44"/>
        <v>-0.99999999999997868</v>
      </c>
      <c r="E346" s="99">
        <f t="shared" si="45"/>
        <v>0.11579972233777029</v>
      </c>
      <c r="F346" s="99">
        <f t="shared" si="46"/>
        <v>0.3372499999999925</v>
      </c>
      <c r="G346" s="99">
        <f t="shared" si="47"/>
        <v>0.51023467850241633</v>
      </c>
      <c r="H346" s="99" t="str">
        <f t="shared" si="48"/>
        <v/>
      </c>
      <c r="I346" s="99" t="str">
        <f t="shared" si="49"/>
        <v/>
      </c>
      <c r="J346" s="99" t="str">
        <f t="shared" si="50"/>
        <v/>
      </c>
      <c r="K346" s="99" t="str">
        <f t="shared" si="51"/>
        <v/>
      </c>
      <c r="L346" s="99" t="str">
        <f t="shared" si="52"/>
        <v/>
      </c>
      <c r="M346" s="106">
        <f>IF(D346="","",ABS(D346-G$5))</f>
        <v>0.99999999999997868</v>
      </c>
    </row>
    <row r="347" spans="2:13" ht="13.5" customHeight="1" x14ac:dyDescent="0.55000000000000004">
      <c r="B347" s="94">
        <v>44314</v>
      </c>
      <c r="C347" s="99">
        <v>2.57</v>
      </c>
      <c r="D347" s="99">
        <f t="shared" ref="D347:D410" si="53">IF(OR(C347="",C346=""),"",(C347-C346)*100)</f>
        <v>-1.0000000000000231</v>
      </c>
      <c r="E347" s="99">
        <f t="shared" ref="E347:E410" si="54">IF(D347="","",ABS(D347-$E$5)/$F$5)</f>
        <v>0.11579972233777447</v>
      </c>
      <c r="F347" s="99">
        <f t="shared" ref="F347:F410" si="55">IF(D347="","",ABS(D347-$G$5)/$H$5)</f>
        <v>0.33725000000000749</v>
      </c>
      <c r="G347" s="99">
        <f t="shared" ref="G347:G410" si="56">IF(D347="","",ABS(D347-$E$5)/SQRT(0.9*(IF(G346="",($F$5)^2,(ABS(D346-$E$5)/MAX(G346,0.0000000001))^2))+0.1*(D347-$E$5)^2))</f>
        <v>0.53022050580496982</v>
      </c>
      <c r="H347" s="99" t="str">
        <f t="shared" ref="H347:H410" si="57">IF(E347="","",IF(E347&gt;$I$5,"OUTLIER",""))</f>
        <v/>
      </c>
      <c r="I347" s="99" t="str">
        <f t="shared" ref="I347:I410" si="58">IF(F347="","",IF(F347&gt;$I$5,"OUTLIER",""))</f>
        <v/>
      </c>
      <c r="J347" s="99" t="str">
        <f t="shared" ref="J347:J410" si="59">IF(G347="","",IF(G347&gt;$I$5,"OUTLIER",""))</f>
        <v/>
      </c>
      <c r="K347" s="99" t="str">
        <f t="shared" ref="K347:K410" si="60">IF(C347="","MISSING","")</f>
        <v/>
      </c>
      <c r="L347" s="99" t="str">
        <f t="shared" ref="L347:L410" si="61">IF(AND(C347&lt;&gt;"",C346&lt;&gt;"",C347=C346),"STALE","")</f>
        <v/>
      </c>
      <c r="M347" s="106">
        <f>IF(D347="","",ABS(D347-G$5))</f>
        <v>1.0000000000000231</v>
      </c>
    </row>
    <row r="348" spans="2:13" ht="13.5" customHeight="1" x14ac:dyDescent="0.55000000000000004">
      <c r="B348" s="94">
        <v>44315</v>
      </c>
      <c r="C348" s="99">
        <v>2.5499999999999998</v>
      </c>
      <c r="D348" s="99">
        <f t="shared" si="53"/>
        <v>-2.0000000000000018</v>
      </c>
      <c r="E348" s="99">
        <f t="shared" si="54"/>
        <v>0.21001192451591399</v>
      </c>
      <c r="F348" s="99">
        <f t="shared" si="55"/>
        <v>0.67449999999999999</v>
      </c>
      <c r="G348" s="99">
        <f t="shared" si="56"/>
        <v>0.96523921685219871</v>
      </c>
      <c r="H348" s="99" t="str">
        <f t="shared" si="57"/>
        <v/>
      </c>
      <c r="I348" s="99" t="str">
        <f t="shared" si="58"/>
        <v/>
      </c>
      <c r="J348" s="99" t="str">
        <f t="shared" si="59"/>
        <v/>
      </c>
      <c r="K348" s="99" t="str">
        <f t="shared" si="60"/>
        <v/>
      </c>
      <c r="L348" s="99" t="str">
        <f t="shared" si="61"/>
        <v/>
      </c>
      <c r="M348" s="106">
        <f>IF(D348="","",ABS(D348-G$5))</f>
        <v>2.0000000000000018</v>
      </c>
    </row>
    <row r="349" spans="2:13" ht="13.5" customHeight="1" x14ac:dyDescent="0.55000000000000004">
      <c r="B349" s="94">
        <v>44316</v>
      </c>
      <c r="C349" s="99">
        <v>2.57</v>
      </c>
      <c r="D349" s="99">
        <f t="shared" si="53"/>
        <v>2.0000000000000018</v>
      </c>
      <c r="E349" s="99">
        <f t="shared" si="54"/>
        <v>0.16683688419665252</v>
      </c>
      <c r="F349" s="99">
        <f t="shared" si="55"/>
        <v>0.67449999999999999</v>
      </c>
      <c r="G349" s="99">
        <f t="shared" si="56"/>
        <v>0.78310393163904546</v>
      </c>
      <c r="H349" s="99" t="str">
        <f t="shared" si="57"/>
        <v/>
      </c>
      <c r="I349" s="99" t="str">
        <f t="shared" si="58"/>
        <v/>
      </c>
      <c r="J349" s="99" t="str">
        <f t="shared" si="59"/>
        <v/>
      </c>
      <c r="K349" s="99" t="str">
        <f t="shared" si="60"/>
        <v/>
      </c>
      <c r="L349" s="99" t="str">
        <f t="shared" si="61"/>
        <v/>
      </c>
      <c r="M349" s="106">
        <f>IF(D349="","",ABS(D349-G$5))</f>
        <v>2.0000000000000018</v>
      </c>
    </row>
    <row r="350" spans="2:13" ht="13.5" customHeight="1" x14ac:dyDescent="0.55000000000000004">
      <c r="B350" s="94">
        <v>44319</v>
      </c>
      <c r="C350" s="99">
        <v>2.5499999999999998</v>
      </c>
      <c r="D350" s="99">
        <f t="shared" si="53"/>
        <v>-2.0000000000000018</v>
      </c>
      <c r="E350" s="99">
        <f t="shared" si="54"/>
        <v>0.21001192451591399</v>
      </c>
      <c r="F350" s="99">
        <f t="shared" si="55"/>
        <v>0.67449999999999999</v>
      </c>
      <c r="G350" s="99">
        <f t="shared" si="56"/>
        <v>0.98715688996331952</v>
      </c>
      <c r="H350" s="99" t="str">
        <f t="shared" si="57"/>
        <v/>
      </c>
      <c r="I350" s="99" t="str">
        <f t="shared" si="58"/>
        <v/>
      </c>
      <c r="J350" s="99" t="str">
        <f t="shared" si="59"/>
        <v/>
      </c>
      <c r="K350" s="99" t="str">
        <f t="shared" si="60"/>
        <v/>
      </c>
      <c r="L350" s="99" t="str">
        <f t="shared" si="61"/>
        <v/>
      </c>
      <c r="M350" s="106">
        <f>IF(D350="","",ABS(D350-G$5))</f>
        <v>2.0000000000000018</v>
      </c>
    </row>
    <row r="351" spans="2:13" ht="13.5" customHeight="1" x14ac:dyDescent="0.55000000000000004">
      <c r="B351" s="94">
        <v>44320</v>
      </c>
      <c r="C351" s="99">
        <v>2.59</v>
      </c>
      <c r="D351" s="99">
        <f t="shared" si="53"/>
        <v>4.0000000000000036</v>
      </c>
      <c r="E351" s="99">
        <f t="shared" si="54"/>
        <v>0.35526128855293576</v>
      </c>
      <c r="F351" s="99">
        <f t="shared" si="55"/>
        <v>1.349</v>
      </c>
      <c r="G351" s="99">
        <f t="shared" si="56"/>
        <v>1.5380119376488135</v>
      </c>
      <c r="H351" s="99" t="str">
        <f t="shared" si="57"/>
        <v/>
      </c>
      <c r="I351" s="99" t="str">
        <f t="shared" si="58"/>
        <v/>
      </c>
      <c r="J351" s="99" t="str">
        <f t="shared" si="59"/>
        <v/>
      </c>
      <c r="K351" s="99" t="str">
        <f t="shared" si="60"/>
        <v/>
      </c>
      <c r="L351" s="99" t="str">
        <f t="shared" si="61"/>
        <v/>
      </c>
      <c r="M351" s="106">
        <f>IF(D351="","",ABS(D351-G$5))</f>
        <v>4.0000000000000036</v>
      </c>
    </row>
    <row r="352" spans="2:13" ht="13.5" customHeight="1" x14ac:dyDescent="0.55000000000000004">
      <c r="B352" s="94">
        <v>44321</v>
      </c>
      <c r="C352" s="99">
        <v>2.58</v>
      </c>
      <c r="D352" s="99">
        <f t="shared" si="53"/>
        <v>-0.99999999999997868</v>
      </c>
      <c r="E352" s="99">
        <f t="shared" si="54"/>
        <v>0.11579972233777029</v>
      </c>
      <c r="F352" s="99">
        <f t="shared" si="55"/>
        <v>0.3372499999999925</v>
      </c>
      <c r="G352" s="99">
        <f t="shared" si="56"/>
        <v>0.52121550698226959</v>
      </c>
      <c r="H352" s="99" t="str">
        <f t="shared" si="57"/>
        <v/>
      </c>
      <c r="I352" s="99" t="str">
        <f t="shared" si="58"/>
        <v/>
      </c>
      <c r="J352" s="99" t="str">
        <f t="shared" si="59"/>
        <v/>
      </c>
      <c r="K352" s="99" t="str">
        <f t="shared" si="60"/>
        <v/>
      </c>
      <c r="L352" s="99" t="str">
        <f t="shared" si="61"/>
        <v/>
      </c>
      <c r="M352" s="106">
        <f>IF(D352="","",ABS(D352-G$5))</f>
        <v>0.99999999999997868</v>
      </c>
    </row>
    <row r="353" spans="2:13" ht="13.5" customHeight="1" x14ac:dyDescent="0.55000000000000004">
      <c r="B353" s="94">
        <v>44322</v>
      </c>
      <c r="C353" s="99">
        <v>2.56</v>
      </c>
      <c r="D353" s="99">
        <f t="shared" si="53"/>
        <v>-2.0000000000000018</v>
      </c>
      <c r="E353" s="99">
        <f t="shared" si="54"/>
        <v>0.21001192451591399</v>
      </c>
      <c r="F353" s="99">
        <f t="shared" si="55"/>
        <v>0.67449999999999999</v>
      </c>
      <c r="G353" s="99">
        <f t="shared" si="56"/>
        <v>0.95033822933573175</v>
      </c>
      <c r="H353" s="99" t="str">
        <f t="shared" si="57"/>
        <v/>
      </c>
      <c r="I353" s="99" t="str">
        <f t="shared" si="58"/>
        <v/>
      </c>
      <c r="J353" s="99" t="str">
        <f t="shared" si="59"/>
        <v/>
      </c>
      <c r="K353" s="99" t="str">
        <f t="shared" si="60"/>
        <v/>
      </c>
      <c r="L353" s="99" t="str">
        <f t="shared" si="61"/>
        <v/>
      </c>
      <c r="M353" s="106">
        <f>IF(D353="","",ABS(D353-G$5))</f>
        <v>2.0000000000000018</v>
      </c>
    </row>
    <row r="354" spans="2:13" ht="13.5" customHeight="1" x14ac:dyDescent="0.55000000000000004">
      <c r="B354" s="94">
        <v>44323</v>
      </c>
      <c r="C354" s="99">
        <v>2.54</v>
      </c>
      <c r="D354" s="99">
        <f t="shared" si="53"/>
        <v>-2.0000000000000018</v>
      </c>
      <c r="E354" s="99">
        <f t="shared" si="54"/>
        <v>0.21001192451591399</v>
      </c>
      <c r="F354" s="99">
        <f t="shared" si="55"/>
        <v>0.67449999999999999</v>
      </c>
      <c r="G354" s="99">
        <f t="shared" si="56"/>
        <v>0.95497429173667081</v>
      </c>
      <c r="H354" s="99" t="str">
        <f t="shared" si="57"/>
        <v/>
      </c>
      <c r="I354" s="99" t="str">
        <f t="shared" si="58"/>
        <v/>
      </c>
      <c r="J354" s="99" t="str">
        <f t="shared" si="59"/>
        <v/>
      </c>
      <c r="K354" s="99" t="str">
        <f t="shared" si="60"/>
        <v/>
      </c>
      <c r="L354" s="99" t="str">
        <f t="shared" si="61"/>
        <v/>
      </c>
      <c r="M354" s="106">
        <f>IF(D354="","",ABS(D354-G$5))</f>
        <v>2.0000000000000018</v>
      </c>
    </row>
    <row r="355" spans="2:13" ht="13.5" customHeight="1" x14ac:dyDescent="0.55000000000000004">
      <c r="B355" s="94">
        <v>44326</v>
      </c>
      <c r="C355" s="99">
        <v>2.57</v>
      </c>
      <c r="D355" s="99">
        <f t="shared" si="53"/>
        <v>2.9999999999999805</v>
      </c>
      <c r="E355" s="99">
        <f t="shared" si="54"/>
        <v>0.26104908637479202</v>
      </c>
      <c r="F355" s="99">
        <f t="shared" si="55"/>
        <v>1.0117499999999926</v>
      </c>
      <c r="G355" s="99">
        <f t="shared" si="56"/>
        <v>1.163492126621168</v>
      </c>
      <c r="H355" s="99" t="str">
        <f t="shared" si="57"/>
        <v/>
      </c>
      <c r="I355" s="99" t="str">
        <f t="shared" si="58"/>
        <v/>
      </c>
      <c r="J355" s="99" t="str">
        <f t="shared" si="59"/>
        <v/>
      </c>
      <c r="K355" s="99" t="str">
        <f t="shared" si="60"/>
        <v/>
      </c>
      <c r="L355" s="99" t="str">
        <f t="shared" si="61"/>
        <v/>
      </c>
      <c r="M355" s="106">
        <f>IF(D355="","",ABS(D355-G$5))</f>
        <v>2.9999999999999805</v>
      </c>
    </row>
    <row r="356" spans="2:13" ht="13.5" customHeight="1" x14ac:dyDescent="0.55000000000000004">
      <c r="B356" s="94">
        <v>44327</v>
      </c>
      <c r="C356" s="99">
        <v>2.6</v>
      </c>
      <c r="D356" s="99">
        <f t="shared" si="53"/>
        <v>3.0000000000000249</v>
      </c>
      <c r="E356" s="99">
        <f t="shared" si="54"/>
        <v>0.26104908637479624</v>
      </c>
      <c r="F356" s="99">
        <f t="shared" si="55"/>
        <v>1.0117500000000075</v>
      </c>
      <c r="G356" s="99">
        <f t="shared" si="56"/>
        <v>1.1434452325292968</v>
      </c>
      <c r="H356" s="99" t="str">
        <f t="shared" si="57"/>
        <v/>
      </c>
      <c r="I356" s="99" t="str">
        <f t="shared" si="58"/>
        <v/>
      </c>
      <c r="J356" s="99" t="str">
        <f t="shared" si="59"/>
        <v/>
      </c>
      <c r="K356" s="99" t="str">
        <f t="shared" si="60"/>
        <v/>
      </c>
      <c r="L356" s="99" t="str">
        <f t="shared" si="61"/>
        <v/>
      </c>
      <c r="M356" s="106">
        <f>IF(D356="","",ABS(D356-G$5))</f>
        <v>3.0000000000000249</v>
      </c>
    </row>
    <row r="357" spans="2:13" ht="13.5" customHeight="1" x14ac:dyDescent="0.55000000000000004">
      <c r="B357" s="94">
        <v>44328</v>
      </c>
      <c r="C357" s="99">
        <v>2.64</v>
      </c>
      <c r="D357" s="99">
        <f t="shared" si="53"/>
        <v>4.0000000000000036</v>
      </c>
      <c r="E357" s="99">
        <f t="shared" si="54"/>
        <v>0.35526128855293576</v>
      </c>
      <c r="F357" s="99">
        <f t="shared" si="55"/>
        <v>1.349</v>
      </c>
      <c r="G357" s="99">
        <f t="shared" si="56"/>
        <v>1.4560616079362785</v>
      </c>
      <c r="H357" s="99" t="str">
        <f t="shared" si="57"/>
        <v/>
      </c>
      <c r="I357" s="99" t="str">
        <f t="shared" si="58"/>
        <v/>
      </c>
      <c r="J357" s="99" t="str">
        <f t="shared" si="59"/>
        <v/>
      </c>
      <c r="K357" s="99" t="str">
        <f t="shared" si="60"/>
        <v/>
      </c>
      <c r="L357" s="99" t="str">
        <f t="shared" si="61"/>
        <v/>
      </c>
      <c r="M357" s="106">
        <f>IF(D357="","",ABS(D357-G$5))</f>
        <v>4.0000000000000036</v>
      </c>
    </row>
    <row r="358" spans="2:13" ht="13.5" customHeight="1" x14ac:dyDescent="0.55000000000000004">
      <c r="B358" s="94">
        <v>44329</v>
      </c>
      <c r="C358" s="99">
        <v>2.61</v>
      </c>
      <c r="D358" s="99">
        <f t="shared" si="53"/>
        <v>-3.0000000000000249</v>
      </c>
      <c r="E358" s="99">
        <f t="shared" si="54"/>
        <v>0.30422412669405774</v>
      </c>
      <c r="F358" s="99">
        <f t="shared" si="55"/>
        <v>1.0117500000000075</v>
      </c>
      <c r="G358" s="99">
        <f t="shared" si="56"/>
        <v>1.2136745461833593</v>
      </c>
      <c r="H358" s="99" t="str">
        <f t="shared" si="57"/>
        <v/>
      </c>
      <c r="I358" s="99" t="str">
        <f t="shared" si="58"/>
        <v/>
      </c>
      <c r="J358" s="99" t="str">
        <f t="shared" si="59"/>
        <v/>
      </c>
      <c r="K358" s="99" t="str">
        <f t="shared" si="60"/>
        <v/>
      </c>
      <c r="L358" s="99" t="str">
        <f t="shared" si="61"/>
        <v/>
      </c>
      <c r="M358" s="106">
        <f>IF(D358="","",ABS(D358-G$5))</f>
        <v>3.0000000000000249</v>
      </c>
    </row>
    <row r="359" spans="2:13" ht="13.5" customHeight="1" x14ac:dyDescent="0.55000000000000004">
      <c r="B359" s="94">
        <v>44330</v>
      </c>
      <c r="C359" s="99">
        <v>2.56</v>
      </c>
      <c r="D359" s="99">
        <f t="shared" si="53"/>
        <v>-4.9999999999999822</v>
      </c>
      <c r="E359" s="99">
        <f t="shared" si="54"/>
        <v>0.49264853105033685</v>
      </c>
      <c r="F359" s="99">
        <f t="shared" si="55"/>
        <v>1.6862499999999925</v>
      </c>
      <c r="G359" s="99">
        <f t="shared" si="56"/>
        <v>1.7329244312162613</v>
      </c>
      <c r="H359" s="99" t="str">
        <f t="shared" si="57"/>
        <v/>
      </c>
      <c r="I359" s="99" t="str">
        <f t="shared" si="58"/>
        <v/>
      </c>
      <c r="J359" s="99" t="str">
        <f t="shared" si="59"/>
        <v/>
      </c>
      <c r="K359" s="99" t="str">
        <f t="shared" si="60"/>
        <v/>
      </c>
      <c r="L359" s="99" t="str">
        <f t="shared" si="61"/>
        <v/>
      </c>
      <c r="M359" s="106">
        <f>IF(D359="","",ABS(D359-G$5))</f>
        <v>4.9999999999999822</v>
      </c>
    </row>
    <row r="360" spans="2:13" ht="13.5" customHeight="1" x14ac:dyDescent="0.55000000000000004">
      <c r="B360" s="94">
        <v>44333</v>
      </c>
      <c r="C360" s="99">
        <v>2.5499999999999998</v>
      </c>
      <c r="D360" s="99">
        <f t="shared" si="53"/>
        <v>-1.0000000000000231</v>
      </c>
      <c r="E360" s="99">
        <f t="shared" si="54"/>
        <v>0.11579972233777447</v>
      </c>
      <c r="F360" s="99">
        <f t="shared" si="55"/>
        <v>0.33725000000000749</v>
      </c>
      <c r="G360" s="99">
        <f t="shared" si="56"/>
        <v>0.42546310842296026</v>
      </c>
      <c r="H360" s="99" t="str">
        <f t="shared" si="57"/>
        <v/>
      </c>
      <c r="I360" s="99" t="str">
        <f t="shared" si="58"/>
        <v/>
      </c>
      <c r="J360" s="99" t="str">
        <f t="shared" si="59"/>
        <v/>
      </c>
      <c r="K360" s="99" t="str">
        <f t="shared" si="60"/>
        <v/>
      </c>
      <c r="L360" s="99" t="str">
        <f t="shared" si="61"/>
        <v/>
      </c>
      <c r="M360" s="106">
        <f>IF(D360="","",ABS(D360-G$5))</f>
        <v>1.0000000000000231</v>
      </c>
    </row>
    <row r="361" spans="2:13" ht="13.5" customHeight="1" x14ac:dyDescent="0.55000000000000004">
      <c r="B361" s="94">
        <v>44334</v>
      </c>
      <c r="C361" s="99">
        <v>2.58</v>
      </c>
      <c r="D361" s="99">
        <f t="shared" si="53"/>
        <v>3.0000000000000249</v>
      </c>
      <c r="E361" s="99">
        <f t="shared" si="54"/>
        <v>0.26104908637479624</v>
      </c>
      <c r="F361" s="99">
        <f t="shared" si="55"/>
        <v>1.0117500000000075</v>
      </c>
      <c r="G361" s="99">
        <f t="shared" si="56"/>
        <v>0.96299124943999892</v>
      </c>
      <c r="H361" s="99" t="str">
        <f t="shared" si="57"/>
        <v/>
      </c>
      <c r="I361" s="99" t="str">
        <f t="shared" si="58"/>
        <v/>
      </c>
      <c r="J361" s="99" t="str">
        <f t="shared" si="59"/>
        <v/>
      </c>
      <c r="K361" s="99" t="str">
        <f t="shared" si="60"/>
        <v/>
      </c>
      <c r="L361" s="99" t="str">
        <f t="shared" si="61"/>
        <v/>
      </c>
      <c r="M361" s="106">
        <f>IF(D361="","",ABS(D361-G$5))</f>
        <v>3.0000000000000249</v>
      </c>
    </row>
    <row r="362" spans="2:13" ht="13.5" customHeight="1" x14ac:dyDescent="0.55000000000000004">
      <c r="B362" s="94">
        <v>44335</v>
      </c>
      <c r="C362" s="99">
        <v>2.6</v>
      </c>
      <c r="D362" s="99">
        <f t="shared" si="53"/>
        <v>2.0000000000000018</v>
      </c>
      <c r="E362" s="99">
        <f t="shared" si="54"/>
        <v>0.16683688419665252</v>
      </c>
      <c r="F362" s="99">
        <f t="shared" si="55"/>
        <v>0.67449999999999999</v>
      </c>
      <c r="G362" s="99">
        <f t="shared" si="56"/>
        <v>0.63550520405582522</v>
      </c>
      <c r="H362" s="99" t="str">
        <f t="shared" si="57"/>
        <v/>
      </c>
      <c r="I362" s="99" t="str">
        <f t="shared" si="58"/>
        <v/>
      </c>
      <c r="J362" s="99" t="str">
        <f t="shared" si="59"/>
        <v/>
      </c>
      <c r="K362" s="99" t="str">
        <f t="shared" si="60"/>
        <v/>
      </c>
      <c r="L362" s="99" t="str">
        <f t="shared" si="61"/>
        <v/>
      </c>
      <c r="M362" s="106">
        <f>IF(D362="","",ABS(D362-G$5))</f>
        <v>2.0000000000000018</v>
      </c>
    </row>
    <row r="363" spans="2:13" ht="13.5" customHeight="1" x14ac:dyDescent="0.55000000000000004">
      <c r="B363" s="94">
        <v>44336</v>
      </c>
      <c r="C363" s="99">
        <v>2.59</v>
      </c>
      <c r="D363" s="99">
        <f t="shared" si="53"/>
        <v>-1.0000000000000231</v>
      </c>
      <c r="E363" s="99">
        <f t="shared" si="54"/>
        <v>0.11579972233777447</v>
      </c>
      <c r="F363" s="99">
        <f t="shared" si="55"/>
        <v>0.33725000000000749</v>
      </c>
      <c r="G363" s="99">
        <f t="shared" si="56"/>
        <v>0.46001174332609052</v>
      </c>
      <c r="H363" s="99" t="str">
        <f t="shared" si="57"/>
        <v/>
      </c>
      <c r="I363" s="99" t="str">
        <f t="shared" si="58"/>
        <v/>
      </c>
      <c r="J363" s="99" t="str">
        <f t="shared" si="59"/>
        <v/>
      </c>
      <c r="K363" s="99" t="str">
        <f t="shared" si="60"/>
        <v/>
      </c>
      <c r="L363" s="99" t="str">
        <f t="shared" si="61"/>
        <v/>
      </c>
      <c r="M363" s="106">
        <f>IF(D363="","",ABS(D363-G$5))</f>
        <v>1.0000000000000231</v>
      </c>
    </row>
    <row r="364" spans="2:13" ht="13.5" customHeight="1" x14ac:dyDescent="0.55000000000000004">
      <c r="B364" s="94">
        <v>44337</v>
      </c>
      <c r="C364" s="99">
        <v>2.57</v>
      </c>
      <c r="D364" s="99">
        <f t="shared" si="53"/>
        <v>-2.0000000000000018</v>
      </c>
      <c r="E364" s="99">
        <f t="shared" si="54"/>
        <v>0.21001192451591399</v>
      </c>
      <c r="F364" s="99">
        <f t="shared" si="55"/>
        <v>0.67449999999999999</v>
      </c>
      <c r="G364" s="99">
        <f t="shared" si="56"/>
        <v>0.84724496993729148</v>
      </c>
      <c r="H364" s="99" t="str">
        <f t="shared" si="57"/>
        <v/>
      </c>
      <c r="I364" s="99" t="str">
        <f t="shared" si="58"/>
        <v/>
      </c>
      <c r="J364" s="99" t="str">
        <f t="shared" si="59"/>
        <v/>
      </c>
      <c r="K364" s="99" t="str">
        <f t="shared" si="60"/>
        <v/>
      </c>
      <c r="L364" s="99" t="str">
        <f t="shared" si="61"/>
        <v/>
      </c>
      <c r="M364" s="106">
        <f>IF(D364="","",ABS(D364-G$5))</f>
        <v>2.0000000000000018</v>
      </c>
    </row>
    <row r="365" spans="2:13" ht="13.5" customHeight="1" x14ac:dyDescent="0.55000000000000004">
      <c r="B365" s="94">
        <v>44340</v>
      </c>
      <c r="C365" s="99">
        <v>2.56</v>
      </c>
      <c r="D365" s="99">
        <f t="shared" si="53"/>
        <v>-0.99999999999997868</v>
      </c>
      <c r="E365" s="99">
        <f t="shared" si="54"/>
        <v>0.11579972233777029</v>
      </c>
      <c r="F365" s="99">
        <f t="shared" si="55"/>
        <v>0.3372499999999925</v>
      </c>
      <c r="G365" s="99">
        <f t="shared" si="56"/>
        <v>0.48657347418140023</v>
      </c>
      <c r="H365" s="99" t="str">
        <f t="shared" si="57"/>
        <v/>
      </c>
      <c r="I365" s="99" t="str">
        <f t="shared" si="58"/>
        <v/>
      </c>
      <c r="J365" s="99" t="str">
        <f t="shared" si="59"/>
        <v/>
      </c>
      <c r="K365" s="99" t="str">
        <f t="shared" si="60"/>
        <v/>
      </c>
      <c r="L365" s="99" t="str">
        <f t="shared" si="61"/>
        <v/>
      </c>
      <c r="M365" s="106">
        <f>IF(D365="","",ABS(D365-G$5))</f>
        <v>0.99999999999997868</v>
      </c>
    </row>
    <row r="366" spans="2:13" ht="13.5" customHeight="1" x14ac:dyDescent="0.55000000000000004">
      <c r="B366" s="94">
        <v>44341</v>
      </c>
      <c r="C366" s="99">
        <v>2.56</v>
      </c>
      <c r="D366" s="99">
        <f t="shared" si="53"/>
        <v>0</v>
      </c>
      <c r="E366" s="99">
        <f t="shared" si="54"/>
        <v>2.1587520159630759E-2</v>
      </c>
      <c r="F366" s="99">
        <f t="shared" si="55"/>
        <v>0</v>
      </c>
      <c r="G366" s="99">
        <f t="shared" si="56"/>
        <v>9.5570528104615735E-2</v>
      </c>
      <c r="H366" s="99" t="str">
        <f t="shared" si="57"/>
        <v/>
      </c>
      <c r="I366" s="99" t="str">
        <f t="shared" si="58"/>
        <v/>
      </c>
      <c r="J366" s="99" t="str">
        <f t="shared" si="59"/>
        <v/>
      </c>
      <c r="K366" s="99" t="str">
        <f t="shared" si="60"/>
        <v/>
      </c>
      <c r="L366" s="99" t="str">
        <f t="shared" si="61"/>
        <v>STALE</v>
      </c>
      <c r="M366" s="106">
        <f>IF(D366="","",ABS(D366-G$5))</f>
        <v>0</v>
      </c>
    </row>
    <row r="367" spans="2:13" ht="13.5" customHeight="1" x14ac:dyDescent="0.55000000000000004">
      <c r="B367" s="94">
        <v>44342</v>
      </c>
      <c r="C367" s="99">
        <v>2.5299999999999998</v>
      </c>
      <c r="D367" s="99">
        <f t="shared" si="53"/>
        <v>-3.0000000000000249</v>
      </c>
      <c r="E367" s="99">
        <f t="shared" si="54"/>
        <v>0.30422412669405774</v>
      </c>
      <c r="F367" s="99">
        <f t="shared" si="55"/>
        <v>1.0117500000000075</v>
      </c>
      <c r="G367" s="99">
        <f t="shared" si="56"/>
        <v>1.2951567420601307</v>
      </c>
      <c r="H367" s="99" t="str">
        <f t="shared" si="57"/>
        <v/>
      </c>
      <c r="I367" s="99" t="str">
        <f t="shared" si="58"/>
        <v/>
      </c>
      <c r="J367" s="99" t="str">
        <f t="shared" si="59"/>
        <v/>
      </c>
      <c r="K367" s="99" t="str">
        <f t="shared" si="60"/>
        <v/>
      </c>
      <c r="L367" s="99" t="str">
        <f t="shared" si="61"/>
        <v/>
      </c>
      <c r="M367" s="106">
        <f>IF(D367="","",ABS(D367-G$5))</f>
        <v>3.0000000000000249</v>
      </c>
    </row>
    <row r="368" spans="2:13" ht="13.5" customHeight="1" x14ac:dyDescent="0.55000000000000004">
      <c r="B368" s="94">
        <v>44343</v>
      </c>
      <c r="C368" s="99">
        <v>2.52</v>
      </c>
      <c r="D368" s="99">
        <f t="shared" si="53"/>
        <v>-0.99999999999997868</v>
      </c>
      <c r="E368" s="99">
        <f t="shared" si="54"/>
        <v>0.11579972233777029</v>
      </c>
      <c r="F368" s="99">
        <f t="shared" si="55"/>
        <v>0.3372499999999925</v>
      </c>
      <c r="G368" s="99">
        <f t="shared" si="56"/>
        <v>0.51277736922993011</v>
      </c>
      <c r="H368" s="99" t="str">
        <f t="shared" si="57"/>
        <v/>
      </c>
      <c r="I368" s="99" t="str">
        <f t="shared" si="58"/>
        <v/>
      </c>
      <c r="J368" s="99" t="str">
        <f t="shared" si="59"/>
        <v/>
      </c>
      <c r="K368" s="99" t="str">
        <f t="shared" si="60"/>
        <v/>
      </c>
      <c r="L368" s="99" t="str">
        <f t="shared" si="61"/>
        <v/>
      </c>
      <c r="M368" s="106">
        <f>IF(D368="","",ABS(D368-G$5))</f>
        <v>0.99999999999997868</v>
      </c>
    </row>
    <row r="369" spans="2:13" ht="13.5" customHeight="1" x14ac:dyDescent="0.55000000000000004">
      <c r="B369" s="94">
        <v>44344</v>
      </c>
      <c r="C369" s="99">
        <v>2.5299999999999998</v>
      </c>
      <c r="D369" s="99">
        <f t="shared" si="53"/>
        <v>0.99999999999997868</v>
      </c>
      <c r="E369" s="99">
        <f t="shared" si="54"/>
        <v>7.2624682018508774E-2</v>
      </c>
      <c r="F369" s="99">
        <f t="shared" si="55"/>
        <v>0.3372499999999925</v>
      </c>
      <c r="G369" s="99">
        <f t="shared" si="56"/>
        <v>0.33705692016385508</v>
      </c>
      <c r="H369" s="99" t="str">
        <f t="shared" si="57"/>
        <v/>
      </c>
      <c r="I369" s="99" t="str">
        <f t="shared" si="58"/>
        <v/>
      </c>
      <c r="J369" s="99" t="str">
        <f t="shared" si="59"/>
        <v/>
      </c>
      <c r="K369" s="99" t="str">
        <f t="shared" si="60"/>
        <v/>
      </c>
      <c r="L369" s="99" t="str">
        <f t="shared" si="61"/>
        <v/>
      </c>
      <c r="M369" s="106">
        <f>IF(D369="","",ABS(D369-G$5))</f>
        <v>0.99999999999997868</v>
      </c>
    </row>
    <row r="370" spans="2:13" ht="13.5" customHeight="1" x14ac:dyDescent="0.55000000000000004">
      <c r="B370" s="94">
        <v>44348</v>
      </c>
      <c r="C370" s="99">
        <v>2.5</v>
      </c>
      <c r="D370" s="99">
        <f t="shared" si="53"/>
        <v>-2.9999999999999805</v>
      </c>
      <c r="E370" s="99">
        <f t="shared" si="54"/>
        <v>0.30422412669405352</v>
      </c>
      <c r="F370" s="99">
        <f t="shared" si="55"/>
        <v>1.0117499999999926</v>
      </c>
      <c r="G370" s="99">
        <f t="shared" si="56"/>
        <v>1.3466162291200174</v>
      </c>
      <c r="H370" s="99" t="str">
        <f t="shared" si="57"/>
        <v/>
      </c>
      <c r="I370" s="99" t="str">
        <f t="shared" si="58"/>
        <v/>
      </c>
      <c r="J370" s="99" t="str">
        <f t="shared" si="59"/>
        <v/>
      </c>
      <c r="K370" s="99" t="str">
        <f t="shared" si="60"/>
        <v/>
      </c>
      <c r="L370" s="99" t="str">
        <f t="shared" si="61"/>
        <v/>
      </c>
      <c r="M370" s="106">
        <f>IF(D370="","",ABS(D370-G$5))</f>
        <v>2.9999999999999805</v>
      </c>
    </row>
    <row r="371" spans="2:13" ht="13.5" customHeight="1" x14ac:dyDescent="0.55000000000000004">
      <c r="B371" s="94">
        <v>44349</v>
      </c>
      <c r="C371" s="99">
        <v>2.5</v>
      </c>
      <c r="D371" s="99">
        <f t="shared" si="53"/>
        <v>0</v>
      </c>
      <c r="E371" s="99">
        <f t="shared" si="54"/>
        <v>2.1587520159630759E-2</v>
      </c>
      <c r="F371" s="99">
        <f t="shared" si="55"/>
        <v>0</v>
      </c>
      <c r="G371" s="99">
        <f t="shared" si="56"/>
        <v>0.10067265044006564</v>
      </c>
      <c r="H371" s="99" t="str">
        <f t="shared" si="57"/>
        <v/>
      </c>
      <c r="I371" s="99" t="str">
        <f t="shared" si="58"/>
        <v/>
      </c>
      <c r="J371" s="99" t="str">
        <f t="shared" si="59"/>
        <v/>
      </c>
      <c r="K371" s="99" t="str">
        <f t="shared" si="60"/>
        <v/>
      </c>
      <c r="L371" s="99" t="str">
        <f t="shared" si="61"/>
        <v>STALE</v>
      </c>
      <c r="M371" s="106">
        <f>IF(D371="","",ABS(D371-G$5))</f>
        <v>0</v>
      </c>
    </row>
    <row r="372" spans="2:13" ht="13.5" customHeight="1" x14ac:dyDescent="0.55000000000000004">
      <c r="B372" s="94">
        <v>44350</v>
      </c>
      <c r="C372" s="99">
        <v>2.5</v>
      </c>
      <c r="D372" s="99">
        <f t="shared" si="53"/>
        <v>0</v>
      </c>
      <c r="E372" s="99">
        <f t="shared" si="54"/>
        <v>2.1587520159630759E-2</v>
      </c>
      <c r="F372" s="99">
        <f t="shared" si="55"/>
        <v>0</v>
      </c>
      <c r="G372" s="99">
        <f t="shared" si="56"/>
        <v>0.10605859118515289</v>
      </c>
      <c r="H372" s="99" t="str">
        <f t="shared" si="57"/>
        <v/>
      </c>
      <c r="I372" s="99" t="str">
        <f t="shared" si="58"/>
        <v/>
      </c>
      <c r="J372" s="99" t="str">
        <f t="shared" si="59"/>
        <v/>
      </c>
      <c r="K372" s="99" t="str">
        <f t="shared" si="60"/>
        <v/>
      </c>
      <c r="L372" s="99" t="str">
        <f t="shared" si="61"/>
        <v>STALE</v>
      </c>
      <c r="M372" s="106">
        <f>IF(D372="","",ABS(D372-G$5))</f>
        <v>0</v>
      </c>
    </row>
    <row r="373" spans="2:13" ht="13.5" customHeight="1" x14ac:dyDescent="0.55000000000000004">
      <c r="B373" s="94">
        <v>44351</v>
      </c>
      <c r="C373" s="99">
        <v>2.4900000000000002</v>
      </c>
      <c r="D373" s="99">
        <f t="shared" si="53"/>
        <v>-0.99999999999997868</v>
      </c>
      <c r="E373" s="99">
        <f t="shared" si="54"/>
        <v>0.11579972233777029</v>
      </c>
      <c r="F373" s="99">
        <f t="shared" si="55"/>
        <v>0.3372499999999925</v>
      </c>
      <c r="G373" s="99">
        <f t="shared" si="56"/>
        <v>0.58919247300317812</v>
      </c>
      <c r="H373" s="99" t="str">
        <f t="shared" si="57"/>
        <v/>
      </c>
      <c r="I373" s="99" t="str">
        <f t="shared" si="58"/>
        <v/>
      </c>
      <c r="J373" s="99" t="str">
        <f t="shared" si="59"/>
        <v/>
      </c>
      <c r="K373" s="99" t="str">
        <f t="shared" si="60"/>
        <v/>
      </c>
      <c r="L373" s="99" t="str">
        <f t="shared" si="61"/>
        <v/>
      </c>
      <c r="M373" s="106">
        <f>IF(D373="","",ABS(D373-G$5))</f>
        <v>0.99999999999997868</v>
      </c>
    </row>
    <row r="374" spans="2:13" ht="13.5" customHeight="1" x14ac:dyDescent="0.55000000000000004">
      <c r="B374" s="94">
        <v>44354</v>
      </c>
      <c r="C374" s="99">
        <v>2.48</v>
      </c>
      <c r="D374" s="99">
        <f t="shared" si="53"/>
        <v>-1.0000000000000231</v>
      </c>
      <c r="E374" s="99">
        <f t="shared" si="54"/>
        <v>0.11579972233777447</v>
      </c>
      <c r="F374" s="99">
        <f t="shared" si="55"/>
        <v>0.33725000000000749</v>
      </c>
      <c r="G374" s="99">
        <f t="shared" si="56"/>
        <v>0.60942130912984982</v>
      </c>
      <c r="H374" s="99" t="str">
        <f t="shared" si="57"/>
        <v/>
      </c>
      <c r="I374" s="99" t="str">
        <f t="shared" si="58"/>
        <v/>
      </c>
      <c r="J374" s="99" t="str">
        <f t="shared" si="59"/>
        <v/>
      </c>
      <c r="K374" s="99" t="str">
        <f t="shared" si="60"/>
        <v/>
      </c>
      <c r="L374" s="99" t="str">
        <f t="shared" si="61"/>
        <v/>
      </c>
      <c r="M374" s="106">
        <f>IF(D374="","",ABS(D374-G$5))</f>
        <v>1.0000000000000231</v>
      </c>
    </row>
    <row r="375" spans="2:13" ht="13.5" customHeight="1" x14ac:dyDescent="0.55000000000000004">
      <c r="B375" s="94">
        <v>44355</v>
      </c>
      <c r="C375" s="99">
        <v>2.4700000000000002</v>
      </c>
      <c r="D375" s="99">
        <f t="shared" si="53"/>
        <v>-0.99999999999997868</v>
      </c>
      <c r="E375" s="99">
        <f t="shared" si="54"/>
        <v>0.11579972233777029</v>
      </c>
      <c r="F375" s="99">
        <f t="shared" si="55"/>
        <v>0.3372499999999925</v>
      </c>
      <c r="G375" s="99">
        <f t="shared" si="56"/>
        <v>0.62952869307528569</v>
      </c>
      <c r="H375" s="99" t="str">
        <f t="shared" si="57"/>
        <v/>
      </c>
      <c r="I375" s="99" t="str">
        <f t="shared" si="58"/>
        <v/>
      </c>
      <c r="J375" s="99" t="str">
        <f t="shared" si="59"/>
        <v/>
      </c>
      <c r="K375" s="99" t="str">
        <f t="shared" si="60"/>
        <v/>
      </c>
      <c r="L375" s="99" t="str">
        <f t="shared" si="61"/>
        <v/>
      </c>
      <c r="M375" s="106">
        <f>IF(D375="","",ABS(D375-G$5))</f>
        <v>0.99999999999997868</v>
      </c>
    </row>
    <row r="376" spans="2:13" ht="13.5" customHeight="1" x14ac:dyDescent="0.55000000000000004">
      <c r="B376" s="94">
        <v>44356</v>
      </c>
      <c r="C376" s="99">
        <v>2.4700000000000002</v>
      </c>
      <c r="D376" s="99">
        <f t="shared" si="53"/>
        <v>0</v>
      </c>
      <c r="E376" s="99">
        <f t="shared" si="54"/>
        <v>2.1587520159630759E-2</v>
      </c>
      <c r="F376" s="99">
        <f t="shared" si="55"/>
        <v>0</v>
      </c>
      <c r="G376" s="99">
        <f t="shared" si="56"/>
        <v>0.12361109811082166</v>
      </c>
      <c r="H376" s="99" t="str">
        <f t="shared" si="57"/>
        <v/>
      </c>
      <c r="I376" s="99" t="str">
        <f t="shared" si="58"/>
        <v/>
      </c>
      <c r="J376" s="99" t="str">
        <f t="shared" si="59"/>
        <v/>
      </c>
      <c r="K376" s="99" t="str">
        <f t="shared" si="60"/>
        <v/>
      </c>
      <c r="L376" s="99" t="str">
        <f t="shared" si="61"/>
        <v>STALE</v>
      </c>
      <c r="M376" s="106">
        <f>IF(D376="","",ABS(D376-G$5))</f>
        <v>0</v>
      </c>
    </row>
    <row r="377" spans="2:13" ht="13.5" customHeight="1" x14ac:dyDescent="0.55000000000000004">
      <c r="B377" s="94">
        <v>44357</v>
      </c>
      <c r="C377" s="99">
        <v>2.4500000000000002</v>
      </c>
      <c r="D377" s="99">
        <f t="shared" si="53"/>
        <v>-2.0000000000000018</v>
      </c>
      <c r="E377" s="99">
        <f t="shared" si="54"/>
        <v>0.21001192451591399</v>
      </c>
      <c r="F377" s="99">
        <f t="shared" si="55"/>
        <v>0.67449999999999999</v>
      </c>
      <c r="G377" s="99">
        <f t="shared" si="56"/>
        <v>1.1765804905211343</v>
      </c>
      <c r="H377" s="99" t="str">
        <f t="shared" si="57"/>
        <v/>
      </c>
      <c r="I377" s="99" t="str">
        <f t="shared" si="58"/>
        <v/>
      </c>
      <c r="J377" s="99" t="str">
        <f t="shared" si="59"/>
        <v/>
      </c>
      <c r="K377" s="99" t="str">
        <f t="shared" si="60"/>
        <v/>
      </c>
      <c r="L377" s="99" t="str">
        <f t="shared" si="61"/>
        <v/>
      </c>
      <c r="M377" s="106">
        <f>IF(D377="","",ABS(D377-G$5))</f>
        <v>2.0000000000000018</v>
      </c>
    </row>
    <row r="378" spans="2:13" ht="13.5" customHeight="1" x14ac:dyDescent="0.55000000000000004">
      <c r="B378" s="94">
        <v>44358</v>
      </c>
      <c r="C378" s="99">
        <v>2.4300000000000002</v>
      </c>
      <c r="D378" s="99">
        <f t="shared" si="53"/>
        <v>-2.0000000000000018</v>
      </c>
      <c r="E378" s="99">
        <f t="shared" si="54"/>
        <v>0.21001192451591399</v>
      </c>
      <c r="F378" s="99">
        <f t="shared" si="55"/>
        <v>0.67449999999999999</v>
      </c>
      <c r="G378" s="99">
        <f t="shared" si="56"/>
        <v>1.1546016099725398</v>
      </c>
      <c r="H378" s="99" t="str">
        <f t="shared" si="57"/>
        <v/>
      </c>
      <c r="I378" s="99" t="str">
        <f t="shared" si="58"/>
        <v/>
      </c>
      <c r="J378" s="99" t="str">
        <f t="shared" si="59"/>
        <v/>
      </c>
      <c r="K378" s="99" t="str">
        <f t="shared" si="60"/>
        <v/>
      </c>
      <c r="L378" s="99" t="str">
        <f t="shared" si="61"/>
        <v/>
      </c>
      <c r="M378" s="106">
        <f>IF(D378="","",ABS(D378-G$5))</f>
        <v>2.0000000000000018</v>
      </c>
    </row>
    <row r="379" spans="2:13" ht="13.5" customHeight="1" x14ac:dyDescent="0.55000000000000004">
      <c r="B379" s="94">
        <v>44361</v>
      </c>
      <c r="C379" s="99">
        <v>2.42</v>
      </c>
      <c r="D379" s="99">
        <f t="shared" si="53"/>
        <v>-1.0000000000000231</v>
      </c>
      <c r="E379" s="99">
        <f t="shared" si="54"/>
        <v>0.11579972233777447</v>
      </c>
      <c r="F379" s="99">
        <f t="shared" si="55"/>
        <v>0.33725000000000749</v>
      </c>
      <c r="G379" s="99">
        <f t="shared" si="56"/>
        <v>0.65646122055147937</v>
      </c>
      <c r="H379" s="99" t="str">
        <f t="shared" si="57"/>
        <v/>
      </c>
      <c r="I379" s="99" t="str">
        <f t="shared" si="58"/>
        <v/>
      </c>
      <c r="J379" s="99" t="str">
        <f t="shared" si="59"/>
        <v/>
      </c>
      <c r="K379" s="99" t="str">
        <f t="shared" si="60"/>
        <v/>
      </c>
      <c r="L379" s="99" t="str">
        <f t="shared" si="61"/>
        <v/>
      </c>
      <c r="M379" s="106">
        <f>IF(D379="","",ABS(D379-G$5))</f>
        <v>1.0000000000000231</v>
      </c>
    </row>
    <row r="380" spans="2:13" ht="13.5" customHeight="1" x14ac:dyDescent="0.55000000000000004">
      <c r="B380" s="94">
        <v>44362</v>
      </c>
      <c r="C380" s="99">
        <v>2.39</v>
      </c>
      <c r="D380" s="99">
        <f t="shared" si="53"/>
        <v>-2.9999999999999805</v>
      </c>
      <c r="E380" s="99">
        <f t="shared" si="54"/>
        <v>0.30422412669405352</v>
      </c>
      <c r="F380" s="99">
        <f t="shared" si="55"/>
        <v>1.0117499999999926</v>
      </c>
      <c r="G380" s="99">
        <f t="shared" si="56"/>
        <v>1.5760480059366331</v>
      </c>
      <c r="H380" s="99" t="str">
        <f t="shared" si="57"/>
        <v/>
      </c>
      <c r="I380" s="99" t="str">
        <f t="shared" si="58"/>
        <v/>
      </c>
      <c r="J380" s="99" t="str">
        <f t="shared" si="59"/>
        <v/>
      </c>
      <c r="K380" s="99" t="str">
        <f t="shared" si="60"/>
        <v/>
      </c>
      <c r="L380" s="99" t="str">
        <f t="shared" si="61"/>
        <v/>
      </c>
      <c r="M380" s="106">
        <f>IF(D380="","",ABS(D380-G$5))</f>
        <v>2.9999999999999805</v>
      </c>
    </row>
    <row r="381" spans="2:13" ht="13.5" customHeight="1" x14ac:dyDescent="0.55000000000000004">
      <c r="B381" s="94">
        <v>44363</v>
      </c>
      <c r="C381" s="99">
        <v>2.44</v>
      </c>
      <c r="D381" s="99">
        <f t="shared" si="53"/>
        <v>4.9999999999999822</v>
      </c>
      <c r="E381" s="99">
        <f t="shared" si="54"/>
        <v>0.44947349073107523</v>
      </c>
      <c r="F381" s="99">
        <f t="shared" si="55"/>
        <v>1.6862499999999925</v>
      </c>
      <c r="G381" s="99">
        <f t="shared" si="56"/>
        <v>1.9389521104730363</v>
      </c>
      <c r="H381" s="99" t="str">
        <f t="shared" si="57"/>
        <v/>
      </c>
      <c r="I381" s="99" t="str">
        <f t="shared" si="58"/>
        <v/>
      </c>
      <c r="J381" s="99" t="str">
        <f t="shared" si="59"/>
        <v/>
      </c>
      <c r="K381" s="99" t="str">
        <f t="shared" si="60"/>
        <v/>
      </c>
      <c r="L381" s="99" t="str">
        <f t="shared" si="61"/>
        <v/>
      </c>
      <c r="M381" s="106">
        <f>IF(D381="","",ABS(D381-G$5))</f>
        <v>4.9999999999999822</v>
      </c>
    </row>
    <row r="382" spans="2:13" ht="13.5" customHeight="1" x14ac:dyDescent="0.55000000000000004">
      <c r="B382" s="94">
        <v>44364</v>
      </c>
      <c r="C382" s="99">
        <v>2.4700000000000002</v>
      </c>
      <c r="D382" s="99">
        <f t="shared" si="53"/>
        <v>3.0000000000000249</v>
      </c>
      <c r="E382" s="99">
        <f t="shared" si="54"/>
        <v>0.26104908637479624</v>
      </c>
      <c r="F382" s="99">
        <f t="shared" si="55"/>
        <v>1.0117500000000075</v>
      </c>
      <c r="G382" s="99">
        <f t="shared" si="56"/>
        <v>1.1113199023458002</v>
      </c>
      <c r="H382" s="99" t="str">
        <f t="shared" si="57"/>
        <v/>
      </c>
      <c r="I382" s="99" t="str">
        <f t="shared" si="58"/>
        <v/>
      </c>
      <c r="J382" s="99" t="str">
        <f t="shared" si="59"/>
        <v/>
      </c>
      <c r="K382" s="99" t="str">
        <f t="shared" si="60"/>
        <v/>
      </c>
      <c r="L382" s="99" t="str">
        <f t="shared" si="61"/>
        <v/>
      </c>
      <c r="M382" s="106">
        <f>IF(D382="","",ABS(D382-G$5))</f>
        <v>3.0000000000000249</v>
      </c>
    </row>
    <row r="383" spans="2:13" ht="13.5" customHeight="1" x14ac:dyDescent="0.55000000000000004">
      <c r="B383" s="94">
        <v>44365</v>
      </c>
      <c r="C383" s="99">
        <v>2.4700000000000002</v>
      </c>
      <c r="D383" s="99">
        <f t="shared" si="53"/>
        <v>0</v>
      </c>
      <c r="E383" s="99">
        <f t="shared" si="54"/>
        <v>2.1587520159630759E-2</v>
      </c>
      <c r="F383" s="99">
        <f t="shared" si="55"/>
        <v>0</v>
      </c>
      <c r="G383" s="99">
        <f t="shared" si="56"/>
        <v>9.6826612081028191E-2</v>
      </c>
      <c r="H383" s="99" t="str">
        <f t="shared" si="57"/>
        <v/>
      </c>
      <c r="I383" s="99" t="str">
        <f t="shared" si="58"/>
        <v/>
      </c>
      <c r="J383" s="99" t="str">
        <f t="shared" si="59"/>
        <v/>
      </c>
      <c r="K383" s="99" t="str">
        <f t="shared" si="60"/>
        <v/>
      </c>
      <c r="L383" s="99" t="str">
        <f t="shared" si="61"/>
        <v>STALE</v>
      </c>
      <c r="M383" s="106">
        <f>IF(D383="","",ABS(D383-G$5))</f>
        <v>0</v>
      </c>
    </row>
    <row r="384" spans="2:13" ht="13.5" customHeight="1" x14ac:dyDescent="0.55000000000000004">
      <c r="B384" s="94">
        <v>44368</v>
      </c>
      <c r="C384" s="99">
        <v>2.44</v>
      </c>
      <c r="D384" s="99">
        <f t="shared" si="53"/>
        <v>-3.0000000000000249</v>
      </c>
      <c r="E384" s="99">
        <f t="shared" si="54"/>
        <v>0.30422412669405774</v>
      </c>
      <c r="F384" s="99">
        <f t="shared" si="55"/>
        <v>1.0117500000000075</v>
      </c>
      <c r="G384" s="99">
        <f t="shared" si="56"/>
        <v>1.3092767473337517</v>
      </c>
      <c r="H384" s="99" t="str">
        <f t="shared" si="57"/>
        <v/>
      </c>
      <c r="I384" s="99" t="str">
        <f t="shared" si="58"/>
        <v/>
      </c>
      <c r="J384" s="99" t="str">
        <f t="shared" si="59"/>
        <v/>
      </c>
      <c r="K384" s="99" t="str">
        <f t="shared" si="60"/>
        <v/>
      </c>
      <c r="L384" s="99" t="str">
        <f t="shared" si="61"/>
        <v/>
      </c>
      <c r="M384" s="106">
        <f>IF(D384="","",ABS(D384-G$5))</f>
        <v>3.0000000000000249</v>
      </c>
    </row>
    <row r="385" spans="2:13" ht="13.5" customHeight="1" x14ac:dyDescent="0.55000000000000004">
      <c r="B385" s="94">
        <v>44369</v>
      </c>
      <c r="C385" s="99">
        <v>2.42</v>
      </c>
      <c r="D385" s="99">
        <f t="shared" si="53"/>
        <v>-2.0000000000000018</v>
      </c>
      <c r="E385" s="99">
        <f t="shared" si="54"/>
        <v>0.21001192451591399</v>
      </c>
      <c r="F385" s="99">
        <f t="shared" si="55"/>
        <v>0.67449999999999999</v>
      </c>
      <c r="G385" s="99">
        <f t="shared" si="56"/>
        <v>0.91220993312898513</v>
      </c>
      <c r="H385" s="99" t="str">
        <f t="shared" si="57"/>
        <v/>
      </c>
      <c r="I385" s="99" t="str">
        <f t="shared" si="58"/>
        <v/>
      </c>
      <c r="J385" s="99" t="str">
        <f t="shared" si="59"/>
        <v/>
      </c>
      <c r="K385" s="99" t="str">
        <f t="shared" si="60"/>
        <v/>
      </c>
      <c r="L385" s="99" t="str">
        <f t="shared" si="61"/>
        <v/>
      </c>
      <c r="M385" s="106">
        <f>IF(D385="","",ABS(D385-G$5))</f>
        <v>2.0000000000000018</v>
      </c>
    </row>
    <row r="386" spans="2:13" ht="13.5" customHeight="1" x14ac:dyDescent="0.55000000000000004">
      <c r="B386" s="94">
        <v>44370</v>
      </c>
      <c r="C386" s="99">
        <v>2.41</v>
      </c>
      <c r="D386" s="99">
        <f t="shared" si="53"/>
        <v>-0.99999999999997868</v>
      </c>
      <c r="E386" s="99">
        <f t="shared" si="54"/>
        <v>0.11579972233777029</v>
      </c>
      <c r="F386" s="99">
        <f t="shared" si="55"/>
        <v>0.3372499999999925</v>
      </c>
      <c r="G386" s="99">
        <f t="shared" si="56"/>
        <v>0.52289818113478759</v>
      </c>
      <c r="H386" s="99" t="str">
        <f t="shared" si="57"/>
        <v/>
      </c>
      <c r="I386" s="99" t="str">
        <f t="shared" si="58"/>
        <v/>
      </c>
      <c r="J386" s="99" t="str">
        <f t="shared" si="59"/>
        <v/>
      </c>
      <c r="K386" s="99" t="str">
        <f t="shared" si="60"/>
        <v/>
      </c>
      <c r="L386" s="99" t="str">
        <f t="shared" si="61"/>
        <v/>
      </c>
      <c r="M386" s="106">
        <f>IF(D386="","",ABS(D386-G$5))</f>
        <v>0.99999999999997868</v>
      </c>
    </row>
    <row r="387" spans="2:13" ht="13.5" customHeight="1" x14ac:dyDescent="0.55000000000000004">
      <c r="B387" s="94">
        <v>44371</v>
      </c>
      <c r="C387" s="99">
        <v>2.4</v>
      </c>
      <c r="D387" s="99">
        <f t="shared" si="53"/>
        <v>-1.0000000000000231</v>
      </c>
      <c r="E387" s="99">
        <f t="shared" si="54"/>
        <v>0.11579972233777447</v>
      </c>
      <c r="F387" s="99">
        <f t="shared" si="55"/>
        <v>0.33725000000000749</v>
      </c>
      <c r="G387" s="99">
        <f t="shared" si="56"/>
        <v>0.54299659666429956</v>
      </c>
      <c r="H387" s="99" t="str">
        <f t="shared" si="57"/>
        <v/>
      </c>
      <c r="I387" s="99" t="str">
        <f t="shared" si="58"/>
        <v/>
      </c>
      <c r="J387" s="99" t="str">
        <f t="shared" si="59"/>
        <v/>
      </c>
      <c r="K387" s="99" t="str">
        <f t="shared" si="60"/>
        <v/>
      </c>
      <c r="L387" s="99" t="str">
        <f t="shared" si="61"/>
        <v/>
      </c>
      <c r="M387" s="106">
        <f>IF(D387="","",ABS(D387-G$5))</f>
        <v>1.0000000000000231</v>
      </c>
    </row>
    <row r="388" spans="2:13" ht="13.5" customHeight="1" x14ac:dyDescent="0.55000000000000004">
      <c r="B388" s="94">
        <v>44372</v>
      </c>
      <c r="C388" s="99">
        <v>2.39</v>
      </c>
      <c r="D388" s="99">
        <f t="shared" si="53"/>
        <v>-0.99999999999997868</v>
      </c>
      <c r="E388" s="99">
        <f t="shared" si="54"/>
        <v>0.11579972233777029</v>
      </c>
      <c r="F388" s="99">
        <f t="shared" si="55"/>
        <v>0.3372499999999925</v>
      </c>
      <c r="G388" s="99">
        <f t="shared" si="56"/>
        <v>0.56321734956466463</v>
      </c>
      <c r="H388" s="99" t="str">
        <f t="shared" si="57"/>
        <v/>
      </c>
      <c r="I388" s="99" t="str">
        <f t="shared" si="58"/>
        <v/>
      </c>
      <c r="J388" s="99" t="str">
        <f t="shared" si="59"/>
        <v/>
      </c>
      <c r="K388" s="99" t="str">
        <f t="shared" si="60"/>
        <v/>
      </c>
      <c r="L388" s="99" t="str">
        <f t="shared" si="61"/>
        <v/>
      </c>
      <c r="M388" s="106">
        <f>IF(D388="","",ABS(D388-G$5))</f>
        <v>0.99999999999997868</v>
      </c>
    </row>
    <row r="389" spans="2:13" ht="13.5" customHeight="1" x14ac:dyDescent="0.55000000000000004">
      <c r="B389" s="94">
        <v>44375</v>
      </c>
      <c r="C389" s="99">
        <v>2.38</v>
      </c>
      <c r="D389" s="99">
        <f t="shared" si="53"/>
        <v>-1.0000000000000231</v>
      </c>
      <c r="E389" s="99">
        <f t="shared" si="54"/>
        <v>0.11579972233777447</v>
      </c>
      <c r="F389" s="99">
        <f t="shared" si="55"/>
        <v>0.33725000000000749</v>
      </c>
      <c r="G389" s="99">
        <f t="shared" si="56"/>
        <v>0.58348943153498001</v>
      </c>
      <c r="H389" s="99" t="str">
        <f t="shared" si="57"/>
        <v/>
      </c>
      <c r="I389" s="99" t="str">
        <f t="shared" si="58"/>
        <v/>
      </c>
      <c r="J389" s="99" t="str">
        <f t="shared" si="59"/>
        <v/>
      </c>
      <c r="K389" s="99" t="str">
        <f t="shared" si="60"/>
        <v/>
      </c>
      <c r="L389" s="99" t="str">
        <f t="shared" si="61"/>
        <v/>
      </c>
      <c r="M389" s="106">
        <f>IF(D389="","",ABS(D389-G$5))</f>
        <v>1.0000000000000231</v>
      </c>
    </row>
    <row r="390" spans="2:13" ht="13.5" customHeight="1" x14ac:dyDescent="0.55000000000000004">
      <c r="B390" s="94">
        <v>44376</v>
      </c>
      <c r="C390" s="99">
        <v>2.38</v>
      </c>
      <c r="D390" s="99">
        <f t="shared" si="53"/>
        <v>0</v>
      </c>
      <c r="E390" s="99">
        <f t="shared" si="54"/>
        <v>2.1587520159630759E-2</v>
      </c>
      <c r="F390" s="99">
        <f t="shared" si="55"/>
        <v>0</v>
      </c>
      <c r="G390" s="99">
        <f t="shared" si="56"/>
        <v>0.11458339610113111</v>
      </c>
      <c r="H390" s="99" t="str">
        <f t="shared" si="57"/>
        <v/>
      </c>
      <c r="I390" s="99" t="str">
        <f t="shared" si="58"/>
        <v/>
      </c>
      <c r="J390" s="99" t="str">
        <f t="shared" si="59"/>
        <v/>
      </c>
      <c r="K390" s="99" t="str">
        <f t="shared" si="60"/>
        <v/>
      </c>
      <c r="L390" s="99" t="str">
        <f t="shared" si="61"/>
        <v>STALE</v>
      </c>
      <c r="M390" s="106">
        <f>IF(D390="","",ABS(D390-G$5))</f>
        <v>0</v>
      </c>
    </row>
    <row r="391" spans="2:13" ht="13.5" customHeight="1" x14ac:dyDescent="0.55000000000000004">
      <c r="B391" s="94">
        <v>44377</v>
      </c>
      <c r="C391" s="99">
        <v>2.37</v>
      </c>
      <c r="D391" s="99">
        <f t="shared" si="53"/>
        <v>-0.99999999999997868</v>
      </c>
      <c r="E391" s="99">
        <f t="shared" si="54"/>
        <v>0.11579972233777029</v>
      </c>
      <c r="F391" s="99">
        <f t="shared" si="55"/>
        <v>0.3372499999999925</v>
      </c>
      <c r="G391" s="99">
        <f t="shared" si="56"/>
        <v>0.63471118420686945</v>
      </c>
      <c r="H391" s="99" t="str">
        <f t="shared" si="57"/>
        <v/>
      </c>
      <c r="I391" s="99" t="str">
        <f t="shared" si="58"/>
        <v/>
      </c>
      <c r="J391" s="99" t="str">
        <f t="shared" si="59"/>
        <v/>
      </c>
      <c r="K391" s="99" t="str">
        <f t="shared" si="60"/>
        <v/>
      </c>
      <c r="L391" s="99" t="str">
        <f t="shared" si="61"/>
        <v/>
      </c>
      <c r="M391" s="106">
        <f>IF(D391="","",ABS(D391-G$5))</f>
        <v>0.99999999999997868</v>
      </c>
    </row>
    <row r="392" spans="2:13" ht="13.5" customHeight="1" x14ac:dyDescent="0.55000000000000004">
      <c r="B392" s="94">
        <v>44378</v>
      </c>
      <c r="C392" s="99">
        <v>2.37</v>
      </c>
      <c r="D392" s="99">
        <f t="shared" si="53"/>
        <v>0</v>
      </c>
      <c r="E392" s="99">
        <f t="shared" si="54"/>
        <v>2.1587520159630759E-2</v>
      </c>
      <c r="F392" s="99">
        <f t="shared" si="55"/>
        <v>0</v>
      </c>
      <c r="G392" s="99">
        <f t="shared" si="56"/>
        <v>0.12462713198959864</v>
      </c>
      <c r="H392" s="99" t="str">
        <f t="shared" si="57"/>
        <v/>
      </c>
      <c r="I392" s="99" t="str">
        <f t="shared" si="58"/>
        <v/>
      </c>
      <c r="J392" s="99" t="str">
        <f t="shared" si="59"/>
        <v/>
      </c>
      <c r="K392" s="99" t="str">
        <f t="shared" si="60"/>
        <v/>
      </c>
      <c r="L392" s="99" t="str">
        <f t="shared" si="61"/>
        <v>STALE</v>
      </c>
      <c r="M392" s="106">
        <f>IF(D392="","",ABS(D392-G$5))</f>
        <v>0</v>
      </c>
    </row>
    <row r="393" spans="2:13" ht="13.5" customHeight="1" x14ac:dyDescent="0.55000000000000004">
      <c r="B393" s="94">
        <v>44379</v>
      </c>
      <c r="C393" s="99">
        <v>2.35</v>
      </c>
      <c r="D393" s="99">
        <f t="shared" si="53"/>
        <v>-2.0000000000000018</v>
      </c>
      <c r="E393" s="99">
        <f t="shared" si="54"/>
        <v>0.21001192451591399</v>
      </c>
      <c r="F393" s="99">
        <f t="shared" si="55"/>
        <v>0.67449999999999999</v>
      </c>
      <c r="G393" s="99">
        <f t="shared" si="56"/>
        <v>1.1848984791918196</v>
      </c>
      <c r="H393" s="99" t="str">
        <f t="shared" si="57"/>
        <v/>
      </c>
      <c r="I393" s="99" t="str">
        <f t="shared" si="58"/>
        <v/>
      </c>
      <c r="J393" s="99" t="str">
        <f t="shared" si="59"/>
        <v/>
      </c>
      <c r="K393" s="99" t="str">
        <f t="shared" si="60"/>
        <v/>
      </c>
      <c r="L393" s="99" t="str">
        <f t="shared" si="61"/>
        <v/>
      </c>
      <c r="M393" s="106">
        <f>IF(D393="","",ABS(D393-G$5))</f>
        <v>2.0000000000000018</v>
      </c>
    </row>
    <row r="394" spans="2:13" ht="13.5" customHeight="1" x14ac:dyDescent="0.55000000000000004">
      <c r="B394" s="94">
        <v>44383</v>
      </c>
      <c r="C394" s="99">
        <v>2.35</v>
      </c>
      <c r="D394" s="99">
        <f t="shared" si="53"/>
        <v>0</v>
      </c>
      <c r="E394" s="99">
        <f t="shared" si="54"/>
        <v>2.1587520159630759E-2</v>
      </c>
      <c r="F394" s="99">
        <f t="shared" si="55"/>
        <v>0</v>
      </c>
      <c r="G394" s="99">
        <f t="shared" si="56"/>
        <v>0.1282806224812002</v>
      </c>
      <c r="H394" s="99" t="str">
        <f t="shared" si="57"/>
        <v/>
      </c>
      <c r="I394" s="99" t="str">
        <f t="shared" si="58"/>
        <v/>
      </c>
      <c r="J394" s="99" t="str">
        <f t="shared" si="59"/>
        <v/>
      </c>
      <c r="K394" s="99" t="str">
        <f t="shared" si="60"/>
        <v/>
      </c>
      <c r="L394" s="99" t="str">
        <f t="shared" si="61"/>
        <v>STALE</v>
      </c>
      <c r="M394" s="106">
        <f>IF(D394="","",ABS(D394-G$5))</f>
        <v>0</v>
      </c>
    </row>
    <row r="395" spans="2:13" ht="13.5" customHeight="1" x14ac:dyDescent="0.55000000000000004">
      <c r="B395" s="94">
        <v>44384</v>
      </c>
      <c r="C395" s="99">
        <v>2.35</v>
      </c>
      <c r="D395" s="99">
        <f t="shared" si="53"/>
        <v>0</v>
      </c>
      <c r="E395" s="99">
        <f t="shared" si="54"/>
        <v>2.1587520159630759E-2</v>
      </c>
      <c r="F395" s="99">
        <f t="shared" si="55"/>
        <v>0</v>
      </c>
      <c r="G395" s="99">
        <f t="shared" si="56"/>
        <v>0.13509619797466615</v>
      </c>
      <c r="H395" s="99" t="str">
        <f t="shared" si="57"/>
        <v/>
      </c>
      <c r="I395" s="99" t="str">
        <f t="shared" si="58"/>
        <v/>
      </c>
      <c r="J395" s="99" t="str">
        <f t="shared" si="59"/>
        <v/>
      </c>
      <c r="K395" s="99" t="str">
        <f t="shared" si="60"/>
        <v/>
      </c>
      <c r="L395" s="99" t="str">
        <f t="shared" si="61"/>
        <v>STALE</v>
      </c>
      <c r="M395" s="106">
        <f>IF(D395="","",ABS(D395-G$5))</f>
        <v>0</v>
      </c>
    </row>
    <row r="396" spans="2:13" ht="13.5" customHeight="1" x14ac:dyDescent="0.55000000000000004">
      <c r="B396" s="94">
        <v>44385</v>
      </c>
      <c r="C396" s="99">
        <v>2.39</v>
      </c>
      <c r="D396" s="99">
        <f t="shared" si="53"/>
        <v>4.0000000000000036</v>
      </c>
      <c r="E396" s="99">
        <f t="shared" si="54"/>
        <v>0.35526128855293576</v>
      </c>
      <c r="F396" s="99">
        <f t="shared" si="55"/>
        <v>1.349</v>
      </c>
      <c r="G396" s="99">
        <f t="shared" si="56"/>
        <v>1.8828366448669487</v>
      </c>
      <c r="H396" s="99" t="str">
        <f t="shared" si="57"/>
        <v/>
      </c>
      <c r="I396" s="99" t="str">
        <f t="shared" si="58"/>
        <v/>
      </c>
      <c r="J396" s="99" t="str">
        <f t="shared" si="59"/>
        <v/>
      </c>
      <c r="K396" s="99" t="str">
        <f t="shared" si="60"/>
        <v/>
      </c>
      <c r="L396" s="99" t="str">
        <f t="shared" si="61"/>
        <v/>
      </c>
      <c r="M396" s="106">
        <f>IF(D396="","",ABS(D396-G$5))</f>
        <v>4.0000000000000036</v>
      </c>
    </row>
    <row r="397" spans="2:13" ht="13.5" customHeight="1" x14ac:dyDescent="0.55000000000000004">
      <c r="B397" s="94">
        <v>44386</v>
      </c>
      <c r="C397" s="99">
        <v>2.37</v>
      </c>
      <c r="D397" s="99">
        <f t="shared" si="53"/>
        <v>-2.0000000000000018</v>
      </c>
      <c r="E397" s="99">
        <f t="shared" si="54"/>
        <v>0.21001192451591399</v>
      </c>
      <c r="F397" s="99">
        <f t="shared" si="55"/>
        <v>0.67449999999999999</v>
      </c>
      <c r="G397" s="99">
        <f t="shared" si="56"/>
        <v>1.0999759730866321</v>
      </c>
      <c r="H397" s="99" t="str">
        <f t="shared" si="57"/>
        <v/>
      </c>
      <c r="I397" s="99" t="str">
        <f t="shared" si="58"/>
        <v/>
      </c>
      <c r="J397" s="99" t="str">
        <f t="shared" si="59"/>
        <v/>
      </c>
      <c r="K397" s="99" t="str">
        <f t="shared" si="60"/>
        <v/>
      </c>
      <c r="L397" s="99" t="str">
        <f t="shared" si="61"/>
        <v/>
      </c>
      <c r="M397" s="106">
        <f>IF(D397="","",ABS(D397-G$5))</f>
        <v>2.0000000000000018</v>
      </c>
    </row>
    <row r="398" spans="2:13" ht="13.5" customHeight="1" x14ac:dyDescent="0.55000000000000004">
      <c r="B398" s="94">
        <v>44389</v>
      </c>
      <c r="C398" s="99">
        <v>2.35</v>
      </c>
      <c r="D398" s="99">
        <f t="shared" si="53"/>
        <v>-2.0000000000000018</v>
      </c>
      <c r="E398" s="99">
        <f t="shared" si="54"/>
        <v>0.21001192451591399</v>
      </c>
      <c r="F398" s="99">
        <f t="shared" si="55"/>
        <v>0.67449999999999999</v>
      </c>
      <c r="G398" s="99">
        <f t="shared" si="56"/>
        <v>1.0886078258497887</v>
      </c>
      <c r="H398" s="99" t="str">
        <f t="shared" si="57"/>
        <v/>
      </c>
      <c r="I398" s="99" t="str">
        <f t="shared" si="58"/>
        <v/>
      </c>
      <c r="J398" s="99" t="str">
        <f t="shared" si="59"/>
        <v/>
      </c>
      <c r="K398" s="99" t="str">
        <f t="shared" si="60"/>
        <v/>
      </c>
      <c r="L398" s="99" t="str">
        <f t="shared" si="61"/>
        <v/>
      </c>
      <c r="M398" s="106">
        <f>IF(D398="","",ABS(D398-G$5))</f>
        <v>2.0000000000000018</v>
      </c>
    </row>
    <row r="399" spans="2:13" ht="13.5" customHeight="1" x14ac:dyDescent="0.55000000000000004">
      <c r="B399" s="94">
        <v>44390</v>
      </c>
      <c r="C399" s="99">
        <v>2.36</v>
      </c>
      <c r="D399" s="99">
        <f t="shared" si="53"/>
        <v>0.99999999999997868</v>
      </c>
      <c r="E399" s="99">
        <f t="shared" si="54"/>
        <v>7.2624682018508774E-2</v>
      </c>
      <c r="F399" s="99">
        <f t="shared" si="55"/>
        <v>0.3372499999999925</v>
      </c>
      <c r="G399" s="99">
        <f t="shared" si="56"/>
        <v>0.39372939813775054</v>
      </c>
      <c r="H399" s="99" t="str">
        <f t="shared" si="57"/>
        <v/>
      </c>
      <c r="I399" s="99" t="str">
        <f t="shared" si="58"/>
        <v/>
      </c>
      <c r="J399" s="99" t="str">
        <f t="shared" si="59"/>
        <v/>
      </c>
      <c r="K399" s="99" t="str">
        <f t="shared" si="60"/>
        <v/>
      </c>
      <c r="L399" s="99" t="str">
        <f t="shared" si="61"/>
        <v/>
      </c>
      <c r="M399" s="106">
        <f>IF(D399="","",ABS(D399-G$5))</f>
        <v>0.99999999999997868</v>
      </c>
    </row>
    <row r="400" spans="2:13" ht="13.5" customHeight="1" x14ac:dyDescent="0.55000000000000004">
      <c r="B400" s="94">
        <v>44391</v>
      </c>
      <c r="C400" s="99">
        <v>2.38</v>
      </c>
      <c r="D400" s="99">
        <f t="shared" si="53"/>
        <v>2.0000000000000018</v>
      </c>
      <c r="E400" s="99">
        <f t="shared" si="54"/>
        <v>0.16683688419665252</v>
      </c>
      <c r="F400" s="99">
        <f t="shared" si="55"/>
        <v>0.67449999999999999</v>
      </c>
      <c r="G400" s="99">
        <f t="shared" si="56"/>
        <v>0.9128338532035114</v>
      </c>
      <c r="H400" s="99" t="str">
        <f t="shared" si="57"/>
        <v/>
      </c>
      <c r="I400" s="99" t="str">
        <f t="shared" si="58"/>
        <v/>
      </c>
      <c r="J400" s="99" t="str">
        <f t="shared" si="59"/>
        <v/>
      </c>
      <c r="K400" s="99" t="str">
        <f t="shared" si="60"/>
        <v/>
      </c>
      <c r="L400" s="99" t="str">
        <f t="shared" si="61"/>
        <v/>
      </c>
      <c r="M400" s="106">
        <f>IF(D400="","",ABS(D400-G$5))</f>
        <v>2.0000000000000018</v>
      </c>
    </row>
    <row r="401" spans="2:13" ht="13.5" customHeight="1" x14ac:dyDescent="0.55000000000000004">
      <c r="B401" s="94">
        <v>44392</v>
      </c>
      <c r="C401" s="99">
        <v>2.38</v>
      </c>
      <c r="D401" s="99">
        <f t="shared" si="53"/>
        <v>0</v>
      </c>
      <c r="E401" s="99">
        <f t="shared" si="54"/>
        <v>2.1587520159630759E-2</v>
      </c>
      <c r="F401" s="99">
        <f t="shared" si="55"/>
        <v>0</v>
      </c>
      <c r="G401" s="99">
        <f t="shared" si="56"/>
        <v>0.12440700286913828</v>
      </c>
      <c r="H401" s="99" t="str">
        <f t="shared" si="57"/>
        <v/>
      </c>
      <c r="I401" s="99" t="str">
        <f t="shared" si="58"/>
        <v/>
      </c>
      <c r="J401" s="99" t="str">
        <f t="shared" si="59"/>
        <v/>
      </c>
      <c r="K401" s="99" t="str">
        <f t="shared" si="60"/>
        <v/>
      </c>
      <c r="L401" s="99" t="str">
        <f t="shared" si="61"/>
        <v>STALE</v>
      </c>
      <c r="M401" s="106">
        <f>IF(D401="","",ABS(D401-G$5))</f>
        <v>0</v>
      </c>
    </row>
    <row r="402" spans="2:13" ht="13.5" customHeight="1" x14ac:dyDescent="0.55000000000000004">
      <c r="B402" s="94">
        <v>44393</v>
      </c>
      <c r="C402" s="99">
        <v>2.41</v>
      </c>
      <c r="D402" s="99">
        <f t="shared" si="53"/>
        <v>3.0000000000000249</v>
      </c>
      <c r="E402" s="99">
        <f t="shared" si="54"/>
        <v>0.26104908637479624</v>
      </c>
      <c r="F402" s="99">
        <f t="shared" si="55"/>
        <v>1.0117500000000075</v>
      </c>
      <c r="G402" s="99">
        <f t="shared" si="56"/>
        <v>1.4175317401246892</v>
      </c>
      <c r="H402" s="99" t="str">
        <f t="shared" si="57"/>
        <v/>
      </c>
      <c r="I402" s="99" t="str">
        <f t="shared" si="58"/>
        <v/>
      </c>
      <c r="J402" s="99" t="str">
        <f t="shared" si="59"/>
        <v/>
      </c>
      <c r="K402" s="99" t="str">
        <f t="shared" si="60"/>
        <v/>
      </c>
      <c r="L402" s="99" t="str">
        <f t="shared" si="61"/>
        <v/>
      </c>
      <c r="M402" s="106">
        <f>IF(D402="","",ABS(D402-G$5))</f>
        <v>3.0000000000000249</v>
      </c>
    </row>
    <row r="403" spans="2:13" ht="13.5" customHeight="1" x14ac:dyDescent="0.55000000000000004">
      <c r="B403" s="94">
        <v>44396</v>
      </c>
      <c r="C403" s="99">
        <v>2.48</v>
      </c>
      <c r="D403" s="99">
        <f t="shared" si="53"/>
        <v>6.999999999999984</v>
      </c>
      <c r="E403" s="99">
        <f t="shared" si="54"/>
        <v>0.6378978950873585</v>
      </c>
      <c r="F403" s="99">
        <f t="shared" si="55"/>
        <v>2.3607499999999924</v>
      </c>
      <c r="G403" s="99">
        <f t="shared" si="56"/>
        <v>2.3903891858846826</v>
      </c>
      <c r="H403" s="99" t="str">
        <f t="shared" si="57"/>
        <v/>
      </c>
      <c r="I403" s="99" t="str">
        <f t="shared" si="58"/>
        <v/>
      </c>
      <c r="J403" s="99" t="str">
        <f t="shared" si="59"/>
        <v/>
      </c>
      <c r="K403" s="99" t="str">
        <f t="shared" si="60"/>
        <v/>
      </c>
      <c r="L403" s="99" t="str">
        <f t="shared" si="61"/>
        <v/>
      </c>
      <c r="M403" s="106">
        <f>IF(D403="","",ABS(D403-G$5))</f>
        <v>6.999999999999984</v>
      </c>
    </row>
    <row r="404" spans="2:13" ht="13.5" customHeight="1" x14ac:dyDescent="0.55000000000000004">
      <c r="B404" s="94">
        <v>44397</v>
      </c>
      <c r="C404" s="99">
        <v>2.4500000000000002</v>
      </c>
      <c r="D404" s="99">
        <f t="shared" si="53"/>
        <v>-2.9999999999999805</v>
      </c>
      <c r="E404" s="99">
        <f t="shared" si="54"/>
        <v>0.30422412669405352</v>
      </c>
      <c r="F404" s="99">
        <f t="shared" si="55"/>
        <v>1.0117499999999926</v>
      </c>
      <c r="G404" s="99">
        <f t="shared" si="56"/>
        <v>1.1233113103861194</v>
      </c>
      <c r="H404" s="99" t="str">
        <f t="shared" si="57"/>
        <v/>
      </c>
      <c r="I404" s="99" t="str">
        <f t="shared" si="58"/>
        <v/>
      </c>
      <c r="J404" s="99" t="str">
        <f t="shared" si="59"/>
        <v/>
      </c>
      <c r="K404" s="99" t="str">
        <f t="shared" si="60"/>
        <v/>
      </c>
      <c r="L404" s="99" t="str">
        <f t="shared" si="61"/>
        <v/>
      </c>
      <c r="M404" s="106">
        <f>IF(D404="","",ABS(D404-G$5))</f>
        <v>2.9999999999999805</v>
      </c>
    </row>
    <row r="405" spans="2:13" ht="13.5" customHeight="1" x14ac:dyDescent="0.55000000000000004">
      <c r="B405" s="94">
        <v>44398</v>
      </c>
      <c r="C405" s="99">
        <v>2.42</v>
      </c>
      <c r="D405" s="99">
        <f t="shared" si="53"/>
        <v>-3.0000000000000249</v>
      </c>
      <c r="E405" s="99">
        <f t="shared" si="54"/>
        <v>0.30422412669405774</v>
      </c>
      <c r="F405" s="99">
        <f t="shared" si="55"/>
        <v>1.0117500000000075</v>
      </c>
      <c r="G405" s="99">
        <f t="shared" si="56"/>
        <v>1.1088881943255258</v>
      </c>
      <c r="H405" s="99" t="str">
        <f t="shared" si="57"/>
        <v/>
      </c>
      <c r="I405" s="99" t="str">
        <f t="shared" si="58"/>
        <v/>
      </c>
      <c r="J405" s="99" t="str">
        <f t="shared" si="59"/>
        <v/>
      </c>
      <c r="K405" s="99" t="str">
        <f t="shared" si="60"/>
        <v/>
      </c>
      <c r="L405" s="99" t="str">
        <f t="shared" si="61"/>
        <v/>
      </c>
      <c r="M405" s="106">
        <f>IF(D405="","",ABS(D405-G$5))</f>
        <v>3.0000000000000249</v>
      </c>
    </row>
    <row r="406" spans="2:13" ht="13.5" customHeight="1" x14ac:dyDescent="0.55000000000000004">
      <c r="B406" s="94">
        <v>44399</v>
      </c>
      <c r="C406" s="99">
        <v>2.39</v>
      </c>
      <c r="D406" s="99">
        <f t="shared" si="53"/>
        <v>-2.9999999999999805</v>
      </c>
      <c r="E406" s="99">
        <f t="shared" si="54"/>
        <v>0.30422412669405352</v>
      </c>
      <c r="F406" s="99">
        <f t="shared" si="55"/>
        <v>1.0117499999999926</v>
      </c>
      <c r="G406" s="99">
        <f t="shared" si="56"/>
        <v>1.0963714875149042</v>
      </c>
      <c r="H406" s="99" t="str">
        <f t="shared" si="57"/>
        <v/>
      </c>
      <c r="I406" s="99" t="str">
        <f t="shared" si="58"/>
        <v/>
      </c>
      <c r="J406" s="99" t="str">
        <f t="shared" si="59"/>
        <v/>
      </c>
      <c r="K406" s="99" t="str">
        <f t="shared" si="60"/>
        <v/>
      </c>
      <c r="L406" s="99" t="str">
        <f t="shared" si="61"/>
        <v/>
      </c>
      <c r="M406" s="106">
        <f>IF(D406="","",ABS(D406-G$5))</f>
        <v>2.9999999999999805</v>
      </c>
    </row>
    <row r="407" spans="2:13" ht="13.5" customHeight="1" x14ac:dyDescent="0.55000000000000004">
      <c r="B407" s="94">
        <v>44400</v>
      </c>
      <c r="C407" s="99">
        <v>2.37</v>
      </c>
      <c r="D407" s="99">
        <f t="shared" si="53"/>
        <v>-2.0000000000000018</v>
      </c>
      <c r="E407" s="99">
        <f t="shared" si="54"/>
        <v>0.21001192451591399</v>
      </c>
      <c r="F407" s="99">
        <f t="shared" si="55"/>
        <v>0.67449999999999999</v>
      </c>
      <c r="G407" s="99">
        <f t="shared" si="56"/>
        <v>0.77354957321457729</v>
      </c>
      <c r="H407" s="99" t="str">
        <f t="shared" si="57"/>
        <v/>
      </c>
      <c r="I407" s="99" t="str">
        <f t="shared" si="58"/>
        <v/>
      </c>
      <c r="J407" s="99" t="str">
        <f t="shared" si="59"/>
        <v/>
      </c>
      <c r="K407" s="99" t="str">
        <f t="shared" si="60"/>
        <v/>
      </c>
      <c r="L407" s="99" t="str">
        <f t="shared" si="61"/>
        <v/>
      </c>
      <c r="M407" s="106">
        <f>IF(D407="","",ABS(D407-G$5))</f>
        <v>2.0000000000000018</v>
      </c>
    </row>
    <row r="408" spans="2:13" ht="13.5" customHeight="1" x14ac:dyDescent="0.55000000000000004">
      <c r="B408" s="94">
        <v>44403</v>
      </c>
      <c r="C408" s="99">
        <v>2.36</v>
      </c>
      <c r="D408" s="99">
        <f t="shared" si="53"/>
        <v>-1.0000000000000231</v>
      </c>
      <c r="E408" s="99">
        <f t="shared" si="54"/>
        <v>0.11579972233777447</v>
      </c>
      <c r="F408" s="99">
        <f t="shared" si="55"/>
        <v>0.33725000000000749</v>
      </c>
      <c r="G408" s="99">
        <f t="shared" si="56"/>
        <v>0.44512781605899543</v>
      </c>
      <c r="H408" s="99" t="str">
        <f t="shared" si="57"/>
        <v/>
      </c>
      <c r="I408" s="99" t="str">
        <f t="shared" si="58"/>
        <v/>
      </c>
      <c r="J408" s="99" t="str">
        <f t="shared" si="59"/>
        <v/>
      </c>
      <c r="K408" s="99" t="str">
        <f t="shared" si="60"/>
        <v/>
      </c>
      <c r="L408" s="99" t="str">
        <f t="shared" si="61"/>
        <v/>
      </c>
      <c r="M408" s="106">
        <f>IF(D408="","",ABS(D408-G$5))</f>
        <v>1.0000000000000231</v>
      </c>
    </row>
    <row r="409" spans="2:13" ht="13.5" customHeight="1" x14ac:dyDescent="0.55000000000000004">
      <c r="B409" s="94">
        <v>44404</v>
      </c>
      <c r="C409" s="99">
        <v>2.33</v>
      </c>
      <c r="D409" s="99">
        <f t="shared" si="53"/>
        <v>-2.9999999999999805</v>
      </c>
      <c r="E409" s="99">
        <f t="shared" si="54"/>
        <v>0.30422412669405352</v>
      </c>
      <c r="F409" s="99">
        <f t="shared" si="55"/>
        <v>1.0117499999999926</v>
      </c>
      <c r="G409" s="99">
        <f t="shared" si="56"/>
        <v>1.1485050186811669</v>
      </c>
      <c r="H409" s="99" t="str">
        <f t="shared" si="57"/>
        <v/>
      </c>
      <c r="I409" s="99" t="str">
        <f t="shared" si="58"/>
        <v/>
      </c>
      <c r="J409" s="99" t="str">
        <f t="shared" si="59"/>
        <v/>
      </c>
      <c r="K409" s="99" t="str">
        <f t="shared" si="60"/>
        <v/>
      </c>
      <c r="L409" s="99" t="str">
        <f t="shared" si="61"/>
        <v/>
      </c>
      <c r="M409" s="106">
        <f>IF(D409="","",ABS(D409-G$5))</f>
        <v>2.9999999999999805</v>
      </c>
    </row>
    <row r="410" spans="2:13" ht="13.5" customHeight="1" x14ac:dyDescent="0.55000000000000004">
      <c r="B410" s="94">
        <v>44405</v>
      </c>
      <c r="C410" s="99">
        <v>2.33</v>
      </c>
      <c r="D410" s="99">
        <f t="shared" si="53"/>
        <v>0</v>
      </c>
      <c r="E410" s="99">
        <f t="shared" si="54"/>
        <v>2.1587520159630759E-2</v>
      </c>
      <c r="F410" s="99">
        <f t="shared" si="55"/>
        <v>0</v>
      </c>
      <c r="G410" s="99">
        <f t="shared" si="56"/>
        <v>8.5873775139108433E-2</v>
      </c>
      <c r="H410" s="99" t="str">
        <f t="shared" si="57"/>
        <v/>
      </c>
      <c r="I410" s="99" t="str">
        <f t="shared" si="58"/>
        <v/>
      </c>
      <c r="J410" s="99" t="str">
        <f t="shared" si="59"/>
        <v/>
      </c>
      <c r="K410" s="99" t="str">
        <f t="shared" si="60"/>
        <v/>
      </c>
      <c r="L410" s="99" t="str">
        <f t="shared" si="61"/>
        <v>STALE</v>
      </c>
      <c r="M410" s="106">
        <f>IF(D410="","",ABS(D410-G$5))</f>
        <v>0</v>
      </c>
    </row>
    <row r="411" spans="2:13" ht="13.5" customHeight="1" x14ac:dyDescent="0.55000000000000004">
      <c r="B411" s="94">
        <v>44406</v>
      </c>
      <c r="C411" s="99">
        <v>2.31</v>
      </c>
      <c r="D411" s="99">
        <f t="shared" ref="D411:D474" si="62">IF(OR(C411="",C410=""),"",(C411-C410)*100)</f>
        <v>-2.0000000000000018</v>
      </c>
      <c r="E411" s="99">
        <f t="shared" ref="E411:E474" si="63">IF(D411="","",ABS(D411-$E$5)/$F$5)</f>
        <v>0.21001192451591399</v>
      </c>
      <c r="F411" s="99">
        <f t="shared" ref="F411:F474" si="64">IF(D411="","",ABS(D411-$G$5)/$H$5)</f>
        <v>0.67449999999999999</v>
      </c>
      <c r="G411" s="99">
        <f t="shared" ref="G411:G474" si="65">IF(D411="","",ABS(D411-$E$5)/SQRT(0.9*(IF(G410="",($F$5)^2,(ABS(D410-$E$5)/MAX(G410,0.0000000001))^2))+0.1*(D411-$E$5)^2))</f>
        <v>0.84832552079966239</v>
      </c>
      <c r="H411" s="99" t="str">
        <f t="shared" ref="H411:H474" si="66">IF(E411="","",IF(E411&gt;$I$5,"OUTLIER",""))</f>
        <v/>
      </c>
      <c r="I411" s="99" t="str">
        <f t="shared" ref="I411:I474" si="67">IF(F411="","",IF(F411&gt;$I$5,"OUTLIER",""))</f>
        <v/>
      </c>
      <c r="J411" s="99" t="str">
        <f t="shared" ref="J411:J474" si="68">IF(G411="","",IF(G411&gt;$I$5,"OUTLIER",""))</f>
        <v/>
      </c>
      <c r="K411" s="99" t="str">
        <f t="shared" ref="K411:K474" si="69">IF(C411="","MISSING","")</f>
        <v/>
      </c>
      <c r="L411" s="99" t="str">
        <f t="shared" ref="L411:L474" si="70">IF(AND(C411&lt;&gt;"",C410&lt;&gt;"",C411=C410),"STALE","")</f>
        <v/>
      </c>
      <c r="M411" s="106">
        <f>IF(D411="","",ABS(D411-G$5))</f>
        <v>2.0000000000000018</v>
      </c>
    </row>
    <row r="412" spans="2:13" ht="13.5" customHeight="1" x14ac:dyDescent="0.55000000000000004">
      <c r="B412" s="94">
        <v>44407</v>
      </c>
      <c r="C412" s="99">
        <v>2.33</v>
      </c>
      <c r="D412" s="99">
        <f t="shared" si="62"/>
        <v>2.0000000000000018</v>
      </c>
      <c r="E412" s="99">
        <f t="shared" si="63"/>
        <v>0.16683688419665252</v>
      </c>
      <c r="F412" s="99">
        <f t="shared" si="64"/>
        <v>0.67449999999999999</v>
      </c>
      <c r="G412" s="99">
        <f t="shared" si="65"/>
        <v>0.69310475124580906</v>
      </c>
      <c r="H412" s="99" t="str">
        <f t="shared" si="66"/>
        <v/>
      </c>
      <c r="I412" s="99" t="str">
        <f t="shared" si="67"/>
        <v/>
      </c>
      <c r="J412" s="99" t="str">
        <f t="shared" si="68"/>
        <v/>
      </c>
      <c r="K412" s="99" t="str">
        <f t="shared" si="69"/>
        <v/>
      </c>
      <c r="L412" s="99" t="str">
        <f t="shared" si="70"/>
        <v/>
      </c>
      <c r="M412" s="106">
        <f>IF(D412="","",ABS(D412-G$5))</f>
        <v>2.0000000000000018</v>
      </c>
    </row>
    <row r="413" spans="2:13" ht="13.5" customHeight="1" x14ac:dyDescent="0.55000000000000004">
      <c r="B413" s="94">
        <v>44410</v>
      </c>
      <c r="C413" s="99">
        <v>2.2999999999999998</v>
      </c>
      <c r="D413" s="99">
        <f t="shared" si="62"/>
        <v>-3.0000000000000249</v>
      </c>
      <c r="E413" s="99">
        <f t="shared" si="63"/>
        <v>0.30422412669405774</v>
      </c>
      <c r="F413" s="99">
        <f t="shared" si="64"/>
        <v>1.0117500000000075</v>
      </c>
      <c r="G413" s="99">
        <f t="shared" si="65"/>
        <v>1.2277268586840333</v>
      </c>
      <c r="H413" s="99" t="str">
        <f t="shared" si="66"/>
        <v/>
      </c>
      <c r="I413" s="99" t="str">
        <f t="shared" si="67"/>
        <v/>
      </c>
      <c r="J413" s="99" t="str">
        <f t="shared" si="68"/>
        <v/>
      </c>
      <c r="K413" s="99" t="str">
        <f t="shared" si="69"/>
        <v/>
      </c>
      <c r="L413" s="99" t="str">
        <f t="shared" si="70"/>
        <v/>
      </c>
      <c r="M413" s="106">
        <f>IF(D413="","",ABS(D413-G$5))</f>
        <v>3.0000000000000249</v>
      </c>
    </row>
    <row r="414" spans="2:13" ht="13.5" customHeight="1" x14ac:dyDescent="0.55000000000000004">
      <c r="B414" s="94">
        <v>44411</v>
      </c>
      <c r="C414" s="99">
        <v>2.29</v>
      </c>
      <c r="D414" s="99">
        <f t="shared" si="62"/>
        <v>-0.99999999999997868</v>
      </c>
      <c r="E414" s="99">
        <f t="shared" si="63"/>
        <v>0.11579972233777029</v>
      </c>
      <c r="F414" s="99">
        <f t="shared" si="64"/>
        <v>0.3372499999999925</v>
      </c>
      <c r="G414" s="99">
        <f t="shared" si="65"/>
        <v>0.48672998390667405</v>
      </c>
      <c r="H414" s="99" t="str">
        <f t="shared" si="66"/>
        <v/>
      </c>
      <c r="I414" s="99" t="str">
        <f t="shared" si="67"/>
        <v/>
      </c>
      <c r="J414" s="99" t="str">
        <f t="shared" si="68"/>
        <v/>
      </c>
      <c r="K414" s="99" t="str">
        <f t="shared" si="69"/>
        <v/>
      </c>
      <c r="L414" s="99" t="str">
        <f t="shared" si="70"/>
        <v/>
      </c>
      <c r="M414" s="106">
        <f>IF(D414="","",ABS(D414-G$5))</f>
        <v>0.99999999999997868</v>
      </c>
    </row>
    <row r="415" spans="2:13" ht="13.5" customHeight="1" x14ac:dyDescent="0.55000000000000004">
      <c r="B415" s="94">
        <v>44412</v>
      </c>
      <c r="C415" s="99">
        <v>2.2799999999999998</v>
      </c>
      <c r="D415" s="99">
        <f t="shared" si="62"/>
        <v>-1.0000000000000231</v>
      </c>
      <c r="E415" s="99">
        <f t="shared" si="63"/>
        <v>0.11579972233777447</v>
      </c>
      <c r="F415" s="99">
        <f t="shared" si="64"/>
        <v>0.33725000000000749</v>
      </c>
      <c r="G415" s="99">
        <f t="shared" si="65"/>
        <v>0.5064363114115612</v>
      </c>
      <c r="H415" s="99" t="str">
        <f t="shared" si="66"/>
        <v/>
      </c>
      <c r="I415" s="99" t="str">
        <f t="shared" si="67"/>
        <v/>
      </c>
      <c r="J415" s="99" t="str">
        <f t="shared" si="68"/>
        <v/>
      </c>
      <c r="K415" s="99" t="str">
        <f t="shared" si="69"/>
        <v/>
      </c>
      <c r="L415" s="99" t="str">
        <f t="shared" si="70"/>
        <v/>
      </c>
      <c r="M415" s="106">
        <f>IF(D415="","",ABS(D415-G$5))</f>
        <v>1.0000000000000231</v>
      </c>
    </row>
    <row r="416" spans="2:13" ht="13.5" customHeight="1" x14ac:dyDescent="0.55000000000000004">
      <c r="B416" s="94">
        <v>44413</v>
      </c>
      <c r="C416" s="99">
        <v>2.27</v>
      </c>
      <c r="D416" s="99">
        <f t="shared" si="62"/>
        <v>-0.99999999999997868</v>
      </c>
      <c r="E416" s="99">
        <f t="shared" si="63"/>
        <v>0.11579972233777029</v>
      </c>
      <c r="F416" s="99">
        <f t="shared" si="64"/>
        <v>0.3372499999999925</v>
      </c>
      <c r="G416" s="99">
        <f t="shared" si="65"/>
        <v>0.52638312312573421</v>
      </c>
      <c r="H416" s="99" t="str">
        <f t="shared" si="66"/>
        <v/>
      </c>
      <c r="I416" s="99" t="str">
        <f t="shared" si="67"/>
        <v/>
      </c>
      <c r="J416" s="99" t="str">
        <f t="shared" si="68"/>
        <v/>
      </c>
      <c r="K416" s="99" t="str">
        <f t="shared" si="69"/>
        <v/>
      </c>
      <c r="L416" s="99" t="str">
        <f t="shared" si="70"/>
        <v/>
      </c>
      <c r="M416" s="106">
        <f>IF(D416="","",ABS(D416-G$5))</f>
        <v>0.99999999999997868</v>
      </c>
    </row>
    <row r="417" spans="2:13" ht="13.5" customHeight="1" x14ac:dyDescent="0.55000000000000004">
      <c r="B417" s="94">
        <v>44414</v>
      </c>
      <c r="C417" s="99">
        <v>2.2599999999999998</v>
      </c>
      <c r="D417" s="99">
        <f t="shared" si="62"/>
        <v>-1.0000000000000231</v>
      </c>
      <c r="E417" s="99">
        <f t="shared" si="63"/>
        <v>0.11579972233777447</v>
      </c>
      <c r="F417" s="99">
        <f t="shared" si="64"/>
        <v>0.33725000000000749</v>
      </c>
      <c r="G417" s="99">
        <f t="shared" si="65"/>
        <v>0.54650774938229485</v>
      </c>
      <c r="H417" s="99" t="str">
        <f t="shared" si="66"/>
        <v/>
      </c>
      <c r="I417" s="99" t="str">
        <f t="shared" si="67"/>
        <v/>
      </c>
      <c r="J417" s="99" t="str">
        <f t="shared" si="68"/>
        <v/>
      </c>
      <c r="K417" s="99" t="str">
        <f t="shared" si="69"/>
        <v/>
      </c>
      <c r="L417" s="99" t="str">
        <f t="shared" si="70"/>
        <v/>
      </c>
      <c r="M417" s="106">
        <f>IF(D417="","",ABS(D417-G$5))</f>
        <v>1.0000000000000231</v>
      </c>
    </row>
    <row r="418" spans="2:13" ht="13.5" customHeight="1" x14ac:dyDescent="0.55000000000000004">
      <c r="B418" s="94">
        <v>44417</v>
      </c>
      <c r="C418" s="99">
        <v>2.2599999999999998</v>
      </c>
      <c r="D418" s="99">
        <f t="shared" si="62"/>
        <v>0</v>
      </c>
      <c r="E418" s="99">
        <f t="shared" si="63"/>
        <v>2.1587520159630759E-2</v>
      </c>
      <c r="F418" s="99">
        <f t="shared" si="64"/>
        <v>0</v>
      </c>
      <c r="G418" s="99">
        <f t="shared" si="65"/>
        <v>0.10732972516405194</v>
      </c>
      <c r="H418" s="99" t="str">
        <f t="shared" si="66"/>
        <v/>
      </c>
      <c r="I418" s="99" t="str">
        <f t="shared" si="67"/>
        <v/>
      </c>
      <c r="J418" s="99" t="str">
        <f t="shared" si="68"/>
        <v/>
      </c>
      <c r="K418" s="99" t="str">
        <f t="shared" si="69"/>
        <v/>
      </c>
      <c r="L418" s="99" t="str">
        <f t="shared" si="70"/>
        <v>STALE</v>
      </c>
      <c r="M418" s="106">
        <f>IF(D418="","",ABS(D418-G$5))</f>
        <v>0</v>
      </c>
    </row>
    <row r="419" spans="2:13" ht="13.5" customHeight="1" x14ac:dyDescent="0.55000000000000004">
      <c r="B419" s="94">
        <v>44418</v>
      </c>
      <c r="C419" s="99">
        <v>2.2599999999999998</v>
      </c>
      <c r="D419" s="99">
        <f t="shared" si="62"/>
        <v>0</v>
      </c>
      <c r="E419" s="99">
        <f t="shared" si="63"/>
        <v>2.1587520159630759E-2</v>
      </c>
      <c r="F419" s="99">
        <f t="shared" si="64"/>
        <v>0</v>
      </c>
      <c r="G419" s="99">
        <f t="shared" si="65"/>
        <v>0.11306312886291607</v>
      </c>
      <c r="H419" s="99" t="str">
        <f t="shared" si="66"/>
        <v/>
      </c>
      <c r="I419" s="99" t="str">
        <f t="shared" si="67"/>
        <v/>
      </c>
      <c r="J419" s="99" t="str">
        <f t="shared" si="68"/>
        <v/>
      </c>
      <c r="K419" s="99" t="str">
        <f t="shared" si="69"/>
        <v/>
      </c>
      <c r="L419" s="99" t="str">
        <f t="shared" si="70"/>
        <v>STALE</v>
      </c>
      <c r="M419" s="106">
        <f>IF(D419="","",ABS(D419-G$5))</f>
        <v>0</v>
      </c>
    </row>
    <row r="420" spans="2:13" ht="13.5" customHeight="1" x14ac:dyDescent="0.55000000000000004">
      <c r="B420" s="94">
        <v>44419</v>
      </c>
      <c r="C420" s="99">
        <v>2.25</v>
      </c>
      <c r="D420" s="99">
        <f t="shared" si="62"/>
        <v>-0.99999999999997868</v>
      </c>
      <c r="E420" s="99">
        <f t="shared" si="63"/>
        <v>0.11579972233777029</v>
      </c>
      <c r="F420" s="99">
        <f t="shared" si="64"/>
        <v>0.3372499999999925</v>
      </c>
      <c r="G420" s="99">
        <f t="shared" si="65"/>
        <v>0.6266227746789933</v>
      </c>
      <c r="H420" s="99" t="str">
        <f t="shared" si="66"/>
        <v/>
      </c>
      <c r="I420" s="99" t="str">
        <f t="shared" si="67"/>
        <v/>
      </c>
      <c r="J420" s="99" t="str">
        <f t="shared" si="68"/>
        <v/>
      </c>
      <c r="K420" s="99" t="str">
        <f t="shared" si="69"/>
        <v/>
      </c>
      <c r="L420" s="99" t="str">
        <f t="shared" si="70"/>
        <v/>
      </c>
      <c r="M420" s="106">
        <f>IF(D420="","",ABS(D420-G$5))</f>
        <v>0.99999999999997868</v>
      </c>
    </row>
    <row r="421" spans="2:13" ht="13.5" customHeight="1" x14ac:dyDescent="0.55000000000000004">
      <c r="B421" s="94">
        <v>44420</v>
      </c>
      <c r="C421" s="99">
        <v>2.2400000000000002</v>
      </c>
      <c r="D421" s="99">
        <f t="shared" si="62"/>
        <v>-0.99999999999997868</v>
      </c>
      <c r="E421" s="99">
        <f t="shared" si="63"/>
        <v>0.11579972233777029</v>
      </c>
      <c r="F421" s="99">
        <f t="shared" si="64"/>
        <v>0.3372499999999925</v>
      </c>
      <c r="G421" s="99">
        <f t="shared" si="65"/>
        <v>0.6465646619635691</v>
      </c>
      <c r="H421" s="99" t="str">
        <f t="shared" si="66"/>
        <v/>
      </c>
      <c r="I421" s="99" t="str">
        <f t="shared" si="67"/>
        <v/>
      </c>
      <c r="J421" s="99" t="str">
        <f t="shared" si="68"/>
        <v/>
      </c>
      <c r="K421" s="99" t="str">
        <f t="shared" si="69"/>
        <v/>
      </c>
      <c r="L421" s="99" t="str">
        <f t="shared" si="70"/>
        <v/>
      </c>
      <c r="M421" s="106">
        <f>IF(D421="","",ABS(D421-G$5))</f>
        <v>0.99999999999997868</v>
      </c>
    </row>
    <row r="422" spans="2:13" ht="13.5" customHeight="1" x14ac:dyDescent="0.55000000000000004">
      <c r="B422" s="94">
        <v>44421</v>
      </c>
      <c r="C422" s="99">
        <v>2.23</v>
      </c>
      <c r="D422" s="99">
        <f t="shared" si="62"/>
        <v>-1.0000000000000231</v>
      </c>
      <c r="E422" s="99">
        <f t="shared" si="63"/>
        <v>0.11579972233777447</v>
      </c>
      <c r="F422" s="99">
        <f t="shared" si="64"/>
        <v>0.33725000000000749</v>
      </c>
      <c r="G422" s="99">
        <f t="shared" si="65"/>
        <v>0.66624132016271698</v>
      </c>
      <c r="H422" s="99" t="str">
        <f t="shared" si="66"/>
        <v/>
      </c>
      <c r="I422" s="99" t="str">
        <f t="shared" si="67"/>
        <v/>
      </c>
      <c r="J422" s="99" t="str">
        <f t="shared" si="68"/>
        <v/>
      </c>
      <c r="K422" s="99" t="str">
        <f t="shared" si="69"/>
        <v/>
      </c>
      <c r="L422" s="99" t="str">
        <f t="shared" si="70"/>
        <v/>
      </c>
      <c r="M422" s="106">
        <f>IF(D422="","",ABS(D422-G$5))</f>
        <v>1.0000000000000231</v>
      </c>
    </row>
    <row r="423" spans="2:13" ht="13.5" customHeight="1" x14ac:dyDescent="0.55000000000000004">
      <c r="B423" s="94">
        <v>44424</v>
      </c>
      <c r="C423" s="99">
        <v>2.2400000000000002</v>
      </c>
      <c r="D423" s="99">
        <f t="shared" si="62"/>
        <v>1.0000000000000231</v>
      </c>
      <c r="E423" s="99">
        <f t="shared" si="63"/>
        <v>7.2624682018512965E-2</v>
      </c>
      <c r="F423" s="99">
        <f t="shared" si="64"/>
        <v>0.33725000000000749</v>
      </c>
      <c r="G423" s="99">
        <f t="shared" si="65"/>
        <v>0.43622945212680014</v>
      </c>
      <c r="H423" s="99" t="str">
        <f t="shared" si="66"/>
        <v/>
      </c>
      <c r="I423" s="99" t="str">
        <f t="shared" si="67"/>
        <v/>
      </c>
      <c r="J423" s="99" t="str">
        <f t="shared" si="68"/>
        <v/>
      </c>
      <c r="K423" s="99" t="str">
        <f t="shared" si="69"/>
        <v/>
      </c>
      <c r="L423" s="99" t="str">
        <f t="shared" si="70"/>
        <v/>
      </c>
      <c r="M423" s="106">
        <f>IF(D423="","",ABS(D423-G$5))</f>
        <v>1.0000000000000231</v>
      </c>
    </row>
    <row r="424" spans="2:13" ht="13.5" customHeight="1" x14ac:dyDescent="0.55000000000000004">
      <c r="B424" s="94">
        <v>44425</v>
      </c>
      <c r="C424" s="99">
        <v>2.27</v>
      </c>
      <c r="D424" s="99">
        <f t="shared" si="62"/>
        <v>2.9999999999999805</v>
      </c>
      <c r="E424" s="99">
        <f t="shared" si="63"/>
        <v>0.26104908637479202</v>
      </c>
      <c r="F424" s="99">
        <f t="shared" si="64"/>
        <v>1.0117499999999926</v>
      </c>
      <c r="G424" s="99">
        <f t="shared" si="65"/>
        <v>1.4648232051629935</v>
      </c>
      <c r="H424" s="99" t="str">
        <f t="shared" si="66"/>
        <v/>
      </c>
      <c r="I424" s="99" t="str">
        <f t="shared" si="67"/>
        <v/>
      </c>
      <c r="J424" s="99" t="str">
        <f t="shared" si="68"/>
        <v/>
      </c>
      <c r="K424" s="99" t="str">
        <f t="shared" si="69"/>
        <v/>
      </c>
      <c r="L424" s="99" t="str">
        <f t="shared" si="70"/>
        <v/>
      </c>
      <c r="M424" s="106">
        <f>IF(D424="","",ABS(D424-G$5))</f>
        <v>2.9999999999999805</v>
      </c>
    </row>
    <row r="425" spans="2:13" ht="13.5" customHeight="1" x14ac:dyDescent="0.55000000000000004">
      <c r="B425" s="94">
        <v>44426</v>
      </c>
      <c r="C425" s="99">
        <v>2.3199999999999998</v>
      </c>
      <c r="D425" s="99">
        <f t="shared" si="62"/>
        <v>4.9999999999999822</v>
      </c>
      <c r="E425" s="99">
        <f t="shared" si="63"/>
        <v>0.44947349073107523</v>
      </c>
      <c r="F425" s="99">
        <f t="shared" si="64"/>
        <v>1.6862499999999925</v>
      </c>
      <c r="G425" s="99">
        <f t="shared" si="65"/>
        <v>2.0349584308859754</v>
      </c>
      <c r="H425" s="99" t="str">
        <f t="shared" si="66"/>
        <v/>
      </c>
      <c r="I425" s="99" t="str">
        <f t="shared" si="67"/>
        <v/>
      </c>
      <c r="J425" s="99" t="str">
        <f t="shared" si="68"/>
        <v/>
      </c>
      <c r="K425" s="99" t="str">
        <f t="shared" si="69"/>
        <v/>
      </c>
      <c r="L425" s="99" t="str">
        <f t="shared" si="70"/>
        <v/>
      </c>
      <c r="M425" s="106">
        <f>IF(D425="","",ABS(D425-G$5))</f>
        <v>4.9999999999999822</v>
      </c>
    </row>
    <row r="426" spans="2:13" ht="13.5" customHeight="1" x14ac:dyDescent="0.55000000000000004">
      <c r="B426" s="94">
        <v>44427</v>
      </c>
      <c r="C426" s="99">
        <v>2.33</v>
      </c>
      <c r="D426" s="99">
        <f t="shared" si="62"/>
        <v>1.0000000000000231</v>
      </c>
      <c r="E426" s="99">
        <f t="shared" si="63"/>
        <v>7.2624682018512965E-2</v>
      </c>
      <c r="F426" s="99">
        <f t="shared" si="64"/>
        <v>0.33725000000000749</v>
      </c>
      <c r="G426" s="99">
        <f t="shared" si="65"/>
        <v>0.34452563100401506</v>
      </c>
      <c r="H426" s="99" t="str">
        <f t="shared" si="66"/>
        <v/>
      </c>
      <c r="I426" s="99" t="str">
        <f t="shared" si="67"/>
        <v/>
      </c>
      <c r="J426" s="99" t="str">
        <f t="shared" si="68"/>
        <v/>
      </c>
      <c r="K426" s="99" t="str">
        <f t="shared" si="69"/>
        <v/>
      </c>
      <c r="L426" s="99" t="str">
        <f t="shared" si="70"/>
        <v/>
      </c>
      <c r="M426" s="106">
        <f>IF(D426="","",ABS(D426-G$5))</f>
        <v>1.0000000000000231</v>
      </c>
    </row>
    <row r="427" spans="2:13" ht="13.5" customHeight="1" x14ac:dyDescent="0.55000000000000004">
      <c r="B427" s="94">
        <v>44428</v>
      </c>
      <c r="C427" s="99">
        <v>2.2999999999999998</v>
      </c>
      <c r="D427" s="99">
        <f t="shared" si="62"/>
        <v>-3.0000000000000249</v>
      </c>
      <c r="E427" s="99">
        <f t="shared" si="63"/>
        <v>0.30422412669405774</v>
      </c>
      <c r="F427" s="99">
        <f t="shared" si="64"/>
        <v>1.0117500000000075</v>
      </c>
      <c r="G427" s="99">
        <f t="shared" si="65"/>
        <v>1.3708970823022257</v>
      </c>
      <c r="H427" s="99" t="str">
        <f t="shared" si="66"/>
        <v/>
      </c>
      <c r="I427" s="99" t="str">
        <f t="shared" si="67"/>
        <v/>
      </c>
      <c r="J427" s="99" t="str">
        <f t="shared" si="68"/>
        <v/>
      </c>
      <c r="K427" s="99" t="str">
        <f t="shared" si="69"/>
        <v/>
      </c>
      <c r="L427" s="99" t="str">
        <f t="shared" si="70"/>
        <v/>
      </c>
      <c r="M427" s="106">
        <f>IF(D427="","",ABS(D427-G$5))</f>
        <v>3.0000000000000249</v>
      </c>
    </row>
    <row r="428" spans="2:13" ht="13.5" customHeight="1" x14ac:dyDescent="0.55000000000000004">
      <c r="B428" s="94">
        <v>44431</v>
      </c>
      <c r="C428" s="99">
        <v>2.2799999999999998</v>
      </c>
      <c r="D428" s="99">
        <f t="shared" si="62"/>
        <v>-2.0000000000000018</v>
      </c>
      <c r="E428" s="99">
        <f t="shared" si="63"/>
        <v>0.21001192451591399</v>
      </c>
      <c r="F428" s="99">
        <f t="shared" si="64"/>
        <v>0.67449999999999999</v>
      </c>
      <c r="G428" s="99">
        <f t="shared" si="65"/>
        <v>0.95133671702854883</v>
      </c>
      <c r="H428" s="99" t="str">
        <f t="shared" si="66"/>
        <v/>
      </c>
      <c r="I428" s="99" t="str">
        <f t="shared" si="67"/>
        <v/>
      </c>
      <c r="J428" s="99" t="str">
        <f t="shared" si="68"/>
        <v/>
      </c>
      <c r="K428" s="99" t="str">
        <f t="shared" si="69"/>
        <v/>
      </c>
      <c r="L428" s="99" t="str">
        <f t="shared" si="70"/>
        <v/>
      </c>
      <c r="M428" s="106">
        <f>IF(D428="","",ABS(D428-G$5))</f>
        <v>2.0000000000000018</v>
      </c>
    </row>
    <row r="429" spans="2:13" ht="13.5" customHeight="1" x14ac:dyDescent="0.55000000000000004">
      <c r="B429" s="94">
        <v>44432</v>
      </c>
      <c r="C429" s="99">
        <v>2.27</v>
      </c>
      <c r="D429" s="99">
        <f t="shared" si="62"/>
        <v>-0.99999999999997868</v>
      </c>
      <c r="E429" s="99">
        <f t="shared" si="63"/>
        <v>0.11579972233777029</v>
      </c>
      <c r="F429" s="99">
        <f t="shared" si="64"/>
        <v>0.3372499999999925</v>
      </c>
      <c r="G429" s="99">
        <f t="shared" si="65"/>
        <v>0.54467439987822375</v>
      </c>
      <c r="H429" s="99" t="str">
        <f t="shared" si="66"/>
        <v/>
      </c>
      <c r="I429" s="99" t="str">
        <f t="shared" si="67"/>
        <v/>
      </c>
      <c r="J429" s="99" t="str">
        <f t="shared" si="68"/>
        <v/>
      </c>
      <c r="K429" s="99" t="str">
        <f t="shared" si="69"/>
        <v/>
      </c>
      <c r="L429" s="99" t="str">
        <f t="shared" si="70"/>
        <v/>
      </c>
      <c r="M429" s="106">
        <f>IF(D429="","",ABS(D429-G$5))</f>
        <v>0.99999999999997868</v>
      </c>
    </row>
    <row r="430" spans="2:13" ht="13.5" customHeight="1" x14ac:dyDescent="0.55000000000000004">
      <c r="B430" s="94">
        <v>44433</v>
      </c>
      <c r="C430" s="99">
        <v>2.2599999999999998</v>
      </c>
      <c r="D430" s="99">
        <f t="shared" si="62"/>
        <v>-1.0000000000000231</v>
      </c>
      <c r="E430" s="99">
        <f t="shared" si="63"/>
        <v>0.11579972233777447</v>
      </c>
      <c r="F430" s="99">
        <f t="shared" si="64"/>
        <v>0.33725000000000749</v>
      </c>
      <c r="G430" s="99">
        <f t="shared" si="65"/>
        <v>0.56490218066541531</v>
      </c>
      <c r="H430" s="99" t="str">
        <f t="shared" si="66"/>
        <v/>
      </c>
      <c r="I430" s="99" t="str">
        <f t="shared" si="67"/>
        <v/>
      </c>
      <c r="J430" s="99" t="str">
        <f t="shared" si="68"/>
        <v/>
      </c>
      <c r="K430" s="99" t="str">
        <f t="shared" si="69"/>
        <v/>
      </c>
      <c r="L430" s="99" t="str">
        <f t="shared" si="70"/>
        <v/>
      </c>
      <c r="M430" s="106">
        <f>IF(D430="","",ABS(D430-G$5))</f>
        <v>1.0000000000000231</v>
      </c>
    </row>
    <row r="431" spans="2:13" ht="13.5" customHeight="1" x14ac:dyDescent="0.55000000000000004">
      <c r="B431" s="94">
        <v>44434</v>
      </c>
      <c r="C431" s="99">
        <v>2.27</v>
      </c>
      <c r="D431" s="99">
        <f t="shared" si="62"/>
        <v>1.0000000000000231</v>
      </c>
      <c r="E431" s="99">
        <f t="shared" si="63"/>
        <v>7.2624682018512965E-2</v>
      </c>
      <c r="F431" s="99">
        <f t="shared" si="64"/>
        <v>0.33725000000000749</v>
      </c>
      <c r="G431" s="99">
        <f t="shared" si="65"/>
        <v>0.37086961689703629</v>
      </c>
      <c r="H431" s="99" t="str">
        <f t="shared" si="66"/>
        <v/>
      </c>
      <c r="I431" s="99" t="str">
        <f t="shared" si="67"/>
        <v/>
      </c>
      <c r="J431" s="99" t="str">
        <f t="shared" si="68"/>
        <v/>
      </c>
      <c r="K431" s="99" t="str">
        <f t="shared" si="69"/>
        <v/>
      </c>
      <c r="L431" s="99" t="str">
        <f t="shared" si="70"/>
        <v/>
      </c>
      <c r="M431" s="106">
        <f>IF(D431="","",ABS(D431-G$5))</f>
        <v>1.0000000000000231</v>
      </c>
    </row>
    <row r="432" spans="2:13" ht="13.5" customHeight="1" x14ac:dyDescent="0.55000000000000004">
      <c r="B432" s="94">
        <v>44435</v>
      </c>
      <c r="C432" s="99">
        <v>2.2400000000000002</v>
      </c>
      <c r="D432" s="99">
        <f t="shared" si="62"/>
        <v>-2.9999999999999805</v>
      </c>
      <c r="E432" s="99">
        <f t="shared" si="63"/>
        <v>0.30422412669405352</v>
      </c>
      <c r="F432" s="99">
        <f t="shared" si="64"/>
        <v>1.0117499999999926</v>
      </c>
      <c r="G432" s="99">
        <f t="shared" si="65"/>
        <v>1.4541853338046598</v>
      </c>
      <c r="H432" s="99" t="str">
        <f t="shared" si="66"/>
        <v/>
      </c>
      <c r="I432" s="99" t="str">
        <f t="shared" si="67"/>
        <v/>
      </c>
      <c r="J432" s="99" t="str">
        <f t="shared" si="68"/>
        <v/>
      </c>
      <c r="K432" s="99" t="str">
        <f t="shared" si="69"/>
        <v/>
      </c>
      <c r="L432" s="99" t="str">
        <f t="shared" si="70"/>
        <v/>
      </c>
      <c r="M432" s="106">
        <f>IF(D432="","",ABS(D432-G$5))</f>
        <v>2.9999999999999805</v>
      </c>
    </row>
    <row r="433" spans="2:13" ht="13.5" customHeight="1" x14ac:dyDescent="0.55000000000000004">
      <c r="B433" s="94">
        <v>44438</v>
      </c>
      <c r="C433" s="99">
        <v>2.2200000000000002</v>
      </c>
      <c r="D433" s="99">
        <f t="shared" si="62"/>
        <v>-2.0000000000000018</v>
      </c>
      <c r="E433" s="99">
        <f t="shared" si="63"/>
        <v>0.21001192451591399</v>
      </c>
      <c r="F433" s="99">
        <f t="shared" si="64"/>
        <v>0.67449999999999999</v>
      </c>
      <c r="G433" s="99">
        <f t="shared" si="65"/>
        <v>1.0034655713411069</v>
      </c>
      <c r="H433" s="99" t="str">
        <f t="shared" si="66"/>
        <v/>
      </c>
      <c r="I433" s="99" t="str">
        <f t="shared" si="67"/>
        <v/>
      </c>
      <c r="J433" s="99" t="str">
        <f t="shared" si="68"/>
        <v/>
      </c>
      <c r="K433" s="99" t="str">
        <f t="shared" si="69"/>
        <v/>
      </c>
      <c r="L433" s="99" t="str">
        <f t="shared" si="70"/>
        <v/>
      </c>
      <c r="M433" s="106">
        <f>IF(D433="","",ABS(D433-G$5))</f>
        <v>2.0000000000000018</v>
      </c>
    </row>
    <row r="434" spans="2:13" ht="13.5" customHeight="1" x14ac:dyDescent="0.55000000000000004">
      <c r="B434" s="94">
        <v>44439</v>
      </c>
      <c r="C434" s="99">
        <v>2.2200000000000002</v>
      </c>
      <c r="D434" s="99">
        <f t="shared" si="62"/>
        <v>0</v>
      </c>
      <c r="E434" s="99">
        <f t="shared" si="63"/>
        <v>2.1587520159630759E-2</v>
      </c>
      <c r="F434" s="99">
        <f t="shared" si="64"/>
        <v>0</v>
      </c>
      <c r="G434" s="99">
        <f t="shared" si="65"/>
        <v>0.10866344507021711</v>
      </c>
      <c r="H434" s="99" t="str">
        <f t="shared" si="66"/>
        <v/>
      </c>
      <c r="I434" s="99" t="str">
        <f t="shared" si="67"/>
        <v/>
      </c>
      <c r="J434" s="99" t="str">
        <f t="shared" si="68"/>
        <v/>
      </c>
      <c r="K434" s="99" t="str">
        <f t="shared" si="69"/>
        <v/>
      </c>
      <c r="L434" s="99" t="str">
        <f t="shared" si="70"/>
        <v>STALE</v>
      </c>
      <c r="M434" s="106">
        <f>IF(D434="","",ABS(D434-G$5))</f>
        <v>0</v>
      </c>
    </row>
    <row r="435" spans="2:13" ht="13.5" customHeight="1" x14ac:dyDescent="0.55000000000000004">
      <c r="B435" s="94">
        <v>44440</v>
      </c>
      <c r="C435" s="99">
        <v>2.2000000000000002</v>
      </c>
      <c r="D435" s="99">
        <f t="shared" si="62"/>
        <v>-2.0000000000000018</v>
      </c>
      <c r="E435" s="99">
        <f t="shared" si="63"/>
        <v>0.21001192451591399</v>
      </c>
      <c r="F435" s="99">
        <f t="shared" si="64"/>
        <v>0.67449999999999999</v>
      </c>
      <c r="G435" s="99">
        <f t="shared" si="65"/>
        <v>1.0509642960919208</v>
      </c>
      <c r="H435" s="99" t="str">
        <f t="shared" si="66"/>
        <v/>
      </c>
      <c r="I435" s="99" t="str">
        <f t="shared" si="67"/>
        <v/>
      </c>
      <c r="J435" s="99" t="str">
        <f t="shared" si="68"/>
        <v/>
      </c>
      <c r="K435" s="99" t="str">
        <f t="shared" si="69"/>
        <v/>
      </c>
      <c r="L435" s="99" t="str">
        <f t="shared" si="70"/>
        <v/>
      </c>
      <c r="M435" s="106">
        <f>IF(D435="","",ABS(D435-G$5))</f>
        <v>2.0000000000000018</v>
      </c>
    </row>
    <row r="436" spans="2:13" ht="13.5" customHeight="1" x14ac:dyDescent="0.55000000000000004">
      <c r="B436" s="94">
        <v>44441</v>
      </c>
      <c r="C436" s="99">
        <v>2.19</v>
      </c>
      <c r="D436" s="99">
        <f t="shared" si="62"/>
        <v>-1.0000000000000231</v>
      </c>
      <c r="E436" s="99">
        <f t="shared" si="63"/>
        <v>0.11579972233777447</v>
      </c>
      <c r="F436" s="99">
        <f t="shared" si="64"/>
        <v>0.33725000000000749</v>
      </c>
      <c r="G436" s="99">
        <f t="shared" si="65"/>
        <v>0.599757038987353</v>
      </c>
      <c r="H436" s="99" t="str">
        <f t="shared" si="66"/>
        <v/>
      </c>
      <c r="I436" s="99" t="str">
        <f t="shared" si="67"/>
        <v/>
      </c>
      <c r="J436" s="99" t="str">
        <f t="shared" si="68"/>
        <v/>
      </c>
      <c r="K436" s="99" t="str">
        <f t="shared" si="69"/>
        <v/>
      </c>
      <c r="L436" s="99" t="str">
        <f t="shared" si="70"/>
        <v/>
      </c>
      <c r="M436" s="106">
        <f>IF(D436="","",ABS(D436-G$5))</f>
        <v>1.0000000000000231</v>
      </c>
    </row>
    <row r="437" spans="2:13" ht="13.5" customHeight="1" x14ac:dyDescent="0.55000000000000004">
      <c r="B437" s="94">
        <v>44442</v>
      </c>
      <c r="C437" s="99">
        <v>2.19</v>
      </c>
      <c r="D437" s="99">
        <f t="shared" si="62"/>
        <v>0</v>
      </c>
      <c r="E437" s="99">
        <f t="shared" si="63"/>
        <v>2.1587520159630759E-2</v>
      </c>
      <c r="F437" s="99">
        <f t="shared" si="64"/>
        <v>0</v>
      </c>
      <c r="G437" s="99">
        <f t="shared" si="65"/>
        <v>0.11777359483298191</v>
      </c>
      <c r="H437" s="99" t="str">
        <f t="shared" si="66"/>
        <v/>
      </c>
      <c r="I437" s="99" t="str">
        <f t="shared" si="67"/>
        <v/>
      </c>
      <c r="J437" s="99" t="str">
        <f t="shared" si="68"/>
        <v/>
      </c>
      <c r="K437" s="99" t="str">
        <f t="shared" si="69"/>
        <v/>
      </c>
      <c r="L437" s="99" t="str">
        <f t="shared" si="70"/>
        <v>STALE</v>
      </c>
      <c r="M437" s="106">
        <f>IF(D437="","",ABS(D437-G$5))</f>
        <v>0</v>
      </c>
    </row>
    <row r="438" spans="2:13" ht="13.5" customHeight="1" x14ac:dyDescent="0.55000000000000004">
      <c r="B438" s="94">
        <v>44446</v>
      </c>
      <c r="C438" s="99">
        <v>2.19</v>
      </c>
      <c r="D438" s="99">
        <f t="shared" si="62"/>
        <v>0</v>
      </c>
      <c r="E438" s="99">
        <f t="shared" si="63"/>
        <v>2.1587520159630759E-2</v>
      </c>
      <c r="F438" s="99">
        <f t="shared" si="64"/>
        <v>0</v>
      </c>
      <c r="G438" s="99">
        <f t="shared" si="65"/>
        <v>0.12404871540449451</v>
      </c>
      <c r="H438" s="99" t="str">
        <f t="shared" si="66"/>
        <v/>
      </c>
      <c r="I438" s="99" t="str">
        <f t="shared" si="67"/>
        <v/>
      </c>
      <c r="J438" s="99" t="str">
        <f t="shared" si="68"/>
        <v/>
      </c>
      <c r="K438" s="99" t="str">
        <f t="shared" si="69"/>
        <v/>
      </c>
      <c r="L438" s="99" t="str">
        <f t="shared" si="70"/>
        <v>STALE</v>
      </c>
      <c r="M438" s="106">
        <f>IF(D438="","",ABS(D438-G$5))</f>
        <v>0</v>
      </c>
    </row>
    <row r="439" spans="2:13" ht="13.5" customHeight="1" x14ac:dyDescent="0.55000000000000004">
      <c r="B439" s="94">
        <v>44447</v>
      </c>
      <c r="C439" s="99">
        <v>2.2000000000000002</v>
      </c>
      <c r="D439" s="99">
        <f t="shared" si="62"/>
        <v>1.0000000000000231</v>
      </c>
      <c r="E439" s="99">
        <f t="shared" si="63"/>
        <v>7.2624682018512965E-2</v>
      </c>
      <c r="F439" s="99">
        <f t="shared" si="64"/>
        <v>0.33725000000000749</v>
      </c>
      <c r="G439" s="99">
        <f t="shared" si="65"/>
        <v>0.435703062433896</v>
      </c>
      <c r="H439" s="99" t="str">
        <f t="shared" si="66"/>
        <v/>
      </c>
      <c r="I439" s="99" t="str">
        <f t="shared" si="67"/>
        <v/>
      </c>
      <c r="J439" s="99" t="str">
        <f t="shared" si="68"/>
        <v/>
      </c>
      <c r="K439" s="99" t="str">
        <f t="shared" si="69"/>
        <v/>
      </c>
      <c r="L439" s="99" t="str">
        <f t="shared" si="70"/>
        <v/>
      </c>
      <c r="M439" s="106">
        <f>IF(D439="","",ABS(D439-G$5))</f>
        <v>1.0000000000000231</v>
      </c>
    </row>
    <row r="440" spans="2:13" ht="13.5" customHeight="1" x14ac:dyDescent="0.55000000000000004">
      <c r="B440" s="94">
        <v>44448</v>
      </c>
      <c r="C440" s="99">
        <v>2.2200000000000002</v>
      </c>
      <c r="D440" s="99">
        <f t="shared" si="62"/>
        <v>2.0000000000000018</v>
      </c>
      <c r="E440" s="99">
        <f t="shared" si="63"/>
        <v>0.16683688419665252</v>
      </c>
      <c r="F440" s="99">
        <f t="shared" si="64"/>
        <v>0.67449999999999999</v>
      </c>
      <c r="G440" s="99">
        <f t="shared" si="65"/>
        <v>1.0008259610209154</v>
      </c>
      <c r="H440" s="99" t="str">
        <f t="shared" si="66"/>
        <v/>
      </c>
      <c r="I440" s="99" t="str">
        <f t="shared" si="67"/>
        <v/>
      </c>
      <c r="J440" s="99" t="str">
        <f t="shared" si="68"/>
        <v/>
      </c>
      <c r="K440" s="99" t="str">
        <f t="shared" si="69"/>
        <v/>
      </c>
      <c r="L440" s="99" t="str">
        <f t="shared" si="70"/>
        <v/>
      </c>
      <c r="M440" s="106">
        <f>IF(D440="","",ABS(D440-G$5))</f>
        <v>2.0000000000000018</v>
      </c>
    </row>
    <row r="441" spans="2:13" ht="13.5" customHeight="1" x14ac:dyDescent="0.55000000000000004">
      <c r="B441" s="94">
        <v>44449</v>
      </c>
      <c r="C441" s="99">
        <v>2.23</v>
      </c>
      <c r="D441" s="99">
        <f t="shared" si="62"/>
        <v>0.99999999999997868</v>
      </c>
      <c r="E441" s="99">
        <f t="shared" si="63"/>
        <v>7.2624682018508774E-2</v>
      </c>
      <c r="F441" s="99">
        <f t="shared" si="64"/>
        <v>0.3372499999999925</v>
      </c>
      <c r="G441" s="99">
        <f t="shared" si="65"/>
        <v>0.45446207953151735</v>
      </c>
      <c r="H441" s="99" t="str">
        <f t="shared" si="66"/>
        <v/>
      </c>
      <c r="I441" s="99" t="str">
        <f t="shared" si="67"/>
        <v/>
      </c>
      <c r="J441" s="99" t="str">
        <f t="shared" si="68"/>
        <v/>
      </c>
      <c r="K441" s="99" t="str">
        <f t="shared" si="69"/>
        <v/>
      </c>
      <c r="L441" s="99" t="str">
        <f t="shared" si="70"/>
        <v/>
      </c>
      <c r="M441" s="106">
        <f>IF(D441="","",ABS(D441-G$5))</f>
        <v>0.99999999999997868</v>
      </c>
    </row>
    <row r="442" spans="2:13" ht="13.5" customHeight="1" x14ac:dyDescent="0.55000000000000004">
      <c r="B442" s="94">
        <v>44452</v>
      </c>
      <c r="C442" s="99">
        <v>2.21</v>
      </c>
      <c r="D442" s="99">
        <f t="shared" si="62"/>
        <v>-2.0000000000000018</v>
      </c>
      <c r="E442" s="99">
        <f t="shared" si="63"/>
        <v>0.21001192451591399</v>
      </c>
      <c r="F442" s="99">
        <f t="shared" si="64"/>
        <v>0.67449999999999999</v>
      </c>
      <c r="G442" s="99">
        <f t="shared" si="65"/>
        <v>1.2688679267000524</v>
      </c>
      <c r="H442" s="99" t="str">
        <f t="shared" si="66"/>
        <v/>
      </c>
      <c r="I442" s="99" t="str">
        <f t="shared" si="67"/>
        <v/>
      </c>
      <c r="J442" s="99" t="str">
        <f t="shared" si="68"/>
        <v/>
      </c>
      <c r="K442" s="99" t="str">
        <f t="shared" si="69"/>
        <v/>
      </c>
      <c r="L442" s="99" t="str">
        <f t="shared" si="70"/>
        <v/>
      </c>
      <c r="M442" s="106">
        <f>IF(D442="","",ABS(D442-G$5))</f>
        <v>2.0000000000000018</v>
      </c>
    </row>
    <row r="443" spans="2:13" ht="13.5" customHeight="1" x14ac:dyDescent="0.55000000000000004">
      <c r="B443" s="94">
        <v>44453</v>
      </c>
      <c r="C443" s="99">
        <v>2.2200000000000002</v>
      </c>
      <c r="D443" s="99">
        <f t="shared" si="62"/>
        <v>1.0000000000000231</v>
      </c>
      <c r="E443" s="99">
        <f t="shared" si="63"/>
        <v>7.2624682018512965E-2</v>
      </c>
      <c r="F443" s="99">
        <f t="shared" si="64"/>
        <v>0.33725000000000749</v>
      </c>
      <c r="G443" s="99">
        <f t="shared" si="65"/>
        <v>0.45765585603847836</v>
      </c>
      <c r="H443" s="99" t="str">
        <f t="shared" si="66"/>
        <v/>
      </c>
      <c r="I443" s="99" t="str">
        <f t="shared" si="67"/>
        <v/>
      </c>
      <c r="J443" s="99" t="str">
        <f t="shared" si="68"/>
        <v/>
      </c>
      <c r="K443" s="99" t="str">
        <f t="shared" si="69"/>
        <v/>
      </c>
      <c r="L443" s="99" t="str">
        <f t="shared" si="70"/>
        <v/>
      </c>
      <c r="M443" s="106">
        <f>IF(D443="","",ABS(D443-G$5))</f>
        <v>1.0000000000000231</v>
      </c>
    </row>
    <row r="444" spans="2:13" ht="13.5" customHeight="1" x14ac:dyDescent="0.55000000000000004">
      <c r="B444" s="94">
        <v>44454</v>
      </c>
      <c r="C444" s="99">
        <v>2.2000000000000002</v>
      </c>
      <c r="D444" s="99">
        <f t="shared" si="62"/>
        <v>-2.0000000000000018</v>
      </c>
      <c r="E444" s="99">
        <f t="shared" si="63"/>
        <v>0.21001192451591399</v>
      </c>
      <c r="F444" s="99">
        <f t="shared" si="64"/>
        <v>0.67449999999999999</v>
      </c>
      <c r="G444" s="99">
        <f t="shared" si="65"/>
        <v>1.2763366414850508</v>
      </c>
      <c r="H444" s="99" t="str">
        <f t="shared" si="66"/>
        <v/>
      </c>
      <c r="I444" s="99" t="str">
        <f t="shared" si="67"/>
        <v/>
      </c>
      <c r="J444" s="99" t="str">
        <f t="shared" si="68"/>
        <v/>
      </c>
      <c r="K444" s="99" t="str">
        <f t="shared" si="69"/>
        <v/>
      </c>
      <c r="L444" s="99" t="str">
        <f t="shared" si="70"/>
        <v/>
      </c>
      <c r="M444" s="106">
        <f>IF(D444="","",ABS(D444-G$5))</f>
        <v>2.0000000000000018</v>
      </c>
    </row>
    <row r="445" spans="2:13" ht="13.5" customHeight="1" x14ac:dyDescent="0.55000000000000004">
      <c r="B445" s="94">
        <v>44455</v>
      </c>
      <c r="C445" s="99">
        <v>2.2200000000000002</v>
      </c>
      <c r="D445" s="99">
        <f t="shared" si="62"/>
        <v>2.0000000000000018</v>
      </c>
      <c r="E445" s="99">
        <f t="shared" si="63"/>
        <v>0.16683688419665252</v>
      </c>
      <c r="F445" s="99">
        <f t="shared" si="64"/>
        <v>0.67449999999999999</v>
      </c>
      <c r="G445" s="99">
        <f t="shared" si="65"/>
        <v>1.0125220005125817</v>
      </c>
      <c r="H445" s="99" t="str">
        <f t="shared" si="66"/>
        <v/>
      </c>
      <c r="I445" s="99" t="str">
        <f t="shared" si="67"/>
        <v/>
      </c>
      <c r="J445" s="99" t="str">
        <f t="shared" si="68"/>
        <v/>
      </c>
      <c r="K445" s="99" t="str">
        <f t="shared" si="69"/>
        <v/>
      </c>
      <c r="L445" s="99" t="str">
        <f t="shared" si="70"/>
        <v/>
      </c>
      <c r="M445" s="106">
        <f>IF(D445="","",ABS(D445-G$5))</f>
        <v>2.0000000000000018</v>
      </c>
    </row>
    <row r="446" spans="2:13" ht="13.5" customHeight="1" x14ac:dyDescent="0.55000000000000004">
      <c r="B446" s="94">
        <v>44456</v>
      </c>
      <c r="C446" s="99">
        <v>2.2400000000000002</v>
      </c>
      <c r="D446" s="99">
        <f t="shared" si="62"/>
        <v>2.0000000000000018</v>
      </c>
      <c r="E446" s="99">
        <f t="shared" si="63"/>
        <v>0.16683688419665252</v>
      </c>
      <c r="F446" s="99">
        <f t="shared" si="64"/>
        <v>0.67449999999999999</v>
      </c>
      <c r="G446" s="99">
        <f t="shared" si="65"/>
        <v>1.0112485885343783</v>
      </c>
      <c r="H446" s="99" t="str">
        <f t="shared" si="66"/>
        <v/>
      </c>
      <c r="I446" s="99" t="str">
        <f t="shared" si="67"/>
        <v/>
      </c>
      <c r="J446" s="99" t="str">
        <f t="shared" si="68"/>
        <v/>
      </c>
      <c r="K446" s="99" t="str">
        <f t="shared" si="69"/>
        <v/>
      </c>
      <c r="L446" s="99" t="str">
        <f t="shared" si="70"/>
        <v/>
      </c>
      <c r="M446" s="106">
        <f>IF(D446="","",ABS(D446-G$5))</f>
        <v>2.0000000000000018</v>
      </c>
    </row>
    <row r="447" spans="2:13" ht="13.5" customHeight="1" x14ac:dyDescent="0.55000000000000004">
      <c r="B447" s="94">
        <v>44459</v>
      </c>
      <c r="C447" s="99">
        <v>2.31</v>
      </c>
      <c r="D447" s="99">
        <f t="shared" si="62"/>
        <v>6.999999999999984</v>
      </c>
      <c r="E447" s="99">
        <f t="shared" si="63"/>
        <v>0.6378978950873585</v>
      </c>
      <c r="F447" s="99">
        <f t="shared" si="64"/>
        <v>2.3607499999999924</v>
      </c>
      <c r="G447" s="99">
        <f t="shared" si="65"/>
        <v>2.4984260311909052</v>
      </c>
      <c r="H447" s="99" t="str">
        <f t="shared" si="66"/>
        <v/>
      </c>
      <c r="I447" s="99" t="str">
        <f t="shared" si="67"/>
        <v/>
      </c>
      <c r="J447" s="99" t="str">
        <f t="shared" si="68"/>
        <v/>
      </c>
      <c r="K447" s="99" t="str">
        <f t="shared" si="69"/>
        <v/>
      </c>
      <c r="L447" s="99" t="str">
        <f t="shared" si="70"/>
        <v/>
      </c>
      <c r="M447" s="106">
        <f>IF(D447="","",ABS(D447-G$5))</f>
        <v>6.999999999999984</v>
      </c>
    </row>
    <row r="448" spans="2:13" ht="13.5" customHeight="1" x14ac:dyDescent="0.55000000000000004">
      <c r="B448" s="94">
        <v>44460</v>
      </c>
      <c r="C448" s="99">
        <v>2.2999999999999998</v>
      </c>
      <c r="D448" s="99">
        <f t="shared" si="62"/>
        <v>-1.0000000000000231</v>
      </c>
      <c r="E448" s="99">
        <f t="shared" si="63"/>
        <v>0.11579972233777447</v>
      </c>
      <c r="F448" s="99">
        <f t="shared" si="64"/>
        <v>0.33725000000000749</v>
      </c>
      <c r="G448" s="99">
        <f t="shared" si="65"/>
        <v>0.47270947663410828</v>
      </c>
      <c r="H448" s="99" t="str">
        <f t="shared" si="66"/>
        <v/>
      </c>
      <c r="I448" s="99" t="str">
        <f t="shared" si="67"/>
        <v/>
      </c>
      <c r="J448" s="99" t="str">
        <f t="shared" si="68"/>
        <v/>
      </c>
      <c r="K448" s="99" t="str">
        <f t="shared" si="69"/>
        <v/>
      </c>
      <c r="L448" s="99" t="str">
        <f t="shared" si="70"/>
        <v/>
      </c>
      <c r="M448" s="106">
        <f>IF(D448="","",ABS(D448-G$5))</f>
        <v>1.0000000000000231</v>
      </c>
    </row>
    <row r="449" spans="2:13" ht="13.5" customHeight="1" x14ac:dyDescent="0.55000000000000004">
      <c r="B449" s="94">
        <v>44461</v>
      </c>
      <c r="C449" s="99">
        <v>2.2799999999999998</v>
      </c>
      <c r="D449" s="99">
        <f t="shared" si="62"/>
        <v>-2.0000000000000018</v>
      </c>
      <c r="E449" s="99">
        <f t="shared" si="63"/>
        <v>0.21001192451591399</v>
      </c>
      <c r="F449" s="99">
        <f t="shared" si="64"/>
        <v>0.67449999999999999</v>
      </c>
      <c r="G449" s="99">
        <f t="shared" si="65"/>
        <v>0.86888788813819307</v>
      </c>
      <c r="H449" s="99" t="str">
        <f t="shared" si="66"/>
        <v/>
      </c>
      <c r="I449" s="99" t="str">
        <f t="shared" si="67"/>
        <v/>
      </c>
      <c r="J449" s="99" t="str">
        <f t="shared" si="68"/>
        <v/>
      </c>
      <c r="K449" s="99" t="str">
        <f t="shared" si="69"/>
        <v/>
      </c>
      <c r="L449" s="99" t="str">
        <f t="shared" si="70"/>
        <v/>
      </c>
      <c r="M449" s="106">
        <f>IF(D449="","",ABS(D449-G$5))</f>
        <v>2.0000000000000018</v>
      </c>
    </row>
    <row r="450" spans="2:13" ht="13.5" customHeight="1" x14ac:dyDescent="0.55000000000000004">
      <c r="B450" s="94">
        <v>44462</v>
      </c>
      <c r="C450" s="99">
        <v>2.25</v>
      </c>
      <c r="D450" s="99">
        <f t="shared" si="62"/>
        <v>-2.9999999999999805</v>
      </c>
      <c r="E450" s="99">
        <f t="shared" si="63"/>
        <v>0.30422412669405352</v>
      </c>
      <c r="F450" s="99">
        <f t="shared" si="64"/>
        <v>1.0117499999999926</v>
      </c>
      <c r="G450" s="99">
        <f t="shared" si="65"/>
        <v>1.2234413648546685</v>
      </c>
      <c r="H450" s="99" t="str">
        <f t="shared" si="66"/>
        <v/>
      </c>
      <c r="I450" s="99" t="str">
        <f t="shared" si="67"/>
        <v/>
      </c>
      <c r="J450" s="99" t="str">
        <f t="shared" si="68"/>
        <v/>
      </c>
      <c r="K450" s="99" t="str">
        <f t="shared" si="69"/>
        <v/>
      </c>
      <c r="L450" s="99" t="str">
        <f t="shared" si="70"/>
        <v/>
      </c>
      <c r="M450" s="106">
        <f>IF(D450="","",ABS(D450-G$5))</f>
        <v>2.9999999999999805</v>
      </c>
    </row>
    <row r="451" spans="2:13" ht="13.5" customHeight="1" x14ac:dyDescent="0.55000000000000004">
      <c r="B451" s="94">
        <v>44463</v>
      </c>
      <c r="C451" s="99">
        <v>2.2599999999999998</v>
      </c>
      <c r="D451" s="99">
        <f t="shared" si="62"/>
        <v>0.99999999999997868</v>
      </c>
      <c r="E451" s="99">
        <f t="shared" si="63"/>
        <v>7.2624682018508774E-2</v>
      </c>
      <c r="F451" s="99">
        <f t="shared" si="64"/>
        <v>0.3372499999999925</v>
      </c>
      <c r="G451" s="99">
        <f t="shared" si="65"/>
        <v>0.30641083741901853</v>
      </c>
      <c r="H451" s="99" t="str">
        <f t="shared" si="66"/>
        <v/>
      </c>
      <c r="I451" s="99" t="str">
        <f t="shared" si="67"/>
        <v/>
      </c>
      <c r="J451" s="99" t="str">
        <f t="shared" si="68"/>
        <v/>
      </c>
      <c r="K451" s="99" t="str">
        <f t="shared" si="69"/>
        <v/>
      </c>
      <c r="L451" s="99" t="str">
        <f t="shared" si="70"/>
        <v/>
      </c>
      <c r="M451" s="106">
        <f>IF(D451="","",ABS(D451-G$5))</f>
        <v>0.99999999999997868</v>
      </c>
    </row>
    <row r="452" spans="2:13" ht="13.5" customHeight="1" x14ac:dyDescent="0.55000000000000004">
      <c r="B452" s="94">
        <v>44466</v>
      </c>
      <c r="C452" s="99">
        <v>2.2799999999999998</v>
      </c>
      <c r="D452" s="99">
        <f t="shared" si="62"/>
        <v>2.0000000000000018</v>
      </c>
      <c r="E452" s="99">
        <f t="shared" si="63"/>
        <v>0.16683688419665252</v>
      </c>
      <c r="F452" s="99">
        <f t="shared" si="64"/>
        <v>0.67449999999999999</v>
      </c>
      <c r="G452" s="99">
        <f t="shared" si="65"/>
        <v>0.72235975978846645</v>
      </c>
      <c r="H452" s="99" t="str">
        <f t="shared" si="66"/>
        <v/>
      </c>
      <c r="I452" s="99" t="str">
        <f t="shared" si="67"/>
        <v/>
      </c>
      <c r="J452" s="99" t="str">
        <f t="shared" si="68"/>
        <v/>
      </c>
      <c r="K452" s="99" t="str">
        <f t="shared" si="69"/>
        <v/>
      </c>
      <c r="L452" s="99" t="str">
        <f t="shared" si="70"/>
        <v/>
      </c>
      <c r="M452" s="106">
        <f>IF(D452="","",ABS(D452-G$5))</f>
        <v>2.0000000000000018</v>
      </c>
    </row>
    <row r="453" spans="2:13" ht="13.5" customHeight="1" x14ac:dyDescent="0.55000000000000004">
      <c r="B453" s="94">
        <v>44467</v>
      </c>
      <c r="C453" s="99">
        <v>2.3199999999999998</v>
      </c>
      <c r="D453" s="99">
        <f t="shared" si="62"/>
        <v>4.0000000000000036</v>
      </c>
      <c r="E453" s="99">
        <f t="shared" si="63"/>
        <v>0.35526128855293576</v>
      </c>
      <c r="F453" s="99">
        <f t="shared" si="64"/>
        <v>1.349</v>
      </c>
      <c r="G453" s="99">
        <f t="shared" si="65"/>
        <v>1.4427966351767805</v>
      </c>
      <c r="H453" s="99" t="str">
        <f t="shared" si="66"/>
        <v/>
      </c>
      <c r="I453" s="99" t="str">
        <f t="shared" si="67"/>
        <v/>
      </c>
      <c r="J453" s="99" t="str">
        <f t="shared" si="68"/>
        <v/>
      </c>
      <c r="K453" s="99" t="str">
        <f t="shared" si="69"/>
        <v/>
      </c>
      <c r="L453" s="99" t="str">
        <f t="shared" si="70"/>
        <v/>
      </c>
      <c r="M453" s="106">
        <f>IF(D453="","",ABS(D453-G$5))</f>
        <v>4.0000000000000036</v>
      </c>
    </row>
    <row r="454" spans="2:13" ht="13.5" customHeight="1" x14ac:dyDescent="0.55000000000000004">
      <c r="B454" s="94">
        <v>44468</v>
      </c>
      <c r="C454" s="99">
        <v>2.33</v>
      </c>
      <c r="D454" s="99">
        <f t="shared" si="62"/>
        <v>1.0000000000000231</v>
      </c>
      <c r="E454" s="99">
        <f t="shared" si="63"/>
        <v>7.2624682018512965E-2</v>
      </c>
      <c r="F454" s="99">
        <f t="shared" si="64"/>
        <v>0.33725000000000749</v>
      </c>
      <c r="G454" s="99">
        <f t="shared" si="65"/>
        <v>0.30940789254549395</v>
      </c>
      <c r="H454" s="99" t="str">
        <f t="shared" si="66"/>
        <v/>
      </c>
      <c r="I454" s="99" t="str">
        <f t="shared" si="67"/>
        <v/>
      </c>
      <c r="J454" s="99" t="str">
        <f t="shared" si="68"/>
        <v/>
      </c>
      <c r="K454" s="99" t="str">
        <f t="shared" si="69"/>
        <v/>
      </c>
      <c r="L454" s="99" t="str">
        <f t="shared" si="70"/>
        <v/>
      </c>
      <c r="M454" s="106">
        <f>IF(D454="","",ABS(D454-G$5))</f>
        <v>1.0000000000000231</v>
      </c>
    </row>
    <row r="455" spans="2:13" ht="13.5" customHeight="1" x14ac:dyDescent="0.55000000000000004">
      <c r="B455" s="94">
        <v>44469</v>
      </c>
      <c r="C455" s="99">
        <v>2.33</v>
      </c>
      <c r="D455" s="99">
        <f t="shared" si="62"/>
        <v>0</v>
      </c>
      <c r="E455" s="99">
        <f t="shared" si="63"/>
        <v>2.1587520159630759E-2</v>
      </c>
      <c r="F455" s="99">
        <f t="shared" si="64"/>
        <v>0</v>
      </c>
      <c r="G455" s="99">
        <f t="shared" si="65"/>
        <v>9.6900196083151355E-2</v>
      </c>
      <c r="H455" s="99" t="str">
        <f t="shared" si="66"/>
        <v/>
      </c>
      <c r="I455" s="99" t="str">
        <f t="shared" si="67"/>
        <v/>
      </c>
      <c r="J455" s="99" t="str">
        <f t="shared" si="68"/>
        <v/>
      </c>
      <c r="K455" s="99" t="str">
        <f t="shared" si="69"/>
        <v/>
      </c>
      <c r="L455" s="99" t="str">
        <f t="shared" si="70"/>
        <v>STALE</v>
      </c>
      <c r="M455" s="106">
        <f>IF(D455="","",ABS(D455-G$5))</f>
        <v>0</v>
      </c>
    </row>
    <row r="456" spans="2:13" ht="13.5" customHeight="1" x14ac:dyDescent="0.55000000000000004">
      <c r="B456" s="94">
        <v>44470</v>
      </c>
      <c r="C456" s="99">
        <v>2.3199999999999998</v>
      </c>
      <c r="D456" s="99">
        <f t="shared" si="62"/>
        <v>-1.0000000000000231</v>
      </c>
      <c r="E456" s="99">
        <f t="shared" si="63"/>
        <v>0.11579972233777447</v>
      </c>
      <c r="F456" s="99">
        <f t="shared" si="64"/>
        <v>0.33725000000000749</v>
      </c>
      <c r="G456" s="99">
        <f t="shared" si="65"/>
        <v>0.53986509882910372</v>
      </c>
      <c r="H456" s="99" t="str">
        <f t="shared" si="66"/>
        <v/>
      </c>
      <c r="I456" s="99" t="str">
        <f t="shared" si="67"/>
        <v/>
      </c>
      <c r="J456" s="99" t="str">
        <f t="shared" si="68"/>
        <v/>
      </c>
      <c r="K456" s="99" t="str">
        <f t="shared" si="69"/>
        <v/>
      </c>
      <c r="L456" s="99" t="str">
        <f t="shared" si="70"/>
        <v/>
      </c>
      <c r="M456" s="106">
        <f>IF(D456="","",ABS(D456-G$5))</f>
        <v>1.0000000000000231</v>
      </c>
    </row>
    <row r="457" spans="2:13" ht="13.5" customHeight="1" x14ac:dyDescent="0.55000000000000004">
      <c r="B457" s="94">
        <v>44473</v>
      </c>
      <c r="C457" s="99">
        <v>2.35</v>
      </c>
      <c r="D457" s="99">
        <f t="shared" si="62"/>
        <v>3.0000000000000249</v>
      </c>
      <c r="E457" s="99">
        <f t="shared" si="63"/>
        <v>0.26104908637479624</v>
      </c>
      <c r="F457" s="99">
        <f t="shared" si="64"/>
        <v>1.0117500000000075</v>
      </c>
      <c r="G457" s="99">
        <f t="shared" si="65"/>
        <v>1.1887632984517253</v>
      </c>
      <c r="H457" s="99" t="str">
        <f t="shared" si="66"/>
        <v/>
      </c>
      <c r="I457" s="99" t="str">
        <f t="shared" si="67"/>
        <v/>
      </c>
      <c r="J457" s="99" t="str">
        <f t="shared" si="68"/>
        <v/>
      </c>
      <c r="K457" s="99" t="str">
        <f t="shared" si="69"/>
        <v/>
      </c>
      <c r="L457" s="99" t="str">
        <f t="shared" si="70"/>
        <v/>
      </c>
      <c r="M457" s="106">
        <f>IF(D457="","",ABS(D457-G$5))</f>
        <v>3.0000000000000249</v>
      </c>
    </row>
    <row r="458" spans="2:13" ht="13.5" customHeight="1" x14ac:dyDescent="0.55000000000000004">
      <c r="B458" s="94">
        <v>44474</v>
      </c>
      <c r="C458" s="99">
        <v>2.34</v>
      </c>
      <c r="D458" s="99">
        <f t="shared" si="62"/>
        <v>-1.0000000000000231</v>
      </c>
      <c r="E458" s="99">
        <f t="shared" si="63"/>
        <v>0.11579972233777447</v>
      </c>
      <c r="F458" s="99">
        <f t="shared" si="64"/>
        <v>0.33725000000000749</v>
      </c>
      <c r="G458" s="99">
        <f t="shared" si="65"/>
        <v>0.54745924820445824</v>
      </c>
      <c r="H458" s="99" t="str">
        <f t="shared" si="66"/>
        <v/>
      </c>
      <c r="I458" s="99" t="str">
        <f t="shared" si="67"/>
        <v/>
      </c>
      <c r="J458" s="99" t="str">
        <f t="shared" si="68"/>
        <v/>
      </c>
      <c r="K458" s="99" t="str">
        <f t="shared" si="69"/>
        <v/>
      </c>
      <c r="L458" s="99" t="str">
        <f t="shared" si="70"/>
        <v/>
      </c>
      <c r="M458" s="106">
        <f>IF(D458="","",ABS(D458-G$5))</f>
        <v>1.0000000000000231</v>
      </c>
    </row>
    <row r="459" spans="2:13" ht="13.5" customHeight="1" x14ac:dyDescent="0.55000000000000004">
      <c r="B459" s="94">
        <v>44475</v>
      </c>
      <c r="C459" s="99">
        <v>2.3199999999999998</v>
      </c>
      <c r="D459" s="99">
        <f t="shared" si="62"/>
        <v>-2.0000000000000018</v>
      </c>
      <c r="E459" s="99">
        <f t="shared" si="63"/>
        <v>0.21001192451591399</v>
      </c>
      <c r="F459" s="99">
        <f t="shared" si="64"/>
        <v>0.67449999999999999</v>
      </c>
      <c r="G459" s="99">
        <f t="shared" si="65"/>
        <v>0.99356757763524761</v>
      </c>
      <c r="H459" s="99" t="str">
        <f t="shared" si="66"/>
        <v/>
      </c>
      <c r="I459" s="99" t="str">
        <f t="shared" si="67"/>
        <v/>
      </c>
      <c r="J459" s="99" t="str">
        <f t="shared" si="68"/>
        <v/>
      </c>
      <c r="K459" s="99" t="str">
        <f t="shared" si="69"/>
        <v/>
      </c>
      <c r="L459" s="99" t="str">
        <f t="shared" si="70"/>
        <v/>
      </c>
      <c r="M459" s="106">
        <f>IF(D459="","",ABS(D459-G$5))</f>
        <v>2.0000000000000018</v>
      </c>
    </row>
    <row r="460" spans="2:13" ht="13.5" customHeight="1" x14ac:dyDescent="0.55000000000000004">
      <c r="B460" s="94">
        <v>44476</v>
      </c>
      <c r="C460" s="99">
        <v>2.29</v>
      </c>
      <c r="D460" s="99">
        <f t="shared" si="62"/>
        <v>-2.9999999999999805</v>
      </c>
      <c r="E460" s="99">
        <f t="shared" si="63"/>
        <v>0.30422412669405352</v>
      </c>
      <c r="F460" s="99">
        <f t="shared" si="64"/>
        <v>1.0117499999999926</v>
      </c>
      <c r="G460" s="99">
        <f t="shared" si="65"/>
        <v>1.3678642808335639</v>
      </c>
      <c r="H460" s="99" t="str">
        <f t="shared" si="66"/>
        <v/>
      </c>
      <c r="I460" s="99" t="str">
        <f t="shared" si="67"/>
        <v/>
      </c>
      <c r="J460" s="99" t="str">
        <f t="shared" si="68"/>
        <v/>
      </c>
      <c r="K460" s="99" t="str">
        <f t="shared" si="69"/>
        <v/>
      </c>
      <c r="L460" s="99" t="str">
        <f t="shared" si="70"/>
        <v/>
      </c>
      <c r="M460" s="106">
        <f>IF(D460="","",ABS(D460-G$5))</f>
        <v>2.9999999999999805</v>
      </c>
    </row>
    <row r="461" spans="2:13" ht="13.5" customHeight="1" x14ac:dyDescent="0.55000000000000004">
      <c r="B461" s="94">
        <v>44477</v>
      </c>
      <c r="C461" s="99">
        <v>2.27</v>
      </c>
      <c r="D461" s="99">
        <f t="shared" si="62"/>
        <v>-2.0000000000000018</v>
      </c>
      <c r="E461" s="99">
        <f t="shared" si="63"/>
        <v>0.21001192451591399</v>
      </c>
      <c r="F461" s="99">
        <f t="shared" si="64"/>
        <v>0.67449999999999999</v>
      </c>
      <c r="G461" s="99">
        <f t="shared" si="65"/>
        <v>0.94942200058425286</v>
      </c>
      <c r="H461" s="99" t="str">
        <f t="shared" si="66"/>
        <v/>
      </c>
      <c r="I461" s="99" t="str">
        <f t="shared" si="67"/>
        <v/>
      </c>
      <c r="J461" s="99" t="str">
        <f t="shared" si="68"/>
        <v/>
      </c>
      <c r="K461" s="99" t="str">
        <f t="shared" si="69"/>
        <v/>
      </c>
      <c r="L461" s="99" t="str">
        <f t="shared" si="70"/>
        <v/>
      </c>
      <c r="M461" s="106">
        <f>IF(D461="","",ABS(D461-G$5))</f>
        <v>2.0000000000000018</v>
      </c>
    </row>
    <row r="462" spans="2:13" ht="13.5" customHeight="1" x14ac:dyDescent="0.55000000000000004">
      <c r="B462" s="94">
        <v>44480</v>
      </c>
      <c r="C462" s="99">
        <v>2.2599999999999998</v>
      </c>
      <c r="D462" s="99">
        <f t="shared" si="62"/>
        <v>-1.0000000000000231</v>
      </c>
      <c r="E462" s="99">
        <f t="shared" si="63"/>
        <v>0.11579972233777447</v>
      </c>
      <c r="F462" s="99">
        <f t="shared" si="64"/>
        <v>0.33725000000000749</v>
      </c>
      <c r="G462" s="99">
        <f t="shared" si="65"/>
        <v>0.54361058309453236</v>
      </c>
      <c r="H462" s="99" t="str">
        <f t="shared" si="66"/>
        <v/>
      </c>
      <c r="I462" s="99" t="str">
        <f t="shared" si="67"/>
        <v/>
      </c>
      <c r="J462" s="99" t="str">
        <f t="shared" si="68"/>
        <v/>
      </c>
      <c r="K462" s="99" t="str">
        <f t="shared" si="69"/>
        <v/>
      </c>
      <c r="L462" s="99" t="str">
        <f t="shared" si="70"/>
        <v/>
      </c>
      <c r="M462" s="106">
        <f>IF(D462="","",ABS(D462-G$5))</f>
        <v>1.0000000000000231</v>
      </c>
    </row>
    <row r="463" spans="2:13" ht="13.5" customHeight="1" x14ac:dyDescent="0.55000000000000004">
      <c r="B463" s="94">
        <v>44481</v>
      </c>
      <c r="C463" s="99">
        <v>2.2400000000000002</v>
      </c>
      <c r="D463" s="99">
        <f t="shared" si="62"/>
        <v>-1.9999999999999574</v>
      </c>
      <c r="E463" s="99">
        <f t="shared" si="63"/>
        <v>0.21001192451590983</v>
      </c>
      <c r="F463" s="99">
        <f t="shared" si="64"/>
        <v>0.674499999999985</v>
      </c>
      <c r="G463" s="99">
        <f t="shared" si="65"/>
        <v>0.98726572965199466</v>
      </c>
      <c r="H463" s="99" t="str">
        <f t="shared" si="66"/>
        <v/>
      </c>
      <c r="I463" s="99" t="str">
        <f t="shared" si="67"/>
        <v/>
      </c>
      <c r="J463" s="99" t="str">
        <f t="shared" si="68"/>
        <v/>
      </c>
      <c r="K463" s="99" t="str">
        <f t="shared" si="69"/>
        <v/>
      </c>
      <c r="L463" s="99" t="str">
        <f t="shared" si="70"/>
        <v/>
      </c>
      <c r="M463" s="106">
        <f>IF(D463="","",ABS(D463-G$5))</f>
        <v>1.9999999999999574</v>
      </c>
    </row>
    <row r="464" spans="2:13" ht="13.5" customHeight="1" x14ac:dyDescent="0.55000000000000004">
      <c r="B464" s="94">
        <v>44482</v>
      </c>
      <c r="C464" s="99">
        <v>2.2200000000000002</v>
      </c>
      <c r="D464" s="99">
        <f t="shared" si="62"/>
        <v>-2.0000000000000018</v>
      </c>
      <c r="E464" s="99">
        <f t="shared" si="63"/>
        <v>0.21001192451591399</v>
      </c>
      <c r="F464" s="99">
        <f t="shared" si="64"/>
        <v>0.67449999999999999</v>
      </c>
      <c r="G464" s="99">
        <f t="shared" si="65"/>
        <v>0.98851731166838752</v>
      </c>
      <c r="H464" s="99" t="str">
        <f t="shared" si="66"/>
        <v/>
      </c>
      <c r="I464" s="99" t="str">
        <f t="shared" si="67"/>
        <v/>
      </c>
      <c r="J464" s="99" t="str">
        <f t="shared" si="68"/>
        <v/>
      </c>
      <c r="K464" s="99" t="str">
        <f t="shared" si="69"/>
        <v/>
      </c>
      <c r="L464" s="99" t="str">
        <f t="shared" si="70"/>
        <v/>
      </c>
      <c r="M464" s="106">
        <f>IF(D464="","",ABS(D464-G$5))</f>
        <v>2.0000000000000018</v>
      </c>
    </row>
    <row r="465" spans="2:13" ht="13.5" customHeight="1" x14ac:dyDescent="0.55000000000000004">
      <c r="B465" s="94">
        <v>44483</v>
      </c>
      <c r="C465" s="99">
        <v>2.21</v>
      </c>
      <c r="D465" s="99">
        <f t="shared" si="62"/>
        <v>-1.0000000000000231</v>
      </c>
      <c r="E465" s="99">
        <f t="shared" si="63"/>
        <v>0.11579972233777447</v>
      </c>
      <c r="F465" s="99">
        <f t="shared" si="64"/>
        <v>0.33725000000000749</v>
      </c>
      <c r="G465" s="99">
        <f t="shared" si="65"/>
        <v>0.5652937747813469</v>
      </c>
      <c r="H465" s="99" t="str">
        <f t="shared" si="66"/>
        <v/>
      </c>
      <c r="I465" s="99" t="str">
        <f t="shared" si="67"/>
        <v/>
      </c>
      <c r="J465" s="99" t="str">
        <f t="shared" si="68"/>
        <v/>
      </c>
      <c r="K465" s="99" t="str">
        <f t="shared" si="69"/>
        <v/>
      </c>
      <c r="L465" s="99" t="str">
        <f t="shared" si="70"/>
        <v/>
      </c>
      <c r="M465" s="106">
        <f>IF(D465="","",ABS(D465-G$5))</f>
        <v>1.0000000000000231</v>
      </c>
    </row>
    <row r="466" spans="2:13" ht="13.5" customHeight="1" x14ac:dyDescent="0.55000000000000004">
      <c r="B466" s="94">
        <v>44484</v>
      </c>
      <c r="C466" s="99">
        <v>2.19</v>
      </c>
      <c r="D466" s="99">
        <f t="shared" si="62"/>
        <v>-2.0000000000000018</v>
      </c>
      <c r="E466" s="99">
        <f t="shared" si="63"/>
        <v>0.21001192451591399</v>
      </c>
      <c r="F466" s="99">
        <f t="shared" si="64"/>
        <v>0.67449999999999999</v>
      </c>
      <c r="G466" s="99">
        <f t="shared" si="65"/>
        <v>1.02259822023047</v>
      </c>
      <c r="H466" s="99" t="str">
        <f t="shared" si="66"/>
        <v/>
      </c>
      <c r="I466" s="99" t="str">
        <f t="shared" si="67"/>
        <v/>
      </c>
      <c r="J466" s="99" t="str">
        <f t="shared" si="68"/>
        <v/>
      </c>
      <c r="K466" s="99" t="str">
        <f t="shared" si="69"/>
        <v/>
      </c>
      <c r="L466" s="99" t="str">
        <f t="shared" si="70"/>
        <v/>
      </c>
      <c r="M466" s="106">
        <f>IF(D466="","",ABS(D466-G$5))</f>
        <v>2.0000000000000018</v>
      </c>
    </row>
    <row r="467" spans="2:13" ht="13.5" customHeight="1" x14ac:dyDescent="0.55000000000000004">
      <c r="B467" s="94">
        <v>44487</v>
      </c>
      <c r="C467" s="99">
        <v>2.1800000000000002</v>
      </c>
      <c r="D467" s="99">
        <f t="shared" si="62"/>
        <v>-0.99999999999997868</v>
      </c>
      <c r="E467" s="99">
        <f t="shared" si="63"/>
        <v>0.11579972233777029</v>
      </c>
      <c r="F467" s="99">
        <f t="shared" si="64"/>
        <v>0.3372499999999925</v>
      </c>
      <c r="G467" s="99">
        <f t="shared" si="65"/>
        <v>0.58412901227037461</v>
      </c>
      <c r="H467" s="99" t="str">
        <f t="shared" si="66"/>
        <v/>
      </c>
      <c r="I467" s="99" t="str">
        <f t="shared" si="67"/>
        <v/>
      </c>
      <c r="J467" s="99" t="str">
        <f t="shared" si="68"/>
        <v/>
      </c>
      <c r="K467" s="99" t="str">
        <f t="shared" si="69"/>
        <v/>
      </c>
      <c r="L467" s="99" t="str">
        <f t="shared" si="70"/>
        <v/>
      </c>
      <c r="M467" s="106">
        <f>IF(D467="","",ABS(D467-G$5))</f>
        <v>0.99999999999997868</v>
      </c>
    </row>
    <row r="468" spans="2:13" ht="13.5" customHeight="1" x14ac:dyDescent="0.55000000000000004">
      <c r="B468" s="94">
        <v>44488</v>
      </c>
      <c r="C468" s="99">
        <v>2.16</v>
      </c>
      <c r="D468" s="99">
        <f t="shared" si="62"/>
        <v>-2.0000000000000018</v>
      </c>
      <c r="E468" s="99">
        <f t="shared" si="63"/>
        <v>0.21001192451591399</v>
      </c>
      <c r="F468" s="99">
        <f t="shared" si="64"/>
        <v>0.67449999999999999</v>
      </c>
      <c r="G468" s="99">
        <f t="shared" si="65"/>
        <v>1.0529473091319583</v>
      </c>
      <c r="H468" s="99" t="str">
        <f t="shared" si="66"/>
        <v/>
      </c>
      <c r="I468" s="99" t="str">
        <f t="shared" si="67"/>
        <v/>
      </c>
      <c r="J468" s="99" t="str">
        <f t="shared" si="68"/>
        <v/>
      </c>
      <c r="K468" s="99" t="str">
        <f t="shared" si="69"/>
        <v/>
      </c>
      <c r="L468" s="99" t="str">
        <f t="shared" si="70"/>
        <v/>
      </c>
      <c r="M468" s="106">
        <f>IF(D468="","",ABS(D468-G$5))</f>
        <v>2.0000000000000018</v>
      </c>
    </row>
    <row r="469" spans="2:13" ht="13.5" customHeight="1" x14ac:dyDescent="0.55000000000000004">
      <c r="B469" s="94">
        <v>44489</v>
      </c>
      <c r="C469" s="99">
        <v>2.16</v>
      </c>
      <c r="D469" s="99">
        <f t="shared" si="62"/>
        <v>0</v>
      </c>
      <c r="E469" s="99">
        <f t="shared" si="63"/>
        <v>2.1587520159630759E-2</v>
      </c>
      <c r="F469" s="99">
        <f t="shared" si="64"/>
        <v>0</v>
      </c>
      <c r="G469" s="99">
        <f t="shared" si="65"/>
        <v>0.11401492965178331</v>
      </c>
      <c r="H469" s="99" t="str">
        <f t="shared" si="66"/>
        <v/>
      </c>
      <c r="I469" s="99" t="str">
        <f t="shared" si="67"/>
        <v/>
      </c>
      <c r="J469" s="99" t="str">
        <f t="shared" si="68"/>
        <v/>
      </c>
      <c r="K469" s="99" t="str">
        <f t="shared" si="69"/>
        <v/>
      </c>
      <c r="L469" s="99" t="str">
        <f t="shared" si="70"/>
        <v>STALE</v>
      </c>
      <c r="M469" s="106">
        <f>IF(D469="","",ABS(D469-G$5))</f>
        <v>0</v>
      </c>
    </row>
    <row r="470" spans="2:13" ht="13.5" customHeight="1" x14ac:dyDescent="0.55000000000000004">
      <c r="B470" s="94">
        <v>44490</v>
      </c>
      <c r="C470" s="99">
        <v>2.17</v>
      </c>
      <c r="D470" s="99">
        <f t="shared" si="62"/>
        <v>0.99999999999997868</v>
      </c>
      <c r="E470" s="99">
        <f t="shared" si="63"/>
        <v>7.2624682018508774E-2</v>
      </c>
      <c r="F470" s="99">
        <f t="shared" si="64"/>
        <v>0.3372499999999925</v>
      </c>
      <c r="G470" s="99">
        <f t="shared" si="65"/>
        <v>0.40105220162798455</v>
      </c>
      <c r="H470" s="99" t="str">
        <f t="shared" si="66"/>
        <v/>
      </c>
      <c r="I470" s="99" t="str">
        <f t="shared" si="67"/>
        <v/>
      </c>
      <c r="J470" s="99" t="str">
        <f t="shared" si="68"/>
        <v/>
      </c>
      <c r="K470" s="99" t="str">
        <f t="shared" si="69"/>
        <v/>
      </c>
      <c r="L470" s="99" t="str">
        <f t="shared" si="70"/>
        <v/>
      </c>
      <c r="M470" s="106">
        <f>IF(D470="","",ABS(D470-G$5))</f>
        <v>0.99999999999997868</v>
      </c>
    </row>
    <row r="471" spans="2:13" ht="13.5" customHeight="1" x14ac:dyDescent="0.55000000000000004">
      <c r="B471" s="94">
        <v>44491</v>
      </c>
      <c r="C471" s="99">
        <v>2.17</v>
      </c>
      <c r="D471" s="99">
        <f t="shared" si="62"/>
        <v>0</v>
      </c>
      <c r="E471" s="99">
        <f t="shared" si="63"/>
        <v>2.1587520159630759E-2</v>
      </c>
      <c r="F471" s="99">
        <f t="shared" si="64"/>
        <v>0</v>
      </c>
      <c r="G471" s="99">
        <f t="shared" si="65"/>
        <v>0.12556122556858465</v>
      </c>
      <c r="H471" s="99" t="str">
        <f t="shared" si="66"/>
        <v/>
      </c>
      <c r="I471" s="99" t="str">
        <f t="shared" si="67"/>
        <v/>
      </c>
      <c r="J471" s="99" t="str">
        <f t="shared" si="68"/>
        <v/>
      </c>
      <c r="K471" s="99" t="str">
        <f t="shared" si="69"/>
        <v/>
      </c>
      <c r="L471" s="99" t="str">
        <f t="shared" si="70"/>
        <v>STALE</v>
      </c>
      <c r="M471" s="106">
        <f>IF(D471="","",ABS(D471-G$5))</f>
        <v>0</v>
      </c>
    </row>
    <row r="472" spans="2:13" ht="13.5" customHeight="1" x14ac:dyDescent="0.55000000000000004">
      <c r="B472" s="94">
        <v>44494</v>
      </c>
      <c r="C472" s="99">
        <v>2.17</v>
      </c>
      <c r="D472" s="99">
        <f t="shared" si="62"/>
        <v>0</v>
      </c>
      <c r="E472" s="99">
        <f t="shared" si="63"/>
        <v>2.1587520159630759E-2</v>
      </c>
      <c r="F472" s="99">
        <f t="shared" si="64"/>
        <v>0</v>
      </c>
      <c r="G472" s="99">
        <f t="shared" si="65"/>
        <v>0.13223738107337388</v>
      </c>
      <c r="H472" s="99" t="str">
        <f t="shared" si="66"/>
        <v/>
      </c>
      <c r="I472" s="99" t="str">
        <f t="shared" si="67"/>
        <v/>
      </c>
      <c r="J472" s="99" t="str">
        <f t="shared" si="68"/>
        <v/>
      </c>
      <c r="K472" s="99" t="str">
        <f t="shared" si="69"/>
        <v/>
      </c>
      <c r="L472" s="99" t="str">
        <f t="shared" si="70"/>
        <v>STALE</v>
      </c>
      <c r="M472" s="106">
        <f>IF(D472="","",ABS(D472-G$5))</f>
        <v>0</v>
      </c>
    </row>
    <row r="473" spans="2:13" ht="13.5" customHeight="1" x14ac:dyDescent="0.55000000000000004">
      <c r="B473" s="94">
        <v>44495</v>
      </c>
      <c r="C473" s="99">
        <v>2.19</v>
      </c>
      <c r="D473" s="99">
        <f t="shared" si="62"/>
        <v>2.0000000000000018</v>
      </c>
      <c r="E473" s="99">
        <f t="shared" si="63"/>
        <v>0.16683688419665252</v>
      </c>
      <c r="F473" s="99">
        <f t="shared" si="64"/>
        <v>0.67449999999999999</v>
      </c>
      <c r="G473" s="99">
        <f t="shared" si="65"/>
        <v>1.0197189771647008</v>
      </c>
      <c r="H473" s="99" t="str">
        <f t="shared" si="66"/>
        <v/>
      </c>
      <c r="I473" s="99" t="str">
        <f t="shared" si="67"/>
        <v/>
      </c>
      <c r="J473" s="99" t="str">
        <f t="shared" si="68"/>
        <v/>
      </c>
      <c r="K473" s="99" t="str">
        <f t="shared" si="69"/>
        <v/>
      </c>
      <c r="L473" s="99" t="str">
        <f t="shared" si="70"/>
        <v/>
      </c>
      <c r="M473" s="106">
        <f>IF(D473="","",ABS(D473-G$5))</f>
        <v>2.0000000000000018</v>
      </c>
    </row>
    <row r="474" spans="2:13" ht="13.5" customHeight="1" x14ac:dyDescent="0.55000000000000004">
      <c r="B474" s="94">
        <v>44496</v>
      </c>
      <c r="C474" s="99">
        <v>2.19</v>
      </c>
      <c r="D474" s="99">
        <f t="shared" si="62"/>
        <v>0</v>
      </c>
      <c r="E474" s="99">
        <f t="shared" si="63"/>
        <v>2.1587520159630759E-2</v>
      </c>
      <c r="F474" s="99">
        <f t="shared" si="64"/>
        <v>0</v>
      </c>
      <c r="G474" s="99">
        <f t="shared" si="65"/>
        <v>0.13894735851393891</v>
      </c>
      <c r="H474" s="99" t="str">
        <f t="shared" si="66"/>
        <v/>
      </c>
      <c r="I474" s="99" t="str">
        <f t="shared" si="67"/>
        <v/>
      </c>
      <c r="J474" s="99" t="str">
        <f t="shared" si="68"/>
        <v/>
      </c>
      <c r="K474" s="99" t="str">
        <f t="shared" si="69"/>
        <v/>
      </c>
      <c r="L474" s="99" t="str">
        <f t="shared" si="70"/>
        <v>STALE</v>
      </c>
      <c r="M474" s="106">
        <f>IF(D474="","",ABS(D474-G$5))</f>
        <v>0</v>
      </c>
    </row>
    <row r="475" spans="2:13" ht="13.5" customHeight="1" x14ac:dyDescent="0.55000000000000004">
      <c r="B475" s="94">
        <v>44497</v>
      </c>
      <c r="C475" s="99">
        <v>2.17</v>
      </c>
      <c r="D475" s="99">
        <f t="shared" ref="D475:D521" si="71">IF(OR(C475="",C474=""),"",(C475-C474)*100)</f>
        <v>-2.0000000000000018</v>
      </c>
      <c r="E475" s="99">
        <f t="shared" ref="E475:E521" si="72">IF(D475="","",ABS(D475-$E$5)/$F$5)</f>
        <v>0.21001192451591399</v>
      </c>
      <c r="F475" s="99">
        <f t="shared" ref="F475:F521" si="73">IF(D475="","",ABS(D475-$G$5)/$H$5)</f>
        <v>0.67449999999999999</v>
      </c>
      <c r="G475" s="99">
        <f t="shared" ref="G475:G521" si="74">IF(D475="","",ABS(D475-$E$5)/SQRT(0.9*(IF(G474="",($F$5)^2,(ABS(D474-$E$5)/MAX(G474,0.0000000001))^2))+0.1*(D475-$E$5)^2))</f>
        <v>1.2990733561238248</v>
      </c>
      <c r="H475" s="99" t="str">
        <f t="shared" ref="H475:H521" si="75">IF(E475="","",IF(E475&gt;$I$5,"OUTLIER",""))</f>
        <v/>
      </c>
      <c r="I475" s="99" t="str">
        <f t="shared" ref="I475:I521" si="76">IF(F475="","",IF(F475&gt;$I$5,"OUTLIER",""))</f>
        <v/>
      </c>
      <c r="J475" s="99" t="str">
        <f t="shared" ref="J475:J521" si="77">IF(G475="","",IF(G475&gt;$I$5,"OUTLIER",""))</f>
        <v/>
      </c>
      <c r="K475" s="99" t="str">
        <f t="shared" ref="K475:K521" si="78">IF(C475="","MISSING","")</f>
        <v/>
      </c>
      <c r="L475" s="99" t="str">
        <f t="shared" ref="L475:L521" si="79">IF(AND(C475&lt;&gt;"",C474&lt;&gt;"",C475=C474),"STALE","")</f>
        <v/>
      </c>
      <c r="M475" s="106">
        <f>IF(D475="","",ABS(D475-G$5))</f>
        <v>2.0000000000000018</v>
      </c>
    </row>
    <row r="476" spans="2:13" ht="13.5" customHeight="1" x14ac:dyDescent="0.55000000000000004">
      <c r="B476" s="94">
        <v>44498</v>
      </c>
      <c r="C476" s="99">
        <v>2.17</v>
      </c>
      <c r="D476" s="99">
        <f t="shared" si="71"/>
        <v>0</v>
      </c>
      <c r="E476" s="99">
        <f t="shared" si="72"/>
        <v>2.1587520159630759E-2</v>
      </c>
      <c r="F476" s="99">
        <f t="shared" si="73"/>
        <v>0</v>
      </c>
      <c r="G476" s="99">
        <f t="shared" si="74"/>
        <v>0.14061816351683165</v>
      </c>
      <c r="H476" s="99" t="str">
        <f t="shared" si="75"/>
        <v/>
      </c>
      <c r="I476" s="99" t="str">
        <f t="shared" si="76"/>
        <v/>
      </c>
      <c r="J476" s="99" t="str">
        <f t="shared" si="77"/>
        <v/>
      </c>
      <c r="K476" s="99" t="str">
        <f t="shared" si="78"/>
        <v/>
      </c>
      <c r="L476" s="99" t="str">
        <f t="shared" si="79"/>
        <v>STALE</v>
      </c>
      <c r="M476" s="106">
        <f>IF(D476="","",ABS(D476-G$5))</f>
        <v>0</v>
      </c>
    </row>
    <row r="477" spans="2:13" ht="13.5" customHeight="1" x14ac:dyDescent="0.55000000000000004">
      <c r="B477" s="94">
        <v>44501</v>
      </c>
      <c r="C477" s="99">
        <v>2.15</v>
      </c>
      <c r="D477" s="99">
        <f t="shared" si="71"/>
        <v>-2.0000000000000018</v>
      </c>
      <c r="E477" s="99">
        <f t="shared" si="72"/>
        <v>0.21001192451591399</v>
      </c>
      <c r="F477" s="99">
        <f t="shared" si="73"/>
        <v>0.67449999999999999</v>
      </c>
      <c r="G477" s="99">
        <f t="shared" si="74"/>
        <v>1.3120186298765184</v>
      </c>
      <c r="H477" s="99" t="str">
        <f t="shared" si="75"/>
        <v/>
      </c>
      <c r="I477" s="99" t="str">
        <f t="shared" si="76"/>
        <v/>
      </c>
      <c r="J477" s="99" t="str">
        <f t="shared" si="77"/>
        <v/>
      </c>
      <c r="K477" s="99" t="str">
        <f t="shared" si="78"/>
        <v/>
      </c>
      <c r="L477" s="99" t="str">
        <f t="shared" si="79"/>
        <v/>
      </c>
      <c r="M477" s="106">
        <f>IF(D477="","",ABS(D477-G$5))</f>
        <v>2.0000000000000018</v>
      </c>
    </row>
    <row r="478" spans="2:13" ht="13.5" customHeight="1" x14ac:dyDescent="0.55000000000000004">
      <c r="B478" s="94">
        <v>44502</v>
      </c>
      <c r="C478" s="99">
        <v>2.14</v>
      </c>
      <c r="D478" s="99">
        <f t="shared" si="71"/>
        <v>-0.99999999999997868</v>
      </c>
      <c r="E478" s="99">
        <f t="shared" si="72"/>
        <v>0.11579972233777029</v>
      </c>
      <c r="F478" s="99">
        <f t="shared" si="73"/>
        <v>0.3372499999999925</v>
      </c>
      <c r="G478" s="99">
        <f t="shared" si="74"/>
        <v>0.74132437955718433</v>
      </c>
      <c r="H478" s="99" t="str">
        <f t="shared" si="75"/>
        <v/>
      </c>
      <c r="I478" s="99" t="str">
        <f t="shared" si="76"/>
        <v/>
      </c>
      <c r="J478" s="99" t="str">
        <f t="shared" si="77"/>
        <v/>
      </c>
      <c r="K478" s="99" t="str">
        <f t="shared" si="78"/>
        <v/>
      </c>
      <c r="L478" s="99" t="str">
        <f t="shared" si="79"/>
        <v/>
      </c>
      <c r="M478" s="106">
        <f>IF(D478="","",ABS(D478-G$5))</f>
        <v>0.99999999999997868</v>
      </c>
    </row>
    <row r="479" spans="2:13" ht="13.5" customHeight="1" x14ac:dyDescent="0.55000000000000004">
      <c r="B479" s="94">
        <v>44503</v>
      </c>
      <c r="C479" s="99">
        <v>2.12</v>
      </c>
      <c r="D479" s="99">
        <f t="shared" si="71"/>
        <v>-2.0000000000000018</v>
      </c>
      <c r="E479" s="99">
        <f t="shared" si="72"/>
        <v>0.21001192451591399</v>
      </c>
      <c r="F479" s="99">
        <f t="shared" si="73"/>
        <v>0.67449999999999999</v>
      </c>
      <c r="G479" s="99">
        <f t="shared" si="74"/>
        <v>1.2932460672607571</v>
      </c>
      <c r="H479" s="99" t="str">
        <f t="shared" si="75"/>
        <v/>
      </c>
      <c r="I479" s="99" t="str">
        <f t="shared" si="76"/>
        <v/>
      </c>
      <c r="J479" s="99" t="str">
        <f t="shared" si="77"/>
        <v/>
      </c>
      <c r="K479" s="99" t="str">
        <f t="shared" si="78"/>
        <v/>
      </c>
      <c r="L479" s="99" t="str">
        <f t="shared" si="79"/>
        <v/>
      </c>
      <c r="M479" s="106">
        <f>IF(D479="","",ABS(D479-G$5))</f>
        <v>2.0000000000000018</v>
      </c>
    </row>
    <row r="480" spans="2:13" ht="13.5" customHeight="1" x14ac:dyDescent="0.55000000000000004">
      <c r="B480" s="94">
        <v>44504</v>
      </c>
      <c r="C480" s="99">
        <v>2.1</v>
      </c>
      <c r="D480" s="99">
        <f t="shared" si="71"/>
        <v>-2.0000000000000018</v>
      </c>
      <c r="E480" s="99">
        <f t="shared" si="72"/>
        <v>0.21001192451591399</v>
      </c>
      <c r="F480" s="99">
        <f t="shared" si="73"/>
        <v>0.67449999999999999</v>
      </c>
      <c r="G480" s="99">
        <f t="shared" si="74"/>
        <v>1.251838724448477</v>
      </c>
      <c r="H480" s="99" t="str">
        <f t="shared" si="75"/>
        <v/>
      </c>
      <c r="I480" s="99" t="str">
        <f t="shared" si="76"/>
        <v/>
      </c>
      <c r="J480" s="99" t="str">
        <f t="shared" si="77"/>
        <v/>
      </c>
      <c r="K480" s="99" t="str">
        <f t="shared" si="78"/>
        <v/>
      </c>
      <c r="L480" s="99" t="str">
        <f t="shared" si="79"/>
        <v/>
      </c>
      <c r="M480" s="106">
        <f>IF(D480="","",ABS(D480-G$5))</f>
        <v>2.0000000000000018</v>
      </c>
    </row>
    <row r="481" spans="2:13" ht="13.5" customHeight="1" x14ac:dyDescent="0.55000000000000004">
      <c r="B481" s="94">
        <v>44505</v>
      </c>
      <c r="C481" s="99">
        <v>2.09</v>
      </c>
      <c r="D481" s="99">
        <f t="shared" si="71"/>
        <v>-1.0000000000000231</v>
      </c>
      <c r="E481" s="99">
        <f t="shared" si="72"/>
        <v>0.11579972233777447</v>
      </c>
      <c r="F481" s="99">
        <f t="shared" si="73"/>
        <v>0.33725000000000749</v>
      </c>
      <c r="G481" s="99">
        <f t="shared" si="74"/>
        <v>0.70906972463482631</v>
      </c>
      <c r="H481" s="99" t="str">
        <f t="shared" si="75"/>
        <v/>
      </c>
      <c r="I481" s="99" t="str">
        <f t="shared" si="76"/>
        <v/>
      </c>
      <c r="J481" s="99" t="str">
        <f t="shared" si="77"/>
        <v/>
      </c>
      <c r="K481" s="99" t="str">
        <f t="shared" si="78"/>
        <v/>
      </c>
      <c r="L481" s="99" t="str">
        <f t="shared" si="79"/>
        <v/>
      </c>
      <c r="M481" s="106">
        <f>IF(D481="","",ABS(D481-G$5))</f>
        <v>1.0000000000000231</v>
      </c>
    </row>
    <row r="482" spans="2:13" ht="13.5" customHeight="1" x14ac:dyDescent="0.55000000000000004">
      <c r="B482" s="94">
        <v>44508</v>
      </c>
      <c r="C482" s="99">
        <v>2.1</v>
      </c>
      <c r="D482" s="99">
        <f t="shared" si="71"/>
        <v>1.0000000000000231</v>
      </c>
      <c r="E482" s="99">
        <f t="shared" si="72"/>
        <v>7.2624682018512965E-2</v>
      </c>
      <c r="F482" s="99">
        <f t="shared" si="73"/>
        <v>0.33725000000000749</v>
      </c>
      <c r="G482" s="99">
        <f t="shared" si="74"/>
        <v>0.46368677384320445</v>
      </c>
      <c r="H482" s="99" t="str">
        <f t="shared" si="75"/>
        <v/>
      </c>
      <c r="I482" s="99" t="str">
        <f t="shared" si="76"/>
        <v/>
      </c>
      <c r="J482" s="99" t="str">
        <f t="shared" si="77"/>
        <v/>
      </c>
      <c r="K482" s="99" t="str">
        <f t="shared" si="78"/>
        <v/>
      </c>
      <c r="L482" s="99" t="str">
        <f t="shared" si="79"/>
        <v/>
      </c>
      <c r="M482" s="106">
        <f>IF(D482="","",ABS(D482-G$5))</f>
        <v>1.0000000000000231</v>
      </c>
    </row>
    <row r="483" spans="2:13" ht="13.5" customHeight="1" x14ac:dyDescent="0.55000000000000004">
      <c r="B483" s="94">
        <v>44509</v>
      </c>
      <c r="C483" s="99">
        <v>2.11</v>
      </c>
      <c r="D483" s="99">
        <f t="shared" si="71"/>
        <v>0.99999999999997868</v>
      </c>
      <c r="E483" s="99">
        <f t="shared" si="72"/>
        <v>7.2624682018508774E-2</v>
      </c>
      <c r="F483" s="99">
        <f t="shared" si="73"/>
        <v>0.3372499999999925</v>
      </c>
      <c r="G483" s="99">
        <f t="shared" si="74"/>
        <v>0.48303312086511246</v>
      </c>
      <c r="H483" s="99" t="str">
        <f t="shared" si="75"/>
        <v/>
      </c>
      <c r="I483" s="99" t="str">
        <f t="shared" si="76"/>
        <v/>
      </c>
      <c r="J483" s="99" t="str">
        <f t="shared" si="77"/>
        <v/>
      </c>
      <c r="K483" s="99" t="str">
        <f t="shared" si="78"/>
        <v/>
      </c>
      <c r="L483" s="99" t="str">
        <f t="shared" si="79"/>
        <v/>
      </c>
      <c r="M483" s="106">
        <f>IF(D483="","",ABS(D483-G$5))</f>
        <v>0.99999999999997868</v>
      </c>
    </row>
    <row r="484" spans="2:13" ht="13.5" customHeight="1" x14ac:dyDescent="0.55000000000000004">
      <c r="B484" s="94">
        <v>44510</v>
      </c>
      <c r="C484" s="99">
        <v>2.16</v>
      </c>
      <c r="D484" s="99">
        <f t="shared" si="71"/>
        <v>5.0000000000000266</v>
      </c>
      <c r="E484" s="99">
        <f t="shared" si="72"/>
        <v>0.44947349073107945</v>
      </c>
      <c r="F484" s="99">
        <f t="shared" si="73"/>
        <v>1.6862500000000074</v>
      </c>
      <c r="G484" s="99">
        <f t="shared" si="74"/>
        <v>2.2321399056595896</v>
      </c>
      <c r="H484" s="99" t="str">
        <f t="shared" si="75"/>
        <v/>
      </c>
      <c r="I484" s="99" t="str">
        <f t="shared" si="76"/>
        <v/>
      </c>
      <c r="J484" s="99" t="str">
        <f t="shared" si="77"/>
        <v/>
      </c>
      <c r="K484" s="99" t="str">
        <f t="shared" si="78"/>
        <v/>
      </c>
      <c r="L484" s="99" t="str">
        <f t="shared" si="79"/>
        <v/>
      </c>
      <c r="M484" s="106">
        <f>IF(D484="","",ABS(D484-G$5))</f>
        <v>5.0000000000000266</v>
      </c>
    </row>
    <row r="485" spans="2:13" ht="13.5" customHeight="1" x14ac:dyDescent="0.55000000000000004">
      <c r="B485" s="94">
        <v>44511</v>
      </c>
      <c r="C485" s="99"/>
      <c r="D485" s="99" t="str">
        <f t="shared" si="71"/>
        <v/>
      </c>
      <c r="E485" s="99" t="str">
        <f t="shared" si="72"/>
        <v/>
      </c>
      <c r="F485" s="99" t="str">
        <f t="shared" si="73"/>
        <v/>
      </c>
      <c r="G485" s="99" t="str">
        <f t="shared" si="74"/>
        <v/>
      </c>
      <c r="H485" s="99" t="str">
        <f t="shared" si="75"/>
        <v/>
      </c>
      <c r="I485" s="99" t="str">
        <f t="shared" si="76"/>
        <v/>
      </c>
      <c r="J485" s="99" t="str">
        <f t="shared" si="77"/>
        <v/>
      </c>
      <c r="K485" s="99" t="str">
        <f t="shared" si="78"/>
        <v>MISSING</v>
      </c>
      <c r="L485" s="99" t="str">
        <f t="shared" si="79"/>
        <v/>
      </c>
      <c r="M485" s="106" t="str">
        <f>IF(D485="","",ABS(D485-G$5))</f>
        <v/>
      </c>
    </row>
    <row r="486" spans="2:13" ht="13.5" customHeight="1" x14ac:dyDescent="0.55000000000000004">
      <c r="B486" s="94">
        <v>44512</v>
      </c>
      <c r="C486" s="99">
        <v>2.17</v>
      </c>
      <c r="D486" s="99" t="str">
        <f t="shared" si="71"/>
        <v/>
      </c>
      <c r="E486" s="99" t="str">
        <f t="shared" si="72"/>
        <v/>
      </c>
      <c r="F486" s="99" t="str">
        <f t="shared" si="73"/>
        <v/>
      </c>
      <c r="G486" s="99" t="str">
        <f t="shared" si="74"/>
        <v/>
      </c>
      <c r="H486" s="99" t="str">
        <f t="shared" si="75"/>
        <v/>
      </c>
      <c r="I486" s="99" t="str">
        <f t="shared" si="76"/>
        <v/>
      </c>
      <c r="J486" s="99" t="str">
        <f t="shared" si="77"/>
        <v/>
      </c>
      <c r="K486" s="99" t="str">
        <f t="shared" si="78"/>
        <v/>
      </c>
      <c r="L486" s="99" t="str">
        <f t="shared" si="79"/>
        <v/>
      </c>
      <c r="M486" s="106" t="str">
        <f>IF(D486="","",ABS(D486-G$5))</f>
        <v/>
      </c>
    </row>
    <row r="487" spans="2:13" ht="13.5" customHeight="1" x14ac:dyDescent="0.55000000000000004">
      <c r="B487" s="94">
        <v>44515</v>
      </c>
      <c r="C487" s="99">
        <v>2.17</v>
      </c>
      <c r="D487" s="99">
        <f t="shared" si="71"/>
        <v>0</v>
      </c>
      <c r="E487" s="99">
        <f t="shared" si="72"/>
        <v>2.1587520159630759E-2</v>
      </c>
      <c r="F487" s="99">
        <f t="shared" si="73"/>
        <v>0</v>
      </c>
      <c r="G487" s="99">
        <f t="shared" si="74"/>
        <v>2.2754655134718329E-2</v>
      </c>
      <c r="H487" s="99" t="str">
        <f t="shared" si="75"/>
        <v/>
      </c>
      <c r="I487" s="99" t="str">
        <f t="shared" si="76"/>
        <v/>
      </c>
      <c r="J487" s="99" t="str">
        <f t="shared" si="77"/>
        <v/>
      </c>
      <c r="K487" s="99" t="str">
        <f t="shared" si="78"/>
        <v/>
      </c>
      <c r="L487" s="99" t="str">
        <f t="shared" si="79"/>
        <v>STALE</v>
      </c>
      <c r="M487" s="106">
        <f>IF(D487="","",ABS(D487-G$5))</f>
        <v>0</v>
      </c>
    </row>
    <row r="488" spans="2:13" ht="13.5" customHeight="1" x14ac:dyDescent="0.55000000000000004">
      <c r="B488" s="94">
        <v>44516</v>
      </c>
      <c r="C488" s="99">
        <v>2.17</v>
      </c>
      <c r="D488" s="99">
        <f t="shared" si="71"/>
        <v>0</v>
      </c>
      <c r="E488" s="99">
        <f t="shared" si="72"/>
        <v>2.1587520159630759E-2</v>
      </c>
      <c r="F488" s="99">
        <f t="shared" si="73"/>
        <v>0</v>
      </c>
      <c r="G488" s="99">
        <f t="shared" si="74"/>
        <v>2.398482261318198E-2</v>
      </c>
      <c r="H488" s="99" t="str">
        <f t="shared" si="75"/>
        <v/>
      </c>
      <c r="I488" s="99" t="str">
        <f t="shared" si="76"/>
        <v/>
      </c>
      <c r="J488" s="99" t="str">
        <f t="shared" si="77"/>
        <v/>
      </c>
      <c r="K488" s="99" t="str">
        <f t="shared" si="78"/>
        <v/>
      </c>
      <c r="L488" s="99" t="str">
        <f t="shared" si="79"/>
        <v>STALE</v>
      </c>
      <c r="M488" s="106">
        <f>IF(D488="","",ABS(D488-G$5))</f>
        <v>0</v>
      </c>
    </row>
    <row r="489" spans="2:13" ht="13.5" customHeight="1" x14ac:dyDescent="0.55000000000000004">
      <c r="B489" s="94">
        <v>44517</v>
      </c>
      <c r="C489" s="99">
        <v>2.2000000000000002</v>
      </c>
      <c r="D489" s="99">
        <f t="shared" si="71"/>
        <v>3.0000000000000249</v>
      </c>
      <c r="E489" s="99">
        <f t="shared" si="72"/>
        <v>0.26104908637479624</v>
      </c>
      <c r="F489" s="99">
        <f t="shared" si="73"/>
        <v>1.0117500000000075</v>
      </c>
      <c r="G489" s="99">
        <f t="shared" si="74"/>
        <v>0.30430875181119588</v>
      </c>
      <c r="H489" s="99" t="str">
        <f t="shared" si="75"/>
        <v/>
      </c>
      <c r="I489" s="99" t="str">
        <f t="shared" si="76"/>
        <v/>
      </c>
      <c r="J489" s="99" t="str">
        <f t="shared" si="77"/>
        <v/>
      </c>
      <c r="K489" s="99" t="str">
        <f t="shared" si="78"/>
        <v/>
      </c>
      <c r="L489" s="99" t="str">
        <f t="shared" si="79"/>
        <v/>
      </c>
      <c r="M489" s="106">
        <f>IF(D489="","",ABS(D489-G$5))</f>
        <v>3.0000000000000249</v>
      </c>
    </row>
    <row r="490" spans="2:13" ht="13.5" customHeight="1" x14ac:dyDescent="0.55000000000000004">
      <c r="B490" s="94">
        <v>44518</v>
      </c>
      <c r="C490" s="99">
        <v>2.2200000000000002</v>
      </c>
      <c r="D490" s="99">
        <f t="shared" si="71"/>
        <v>2.0000000000000018</v>
      </c>
      <c r="E490" s="99">
        <f t="shared" si="72"/>
        <v>0.16683688419665252</v>
      </c>
      <c r="F490" s="99">
        <f t="shared" si="73"/>
        <v>0.67449999999999999</v>
      </c>
      <c r="G490" s="99">
        <f t="shared" si="74"/>
        <v>0.2045749214772401</v>
      </c>
      <c r="H490" s="99" t="str">
        <f t="shared" si="75"/>
        <v/>
      </c>
      <c r="I490" s="99" t="str">
        <f t="shared" si="76"/>
        <v/>
      </c>
      <c r="J490" s="99" t="str">
        <f t="shared" si="77"/>
        <v/>
      </c>
      <c r="K490" s="99" t="str">
        <f t="shared" si="78"/>
        <v/>
      </c>
      <c r="L490" s="99" t="str">
        <f t="shared" si="79"/>
        <v/>
      </c>
      <c r="M490" s="106">
        <f>IF(D490="","",ABS(D490-G$5))</f>
        <v>2.0000000000000018</v>
      </c>
    </row>
    <row r="491" spans="2:13" ht="13.5" customHeight="1" x14ac:dyDescent="0.55000000000000004">
      <c r="B491" s="94">
        <v>44519</v>
      </c>
      <c r="C491" s="99">
        <v>2.2200000000000002</v>
      </c>
      <c r="D491" s="99">
        <f t="shared" si="71"/>
        <v>0</v>
      </c>
      <c r="E491" s="99">
        <f t="shared" si="72"/>
        <v>2.1587520159630759E-2</v>
      </c>
      <c r="F491" s="99">
        <f t="shared" si="73"/>
        <v>0</v>
      </c>
      <c r="G491" s="99">
        <f t="shared" si="74"/>
        <v>2.7901330845708096E-2</v>
      </c>
      <c r="H491" s="99" t="str">
        <f t="shared" si="75"/>
        <v/>
      </c>
      <c r="I491" s="99" t="str">
        <f t="shared" si="76"/>
        <v/>
      </c>
      <c r="J491" s="99" t="str">
        <f t="shared" si="77"/>
        <v/>
      </c>
      <c r="K491" s="99" t="str">
        <f t="shared" si="78"/>
        <v/>
      </c>
      <c r="L491" s="99" t="str">
        <f t="shared" si="79"/>
        <v>STALE</v>
      </c>
      <c r="M491" s="106">
        <f>IF(D491="","",ABS(D491-G$5))</f>
        <v>0</v>
      </c>
    </row>
    <row r="492" spans="2:13" ht="13.5" customHeight="1" x14ac:dyDescent="0.55000000000000004">
      <c r="B492" s="94">
        <v>44522</v>
      </c>
      <c r="C492" s="99">
        <v>2.27</v>
      </c>
      <c r="D492" s="99">
        <f t="shared" si="71"/>
        <v>4.9999999999999822</v>
      </c>
      <c r="E492" s="99">
        <f t="shared" si="72"/>
        <v>0.44947349073107523</v>
      </c>
      <c r="F492" s="99">
        <f t="shared" si="73"/>
        <v>1.6862499999999925</v>
      </c>
      <c r="G492" s="99">
        <f t="shared" si="74"/>
        <v>0.60118941129547065</v>
      </c>
      <c r="H492" s="99" t="str">
        <f t="shared" si="75"/>
        <v/>
      </c>
      <c r="I492" s="99" t="str">
        <f t="shared" si="76"/>
        <v/>
      </c>
      <c r="J492" s="99" t="str">
        <f t="shared" si="77"/>
        <v/>
      </c>
      <c r="K492" s="99" t="str">
        <f t="shared" si="78"/>
        <v/>
      </c>
      <c r="L492" s="99" t="str">
        <f t="shared" si="79"/>
        <v/>
      </c>
      <c r="M492" s="106">
        <f>IF(D492="","",ABS(D492-G$5))</f>
        <v>4.9999999999999822</v>
      </c>
    </row>
    <row r="493" spans="2:13" ht="13.5" customHeight="1" x14ac:dyDescent="0.55000000000000004">
      <c r="B493" s="94">
        <v>44523</v>
      </c>
      <c r="C493" s="99">
        <v>2.2999999999999998</v>
      </c>
      <c r="D493" s="99">
        <f t="shared" si="71"/>
        <v>2.9999999999999805</v>
      </c>
      <c r="E493" s="99">
        <f t="shared" si="72"/>
        <v>0.26104908637479202</v>
      </c>
      <c r="F493" s="99">
        <f t="shared" si="73"/>
        <v>1.0117499999999926</v>
      </c>
      <c r="G493" s="99">
        <f t="shared" si="74"/>
        <v>0.36558333955367106</v>
      </c>
      <c r="H493" s="99" t="str">
        <f t="shared" si="75"/>
        <v/>
      </c>
      <c r="I493" s="99" t="str">
        <f t="shared" si="76"/>
        <v/>
      </c>
      <c r="J493" s="99" t="str">
        <f t="shared" si="77"/>
        <v/>
      </c>
      <c r="K493" s="99" t="str">
        <f t="shared" si="78"/>
        <v/>
      </c>
      <c r="L493" s="99" t="str">
        <f t="shared" si="79"/>
        <v/>
      </c>
      <c r="M493" s="106">
        <f>IF(D493="","",ABS(D493-G$5))</f>
        <v>2.9999999999999805</v>
      </c>
    </row>
    <row r="494" spans="2:13" ht="13.5" customHeight="1" x14ac:dyDescent="0.55000000000000004">
      <c r="B494" s="94">
        <v>44524</v>
      </c>
      <c r="C494" s="99">
        <v>2.27</v>
      </c>
      <c r="D494" s="99">
        <f t="shared" si="71"/>
        <v>-2.9999999999999805</v>
      </c>
      <c r="E494" s="99">
        <f t="shared" si="72"/>
        <v>0.30422412669405352</v>
      </c>
      <c r="F494" s="99">
        <f t="shared" si="73"/>
        <v>1.0117499999999926</v>
      </c>
      <c r="G494" s="99">
        <f t="shared" si="74"/>
        <v>0.44463194865946187</v>
      </c>
      <c r="H494" s="99" t="str">
        <f t="shared" si="75"/>
        <v/>
      </c>
      <c r="I494" s="99" t="str">
        <f t="shared" si="76"/>
        <v/>
      </c>
      <c r="J494" s="99" t="str">
        <f t="shared" si="77"/>
        <v/>
      </c>
      <c r="K494" s="99" t="str">
        <f t="shared" si="78"/>
        <v/>
      </c>
      <c r="L494" s="99" t="str">
        <f t="shared" si="79"/>
        <v/>
      </c>
      <c r="M494" s="106">
        <f>IF(D494="","",ABS(D494-G$5))</f>
        <v>2.9999999999999805</v>
      </c>
    </row>
    <row r="495" spans="2:13" ht="13.5" customHeight="1" x14ac:dyDescent="0.55000000000000004">
      <c r="B495" s="94">
        <v>44526</v>
      </c>
      <c r="C495" s="99">
        <v>2.34</v>
      </c>
      <c r="D495" s="99">
        <f t="shared" si="71"/>
        <v>6.999999999999984</v>
      </c>
      <c r="E495" s="99">
        <f t="shared" si="72"/>
        <v>0.6378978950873585</v>
      </c>
      <c r="F495" s="99">
        <f t="shared" si="73"/>
        <v>2.3607499999999924</v>
      </c>
      <c r="G495" s="99">
        <f t="shared" si="74"/>
        <v>0.93846343071191385</v>
      </c>
      <c r="H495" s="99" t="str">
        <f t="shared" si="75"/>
        <v/>
      </c>
      <c r="I495" s="99" t="str">
        <f t="shared" si="76"/>
        <v/>
      </c>
      <c r="J495" s="99" t="str">
        <f t="shared" si="77"/>
        <v/>
      </c>
      <c r="K495" s="99" t="str">
        <f t="shared" si="78"/>
        <v/>
      </c>
      <c r="L495" s="99" t="str">
        <f t="shared" si="79"/>
        <v/>
      </c>
      <c r="M495" s="106">
        <f>IF(D495="","",ABS(D495-G$5))</f>
        <v>6.999999999999984</v>
      </c>
    </row>
    <row r="496" spans="2:13" ht="13.5" customHeight="1" x14ac:dyDescent="0.55000000000000004">
      <c r="B496" s="94">
        <v>44529</v>
      </c>
      <c r="C496" s="99">
        <v>2.29</v>
      </c>
      <c r="D496" s="99">
        <f t="shared" si="71"/>
        <v>-4.9999999999999822</v>
      </c>
      <c r="E496" s="99">
        <f t="shared" si="72"/>
        <v>0.49264853105033685</v>
      </c>
      <c r="F496" s="99">
        <f t="shared" si="73"/>
        <v>1.6862499999999925</v>
      </c>
      <c r="G496" s="99">
        <f t="shared" si="74"/>
        <v>0.74261559227374341</v>
      </c>
      <c r="H496" s="99" t="str">
        <f t="shared" si="75"/>
        <v/>
      </c>
      <c r="I496" s="99" t="str">
        <f t="shared" si="76"/>
        <v/>
      </c>
      <c r="J496" s="99" t="str">
        <f t="shared" si="77"/>
        <v/>
      </c>
      <c r="K496" s="99" t="str">
        <f t="shared" si="78"/>
        <v/>
      </c>
      <c r="L496" s="99" t="str">
        <f t="shared" si="79"/>
        <v/>
      </c>
      <c r="M496" s="106">
        <f>IF(D496="","",ABS(D496-G$5))</f>
        <v>4.9999999999999822</v>
      </c>
    </row>
    <row r="497" spans="2:13" ht="13.5" customHeight="1" x14ac:dyDescent="0.55000000000000004">
      <c r="B497" s="94">
        <v>44530</v>
      </c>
      <c r="C497" s="99">
        <v>2.35</v>
      </c>
      <c r="D497" s="99">
        <f t="shared" si="71"/>
        <v>6.0000000000000053</v>
      </c>
      <c r="E497" s="99">
        <f t="shared" si="72"/>
        <v>0.54368569290921898</v>
      </c>
      <c r="F497" s="99">
        <f t="shared" si="73"/>
        <v>2.0234999999999999</v>
      </c>
      <c r="G497" s="99">
        <f t="shared" si="74"/>
        <v>0.83334390502859779</v>
      </c>
      <c r="H497" s="99" t="str">
        <f t="shared" si="75"/>
        <v/>
      </c>
      <c r="I497" s="99" t="str">
        <f t="shared" si="76"/>
        <v/>
      </c>
      <c r="J497" s="99" t="str">
        <f t="shared" si="77"/>
        <v/>
      </c>
      <c r="K497" s="99" t="str">
        <f t="shared" si="78"/>
        <v/>
      </c>
      <c r="L497" s="99" t="str">
        <f t="shared" si="79"/>
        <v/>
      </c>
      <c r="M497" s="106">
        <f>IF(D497="","",ABS(D497-G$5))</f>
        <v>6.0000000000000053</v>
      </c>
    </row>
    <row r="498" spans="2:13" ht="13.5" customHeight="1" x14ac:dyDescent="0.55000000000000004">
      <c r="B498" s="94">
        <v>44531</v>
      </c>
      <c r="C498" s="99">
        <v>2.41</v>
      </c>
      <c r="D498" s="99">
        <f t="shared" si="71"/>
        <v>6.0000000000000053</v>
      </c>
      <c r="E498" s="99">
        <f t="shared" si="72"/>
        <v>0.54368569290921898</v>
      </c>
      <c r="F498" s="99">
        <f t="shared" si="73"/>
        <v>2.0234999999999999</v>
      </c>
      <c r="G498" s="99">
        <f t="shared" si="74"/>
        <v>0.84637417919729474</v>
      </c>
      <c r="H498" s="99" t="str">
        <f t="shared" si="75"/>
        <v/>
      </c>
      <c r="I498" s="99" t="str">
        <f t="shared" si="76"/>
        <v/>
      </c>
      <c r="J498" s="99" t="str">
        <f t="shared" si="77"/>
        <v/>
      </c>
      <c r="K498" s="99" t="str">
        <f t="shared" si="78"/>
        <v/>
      </c>
      <c r="L498" s="99" t="str">
        <f t="shared" si="79"/>
        <v/>
      </c>
      <c r="M498" s="106">
        <f>IF(D498="","",ABS(D498-G$5))</f>
        <v>6.0000000000000053</v>
      </c>
    </row>
    <row r="499" spans="2:13" ht="13.5" customHeight="1" x14ac:dyDescent="0.55000000000000004">
      <c r="B499" s="94">
        <v>44532</v>
      </c>
      <c r="C499" s="99">
        <v>2.48</v>
      </c>
      <c r="D499" s="99">
        <f t="shared" si="71"/>
        <v>6.999999999999984</v>
      </c>
      <c r="E499" s="99">
        <f t="shared" si="72"/>
        <v>0.6378978950873585</v>
      </c>
      <c r="F499" s="99">
        <f t="shared" si="73"/>
        <v>2.3607499999999924</v>
      </c>
      <c r="G499" s="99">
        <f t="shared" si="74"/>
        <v>0.99372725659478944</v>
      </c>
      <c r="H499" s="99" t="str">
        <f t="shared" si="75"/>
        <v/>
      </c>
      <c r="I499" s="99" t="str">
        <f t="shared" si="76"/>
        <v/>
      </c>
      <c r="J499" s="99" t="str">
        <f t="shared" si="77"/>
        <v/>
      </c>
      <c r="K499" s="99" t="str">
        <f t="shared" si="78"/>
        <v/>
      </c>
      <c r="L499" s="99" t="str">
        <f t="shared" si="79"/>
        <v/>
      </c>
      <c r="M499" s="106">
        <f>IF(D499="","",ABS(D499-G$5))</f>
        <v>6.999999999999984</v>
      </c>
    </row>
    <row r="500" spans="2:13" ht="13.5" customHeight="1" x14ac:dyDescent="0.55000000000000004">
      <c r="B500" s="94">
        <v>44533</v>
      </c>
      <c r="C500" s="99">
        <v>2.5099999999999998</v>
      </c>
      <c r="D500" s="99">
        <f t="shared" si="71"/>
        <v>2.9999999999999805</v>
      </c>
      <c r="E500" s="99">
        <f t="shared" si="72"/>
        <v>0.26104908637479202</v>
      </c>
      <c r="F500" s="99">
        <f t="shared" si="73"/>
        <v>1.0117499999999926</v>
      </c>
      <c r="G500" s="99">
        <f t="shared" si="74"/>
        <v>0.42477899396090119</v>
      </c>
      <c r="H500" s="99" t="str">
        <f t="shared" si="75"/>
        <v/>
      </c>
      <c r="I500" s="99" t="str">
        <f t="shared" si="76"/>
        <v/>
      </c>
      <c r="J500" s="99" t="str">
        <f t="shared" si="77"/>
        <v/>
      </c>
      <c r="K500" s="99" t="str">
        <f t="shared" si="78"/>
        <v/>
      </c>
      <c r="L500" s="99" t="str">
        <f t="shared" si="79"/>
        <v/>
      </c>
      <c r="M500" s="106">
        <f>IF(D500="","",ABS(D500-G$5))</f>
        <v>2.9999999999999805</v>
      </c>
    </row>
    <row r="501" spans="2:13" ht="13.5" customHeight="1" x14ac:dyDescent="0.55000000000000004">
      <c r="B501" s="94">
        <v>44536</v>
      </c>
      <c r="C501" s="99">
        <v>2.4500000000000002</v>
      </c>
      <c r="D501" s="99">
        <f t="shared" si="71"/>
        <v>-5.9999999999999609</v>
      </c>
      <c r="E501" s="99">
        <f t="shared" si="72"/>
        <v>0.58686073322847643</v>
      </c>
      <c r="F501" s="99">
        <f t="shared" si="73"/>
        <v>2.0234999999999852</v>
      </c>
      <c r="G501" s="99">
        <f t="shared" si="74"/>
        <v>0.9591736487296143</v>
      </c>
      <c r="H501" s="99" t="str">
        <f t="shared" si="75"/>
        <v/>
      </c>
      <c r="I501" s="99" t="str">
        <f t="shared" si="76"/>
        <v/>
      </c>
      <c r="J501" s="99" t="str">
        <f t="shared" si="77"/>
        <v/>
      </c>
      <c r="K501" s="99" t="str">
        <f t="shared" si="78"/>
        <v/>
      </c>
      <c r="L501" s="99" t="str">
        <f t="shared" si="79"/>
        <v/>
      </c>
      <c r="M501" s="106">
        <f>IF(D501="","",ABS(D501-G$5))</f>
        <v>5.9999999999999609</v>
      </c>
    </row>
    <row r="502" spans="2:13" ht="13.5" customHeight="1" x14ac:dyDescent="0.55000000000000004">
      <c r="B502" s="94">
        <v>44537</v>
      </c>
      <c r="C502" s="99">
        <v>2.38</v>
      </c>
      <c r="D502" s="99">
        <f t="shared" si="71"/>
        <v>-7.0000000000000284</v>
      </c>
      <c r="E502" s="99">
        <f t="shared" si="72"/>
        <v>0.68107293540662428</v>
      </c>
      <c r="F502" s="99">
        <f t="shared" si="73"/>
        <v>2.3607500000000075</v>
      </c>
      <c r="G502" s="99">
        <f t="shared" si="74"/>
        <v>1.1000808354972234</v>
      </c>
      <c r="H502" s="99" t="str">
        <f t="shared" si="75"/>
        <v/>
      </c>
      <c r="I502" s="99" t="str">
        <f t="shared" si="76"/>
        <v/>
      </c>
      <c r="J502" s="99" t="str">
        <f t="shared" si="77"/>
        <v/>
      </c>
      <c r="K502" s="99" t="str">
        <f t="shared" si="78"/>
        <v/>
      </c>
      <c r="L502" s="99" t="str">
        <f t="shared" si="79"/>
        <v/>
      </c>
      <c r="M502" s="106">
        <f>IF(D502="","",ABS(D502-G$5))</f>
        <v>7.0000000000000284</v>
      </c>
    </row>
    <row r="503" spans="2:13" ht="13.5" customHeight="1" x14ac:dyDescent="0.55000000000000004">
      <c r="B503" s="94">
        <v>44538</v>
      </c>
      <c r="C503" s="99">
        <v>2.35</v>
      </c>
      <c r="D503" s="99">
        <f t="shared" si="71"/>
        <v>-2.9999999999999805</v>
      </c>
      <c r="E503" s="99">
        <f t="shared" si="72"/>
        <v>0.30422412669405352</v>
      </c>
      <c r="F503" s="99">
        <f t="shared" si="73"/>
        <v>1.0117499999999926</v>
      </c>
      <c r="G503" s="99">
        <f t="shared" si="74"/>
        <v>0.51115696438251612</v>
      </c>
      <c r="H503" s="99" t="str">
        <f t="shared" si="75"/>
        <v/>
      </c>
      <c r="I503" s="99" t="str">
        <f t="shared" si="76"/>
        <v/>
      </c>
      <c r="J503" s="99" t="str">
        <f t="shared" si="77"/>
        <v/>
      </c>
      <c r="K503" s="99" t="str">
        <f t="shared" si="78"/>
        <v/>
      </c>
      <c r="L503" s="99" t="str">
        <f t="shared" si="79"/>
        <v/>
      </c>
      <c r="M503" s="106">
        <f>IF(D503="","",ABS(D503-G$5))</f>
        <v>2.9999999999999805</v>
      </c>
    </row>
    <row r="504" spans="2:13" ht="13.5" customHeight="1" x14ac:dyDescent="0.55000000000000004">
      <c r="B504" s="94">
        <v>44539</v>
      </c>
      <c r="C504" s="99">
        <v>2.38</v>
      </c>
      <c r="D504" s="99">
        <f t="shared" si="71"/>
        <v>2.9999999999999805</v>
      </c>
      <c r="E504" s="99">
        <f t="shared" si="72"/>
        <v>0.26104908637479202</v>
      </c>
      <c r="F504" s="99">
        <f t="shared" si="73"/>
        <v>1.0117499999999926</v>
      </c>
      <c r="G504" s="99">
        <f t="shared" si="74"/>
        <v>0.45747647140962883</v>
      </c>
      <c r="H504" s="99" t="str">
        <f t="shared" si="75"/>
        <v/>
      </c>
      <c r="I504" s="99" t="str">
        <f t="shared" si="76"/>
        <v/>
      </c>
      <c r="J504" s="99" t="str">
        <f t="shared" si="77"/>
        <v/>
      </c>
      <c r="K504" s="99" t="str">
        <f t="shared" si="78"/>
        <v/>
      </c>
      <c r="L504" s="99" t="str">
        <f t="shared" si="79"/>
        <v/>
      </c>
      <c r="M504" s="106">
        <f>IF(D504="","",ABS(D504-G$5))</f>
        <v>2.9999999999999805</v>
      </c>
    </row>
    <row r="505" spans="2:13" ht="13.5" customHeight="1" x14ac:dyDescent="0.55000000000000004">
      <c r="B505" s="94">
        <v>44540</v>
      </c>
      <c r="C505" s="99">
        <v>2.37</v>
      </c>
      <c r="D505" s="99">
        <f t="shared" si="71"/>
        <v>-0.99999999999997868</v>
      </c>
      <c r="E505" s="99">
        <f t="shared" si="72"/>
        <v>0.11579972233777029</v>
      </c>
      <c r="F505" s="99">
        <f t="shared" si="73"/>
        <v>0.3372499999999925</v>
      </c>
      <c r="G505" s="99">
        <f t="shared" si="74"/>
        <v>0.2134231352325823</v>
      </c>
      <c r="H505" s="99" t="str">
        <f t="shared" si="75"/>
        <v/>
      </c>
      <c r="I505" s="99" t="str">
        <f t="shared" si="76"/>
        <v/>
      </c>
      <c r="J505" s="99" t="str">
        <f t="shared" si="77"/>
        <v/>
      </c>
      <c r="K505" s="99" t="str">
        <f t="shared" si="78"/>
        <v/>
      </c>
      <c r="L505" s="99" t="str">
        <f t="shared" si="79"/>
        <v/>
      </c>
      <c r="M505" s="106">
        <f>IF(D505="","",ABS(D505-G$5))</f>
        <v>0.99999999999997868</v>
      </c>
    </row>
    <row r="506" spans="2:13" ht="13.5" customHeight="1" x14ac:dyDescent="0.55000000000000004">
      <c r="B506" s="94">
        <v>44543</v>
      </c>
      <c r="C506" s="99">
        <v>2.38</v>
      </c>
      <c r="D506" s="99">
        <f t="shared" si="71"/>
        <v>0.99999999999997868</v>
      </c>
      <c r="E506" s="99">
        <f t="shared" si="72"/>
        <v>7.2624682018508774E-2</v>
      </c>
      <c r="F506" s="99">
        <f t="shared" si="73"/>
        <v>0.3372499999999925</v>
      </c>
      <c r="G506" s="99">
        <f t="shared" si="74"/>
        <v>0.14095001716363864</v>
      </c>
      <c r="H506" s="99" t="str">
        <f t="shared" si="75"/>
        <v/>
      </c>
      <c r="I506" s="99" t="str">
        <f t="shared" si="76"/>
        <v/>
      </c>
      <c r="J506" s="99" t="str">
        <f t="shared" si="77"/>
        <v/>
      </c>
      <c r="K506" s="99" t="str">
        <f t="shared" si="78"/>
        <v/>
      </c>
      <c r="L506" s="99" t="str">
        <f t="shared" si="79"/>
        <v/>
      </c>
      <c r="M506" s="106">
        <f>IF(D506="","",ABS(D506-G$5))</f>
        <v>0.99999999999997868</v>
      </c>
    </row>
    <row r="507" spans="2:13" ht="13.5" customHeight="1" x14ac:dyDescent="0.55000000000000004">
      <c r="B507" s="94">
        <v>44544</v>
      </c>
      <c r="C507" s="99">
        <v>2.41</v>
      </c>
      <c r="D507" s="99">
        <f t="shared" si="71"/>
        <v>3.0000000000000249</v>
      </c>
      <c r="E507" s="99">
        <f t="shared" si="72"/>
        <v>0.26104908637479624</v>
      </c>
      <c r="F507" s="99">
        <f t="shared" si="73"/>
        <v>1.0117500000000075</v>
      </c>
      <c r="G507" s="99">
        <f t="shared" si="74"/>
        <v>0.5265931991546049</v>
      </c>
      <c r="H507" s="99" t="str">
        <f t="shared" si="75"/>
        <v/>
      </c>
      <c r="I507" s="99" t="str">
        <f t="shared" si="76"/>
        <v/>
      </c>
      <c r="J507" s="99" t="str">
        <f t="shared" si="77"/>
        <v/>
      </c>
      <c r="K507" s="99" t="str">
        <f t="shared" si="78"/>
        <v/>
      </c>
      <c r="L507" s="99" t="str">
        <f t="shared" si="79"/>
        <v/>
      </c>
      <c r="M507" s="106">
        <f>IF(D507="","",ABS(D507-G$5))</f>
        <v>3.0000000000000249</v>
      </c>
    </row>
    <row r="508" spans="2:13" ht="13.5" customHeight="1" x14ac:dyDescent="0.55000000000000004">
      <c r="B508" s="94">
        <v>44545</v>
      </c>
      <c r="C508" s="99">
        <v>2.35</v>
      </c>
      <c r="D508" s="99">
        <f t="shared" si="71"/>
        <v>-6.0000000000000053</v>
      </c>
      <c r="E508" s="99">
        <f t="shared" si="72"/>
        <v>0.58686073322848054</v>
      </c>
      <c r="F508" s="99">
        <f t="shared" si="73"/>
        <v>2.0234999999999999</v>
      </c>
      <c r="G508" s="99">
        <f t="shared" si="74"/>
        <v>1.160756888131218</v>
      </c>
      <c r="H508" s="99" t="str">
        <f t="shared" si="75"/>
        <v/>
      </c>
      <c r="I508" s="99" t="str">
        <f t="shared" si="76"/>
        <v/>
      </c>
      <c r="J508" s="99" t="str">
        <f t="shared" si="77"/>
        <v/>
      </c>
      <c r="K508" s="99" t="str">
        <f t="shared" si="78"/>
        <v/>
      </c>
      <c r="L508" s="99" t="str">
        <f t="shared" si="79"/>
        <v/>
      </c>
      <c r="M508" s="106">
        <f>IF(D508="","",ABS(D508-G$5))</f>
        <v>6.0000000000000053</v>
      </c>
    </row>
    <row r="509" spans="2:13" ht="13.5" customHeight="1" x14ac:dyDescent="0.55000000000000004">
      <c r="B509" s="94">
        <v>44546</v>
      </c>
      <c r="C509" s="99">
        <v>2.33</v>
      </c>
      <c r="D509" s="99">
        <f t="shared" si="71"/>
        <v>-2.0000000000000018</v>
      </c>
      <c r="E509" s="99">
        <f t="shared" si="72"/>
        <v>0.21001192451591399</v>
      </c>
      <c r="F509" s="99">
        <f t="shared" si="73"/>
        <v>0.67449999999999999</v>
      </c>
      <c r="G509" s="99">
        <f t="shared" si="74"/>
        <v>0.43371582243263895</v>
      </c>
      <c r="H509" s="99" t="str">
        <f t="shared" si="75"/>
        <v/>
      </c>
      <c r="I509" s="99" t="str">
        <f t="shared" si="76"/>
        <v/>
      </c>
      <c r="J509" s="99" t="str">
        <f t="shared" si="77"/>
        <v/>
      </c>
      <c r="K509" s="99" t="str">
        <f t="shared" si="78"/>
        <v/>
      </c>
      <c r="L509" s="99" t="str">
        <f t="shared" si="79"/>
        <v/>
      </c>
      <c r="M509" s="106">
        <f>IF(D509="","",ABS(D509-G$5))</f>
        <v>2.0000000000000018</v>
      </c>
    </row>
    <row r="510" spans="2:13" ht="13.5" customHeight="1" x14ac:dyDescent="0.55000000000000004">
      <c r="B510" s="94">
        <v>44547</v>
      </c>
      <c r="C510" s="99">
        <v>2.38</v>
      </c>
      <c r="D510" s="99">
        <f t="shared" si="71"/>
        <v>4.9999999999999822</v>
      </c>
      <c r="E510" s="99">
        <f t="shared" si="72"/>
        <v>0.44947349073107523</v>
      </c>
      <c r="F510" s="99">
        <f t="shared" si="73"/>
        <v>1.6862499999999925</v>
      </c>
      <c r="G510" s="99">
        <f t="shared" si="74"/>
        <v>0.93473952308398689</v>
      </c>
      <c r="H510" s="99" t="str">
        <f t="shared" si="75"/>
        <v/>
      </c>
      <c r="I510" s="99" t="str">
        <f t="shared" si="76"/>
        <v/>
      </c>
      <c r="J510" s="99" t="str">
        <f t="shared" si="77"/>
        <v/>
      </c>
      <c r="K510" s="99" t="str">
        <f t="shared" si="78"/>
        <v/>
      </c>
      <c r="L510" s="99" t="str">
        <f t="shared" si="79"/>
        <v/>
      </c>
      <c r="M510" s="106">
        <f>IF(D510="","",ABS(D510-G$5))</f>
        <v>4.9999999999999822</v>
      </c>
    </row>
    <row r="511" spans="2:13" ht="13.5" customHeight="1" x14ac:dyDescent="0.55000000000000004">
      <c r="B511" s="94">
        <v>44550</v>
      </c>
      <c r="C511" s="99">
        <v>2.42</v>
      </c>
      <c r="D511" s="99">
        <f t="shared" si="71"/>
        <v>4.0000000000000036</v>
      </c>
      <c r="E511" s="99">
        <f t="shared" si="72"/>
        <v>0.35526128855293576</v>
      </c>
      <c r="F511" s="99">
        <f t="shared" si="73"/>
        <v>1.349</v>
      </c>
      <c r="G511" s="99">
        <f t="shared" si="74"/>
        <v>0.75618356766140638</v>
      </c>
      <c r="H511" s="99" t="str">
        <f t="shared" si="75"/>
        <v/>
      </c>
      <c r="I511" s="99" t="str">
        <f t="shared" si="76"/>
        <v/>
      </c>
      <c r="J511" s="99" t="str">
        <f t="shared" si="77"/>
        <v/>
      </c>
      <c r="K511" s="99" t="str">
        <f t="shared" si="78"/>
        <v/>
      </c>
      <c r="L511" s="99" t="str">
        <f t="shared" si="79"/>
        <v/>
      </c>
      <c r="M511" s="106">
        <f>IF(D511="","",ABS(D511-G$5))</f>
        <v>4.0000000000000036</v>
      </c>
    </row>
    <row r="512" spans="2:13" ht="13.5" customHeight="1" x14ac:dyDescent="0.55000000000000004">
      <c r="B512" s="94">
        <v>44551</v>
      </c>
      <c r="C512" s="99">
        <v>2.38</v>
      </c>
      <c r="D512" s="99">
        <f t="shared" si="71"/>
        <v>-4.0000000000000036</v>
      </c>
      <c r="E512" s="99">
        <f t="shared" si="72"/>
        <v>0.39843632887219732</v>
      </c>
      <c r="F512" s="99">
        <f t="shared" si="73"/>
        <v>1.349</v>
      </c>
      <c r="G512" s="99">
        <f t="shared" si="74"/>
        <v>0.86024473810839486</v>
      </c>
      <c r="H512" s="99" t="str">
        <f t="shared" si="75"/>
        <v/>
      </c>
      <c r="I512" s="99" t="str">
        <f t="shared" si="76"/>
        <v/>
      </c>
      <c r="J512" s="99" t="str">
        <f t="shared" si="77"/>
        <v/>
      </c>
      <c r="K512" s="99" t="str">
        <f t="shared" si="78"/>
        <v/>
      </c>
      <c r="L512" s="99" t="str">
        <f t="shared" si="79"/>
        <v/>
      </c>
      <c r="M512" s="106">
        <f>IF(D512="","",ABS(D512-G$5))</f>
        <v>4.0000000000000036</v>
      </c>
    </row>
    <row r="513" spans="2:13" ht="13.5" customHeight="1" x14ac:dyDescent="0.55000000000000004">
      <c r="B513" s="94">
        <v>44552</v>
      </c>
      <c r="C513" s="99">
        <v>2.35</v>
      </c>
      <c r="D513" s="99">
        <f t="shared" si="71"/>
        <v>-2.9999999999999805</v>
      </c>
      <c r="E513" s="99">
        <f t="shared" si="72"/>
        <v>0.30422412669405352</v>
      </c>
      <c r="F513" s="99">
        <f t="shared" si="73"/>
        <v>1.0117499999999926</v>
      </c>
      <c r="G513" s="99">
        <f t="shared" si="74"/>
        <v>0.67634440693898523</v>
      </c>
      <c r="H513" s="99" t="str">
        <f t="shared" si="75"/>
        <v/>
      </c>
      <c r="I513" s="99" t="str">
        <f t="shared" si="76"/>
        <v/>
      </c>
      <c r="J513" s="99" t="str">
        <f t="shared" si="77"/>
        <v/>
      </c>
      <c r="K513" s="99" t="str">
        <f t="shared" si="78"/>
        <v/>
      </c>
      <c r="L513" s="99" t="str">
        <f t="shared" si="79"/>
        <v/>
      </c>
      <c r="M513" s="106">
        <f>IF(D513="","",ABS(D513-G$5))</f>
        <v>2.9999999999999805</v>
      </c>
    </row>
    <row r="514" spans="2:13" ht="13.5" customHeight="1" x14ac:dyDescent="0.55000000000000004">
      <c r="B514" s="94">
        <v>44553</v>
      </c>
      <c r="C514" s="99">
        <v>2.33</v>
      </c>
      <c r="D514" s="99">
        <f t="shared" si="71"/>
        <v>-2.0000000000000018</v>
      </c>
      <c r="E514" s="99">
        <f t="shared" si="72"/>
        <v>0.21001192451591399</v>
      </c>
      <c r="F514" s="99">
        <f t="shared" si="73"/>
        <v>0.67449999999999999</v>
      </c>
      <c r="G514" s="99">
        <f t="shared" si="74"/>
        <v>0.4862953202027297</v>
      </c>
      <c r="H514" s="99" t="str">
        <f t="shared" si="75"/>
        <v/>
      </c>
      <c r="I514" s="99" t="str">
        <f t="shared" si="76"/>
        <v/>
      </c>
      <c r="J514" s="99" t="str">
        <f t="shared" si="77"/>
        <v/>
      </c>
      <c r="K514" s="99" t="str">
        <f t="shared" si="78"/>
        <v/>
      </c>
      <c r="L514" s="99" t="str">
        <f t="shared" si="79"/>
        <v/>
      </c>
      <c r="M514" s="106">
        <f>IF(D514="","",ABS(D514-G$5))</f>
        <v>2.0000000000000018</v>
      </c>
    </row>
    <row r="515" spans="2:13" ht="13.5" customHeight="1" x14ac:dyDescent="0.55000000000000004">
      <c r="B515" s="94">
        <v>44554</v>
      </c>
      <c r="C515" s="99"/>
      <c r="D515" s="99" t="str">
        <f t="shared" si="71"/>
        <v/>
      </c>
      <c r="E515" s="99" t="str">
        <f t="shared" si="72"/>
        <v/>
      </c>
      <c r="F515" s="99" t="str">
        <f t="shared" si="73"/>
        <v/>
      </c>
      <c r="G515" s="99" t="str">
        <f t="shared" si="74"/>
        <v/>
      </c>
      <c r="H515" s="99" t="str">
        <f t="shared" si="75"/>
        <v/>
      </c>
      <c r="I515" s="99" t="str">
        <f t="shared" si="76"/>
        <v/>
      </c>
      <c r="J515" s="99" t="str">
        <f t="shared" si="77"/>
        <v/>
      </c>
      <c r="K515" s="99" t="str">
        <f t="shared" si="78"/>
        <v>MISSING</v>
      </c>
      <c r="L515" s="99" t="str">
        <f t="shared" si="79"/>
        <v/>
      </c>
      <c r="M515" s="106" t="str">
        <f>IF(D515="","",ABS(D515-G$5))</f>
        <v/>
      </c>
    </row>
    <row r="516" spans="2:13" ht="13.5" customHeight="1" x14ac:dyDescent="0.55000000000000004">
      <c r="B516" s="94">
        <v>44557</v>
      </c>
      <c r="C516" s="99">
        <v>2.3199999999999998</v>
      </c>
      <c r="D516" s="99" t="str">
        <f t="shared" si="71"/>
        <v/>
      </c>
      <c r="E516" s="99" t="str">
        <f t="shared" si="72"/>
        <v/>
      </c>
      <c r="F516" s="99" t="str">
        <f t="shared" si="73"/>
        <v/>
      </c>
      <c r="G516" s="99" t="str">
        <f t="shared" si="74"/>
        <v/>
      </c>
      <c r="H516" s="99" t="str">
        <f t="shared" si="75"/>
        <v/>
      </c>
      <c r="I516" s="99" t="str">
        <f t="shared" si="76"/>
        <v/>
      </c>
      <c r="J516" s="99" t="str">
        <f t="shared" si="77"/>
        <v/>
      </c>
      <c r="K516" s="99" t="str">
        <f t="shared" si="78"/>
        <v/>
      </c>
      <c r="L516" s="99" t="str">
        <f t="shared" si="79"/>
        <v/>
      </c>
      <c r="M516" s="106" t="str">
        <f>IF(D516="","",ABS(D516-G$5))</f>
        <v/>
      </c>
    </row>
    <row r="517" spans="2:13" ht="13.5" customHeight="1" x14ac:dyDescent="0.55000000000000004">
      <c r="B517" s="94">
        <v>44558</v>
      </c>
      <c r="C517" s="99">
        <v>2.31</v>
      </c>
      <c r="D517" s="99">
        <f t="shared" si="71"/>
        <v>-0.99999999999997868</v>
      </c>
      <c r="E517" s="99">
        <f t="shared" si="72"/>
        <v>0.11579972233777029</v>
      </c>
      <c r="F517" s="99">
        <f t="shared" si="73"/>
        <v>0.3372499999999925</v>
      </c>
      <c r="G517" s="99">
        <f t="shared" si="74"/>
        <v>0.1219727919676494</v>
      </c>
      <c r="H517" s="99" t="str">
        <f t="shared" si="75"/>
        <v/>
      </c>
      <c r="I517" s="99" t="str">
        <f t="shared" si="76"/>
        <v/>
      </c>
      <c r="J517" s="99" t="str">
        <f t="shared" si="77"/>
        <v/>
      </c>
      <c r="K517" s="99" t="str">
        <f t="shared" si="78"/>
        <v/>
      </c>
      <c r="L517" s="99" t="str">
        <f t="shared" si="79"/>
        <v/>
      </c>
      <c r="M517" s="106">
        <f>IF(D517="","",ABS(D517-G$5))</f>
        <v>0.99999999999997868</v>
      </c>
    </row>
    <row r="518" spans="2:13" ht="13.5" customHeight="1" x14ac:dyDescent="0.55000000000000004">
      <c r="B518" s="94">
        <v>44559</v>
      </c>
      <c r="C518" s="99">
        <v>2.2999999999999998</v>
      </c>
      <c r="D518" s="99">
        <f t="shared" si="71"/>
        <v>-1.0000000000000231</v>
      </c>
      <c r="E518" s="99">
        <f t="shared" si="72"/>
        <v>0.11579972233777447</v>
      </c>
      <c r="F518" s="99">
        <f t="shared" si="73"/>
        <v>0.33725000000000749</v>
      </c>
      <c r="G518" s="99">
        <f t="shared" si="74"/>
        <v>0.12846447709857245</v>
      </c>
      <c r="H518" s="99" t="str">
        <f t="shared" si="75"/>
        <v/>
      </c>
      <c r="I518" s="99" t="str">
        <f t="shared" si="76"/>
        <v/>
      </c>
      <c r="J518" s="99" t="str">
        <f t="shared" si="77"/>
        <v/>
      </c>
      <c r="K518" s="99" t="str">
        <f t="shared" si="78"/>
        <v/>
      </c>
      <c r="L518" s="99" t="str">
        <f t="shared" si="79"/>
        <v/>
      </c>
      <c r="M518" s="106">
        <f>IF(D518="","",ABS(D518-G$5))</f>
        <v>1.0000000000000231</v>
      </c>
    </row>
    <row r="519" spans="2:13" ht="13.5" customHeight="1" x14ac:dyDescent="0.55000000000000004">
      <c r="B519" s="94">
        <v>44560</v>
      </c>
      <c r="C519" s="99">
        <v>2.29</v>
      </c>
      <c r="D519" s="99">
        <f t="shared" si="71"/>
        <v>-0.99999999999997868</v>
      </c>
      <c r="E519" s="99">
        <f t="shared" si="72"/>
        <v>0.11579972233777029</v>
      </c>
      <c r="F519" s="99">
        <f t="shared" si="73"/>
        <v>0.3372499999999925</v>
      </c>
      <c r="G519" s="99">
        <f t="shared" si="74"/>
        <v>0.13528946668573683</v>
      </c>
      <c r="H519" s="99" t="str">
        <f t="shared" si="75"/>
        <v/>
      </c>
      <c r="I519" s="99" t="str">
        <f t="shared" si="76"/>
        <v/>
      </c>
      <c r="J519" s="99" t="str">
        <f t="shared" si="77"/>
        <v/>
      </c>
      <c r="K519" s="99" t="str">
        <f t="shared" si="78"/>
        <v/>
      </c>
      <c r="L519" s="99" t="str">
        <f t="shared" si="79"/>
        <v/>
      </c>
      <c r="M519" s="106">
        <f>IF(D519="","",ABS(D519-G$5))</f>
        <v>0.99999999999997868</v>
      </c>
    </row>
    <row r="520" spans="2:13" ht="13.5" customHeight="1" x14ac:dyDescent="0.55000000000000004">
      <c r="B520" s="94">
        <v>44561</v>
      </c>
      <c r="C520" s="99">
        <v>2.2799999999999998</v>
      </c>
      <c r="D520" s="99">
        <f t="shared" si="71"/>
        <v>-1.0000000000000231</v>
      </c>
      <c r="E520" s="99">
        <f t="shared" si="72"/>
        <v>0.11579972233777447</v>
      </c>
      <c r="F520" s="99">
        <f t="shared" si="73"/>
        <v>0.33725000000000749</v>
      </c>
      <c r="G520" s="99">
        <f t="shared" si="74"/>
        <v>0.1424628301100202</v>
      </c>
      <c r="H520" s="99" t="str">
        <f t="shared" si="75"/>
        <v/>
      </c>
      <c r="I520" s="99" t="str">
        <f t="shared" si="76"/>
        <v/>
      </c>
      <c r="J520" s="99" t="str">
        <f t="shared" si="77"/>
        <v/>
      </c>
      <c r="K520" s="99" t="str">
        <f t="shared" si="78"/>
        <v/>
      </c>
      <c r="L520" s="99" t="str">
        <f t="shared" si="79"/>
        <v/>
      </c>
      <c r="M520" s="106">
        <f>IF(D520="","",ABS(D520-G$5))</f>
        <v>1.0000000000000231</v>
      </c>
    </row>
    <row r="521" spans="2:13" ht="13.5" customHeight="1" x14ac:dyDescent="0.55000000000000004">
      <c r="B521" s="94"/>
      <c r="C521" s="99"/>
      <c r="D521" s="99" t="str">
        <f t="shared" si="71"/>
        <v/>
      </c>
      <c r="E521" s="99" t="str">
        <f t="shared" si="72"/>
        <v/>
      </c>
      <c r="F521" s="99" t="str">
        <f t="shared" si="73"/>
        <v/>
      </c>
      <c r="G521" s="99" t="str">
        <f t="shared" si="74"/>
        <v/>
      </c>
      <c r="H521" s="99" t="str">
        <f t="shared" si="75"/>
        <v/>
      </c>
      <c r="I521" s="99" t="str">
        <f t="shared" si="76"/>
        <v/>
      </c>
      <c r="J521" s="99" t="str">
        <f t="shared" si="77"/>
        <v/>
      </c>
      <c r="K521" s="99" t="str">
        <f t="shared" si="78"/>
        <v>MISSING</v>
      </c>
      <c r="L521" s="99" t="str">
        <f t="shared" si="79"/>
        <v/>
      </c>
      <c r="M521" s="106" t="str">
        <f>IF(D521="","",ABS(D521-G$5))</f>
        <v/>
      </c>
    </row>
    <row r="522" spans="2:13" ht="13.5" customHeight="1" x14ac:dyDescent="0.55000000000000004">
      <c r="B522" s="94" t="str">
        <f>"YEAR 2025   |   Observations: "&amp;COUNTA(C524:C786)&amp;"   |   Missing: "&amp;COUNTIF(K524:K786,"MISSING")&amp;"   |   Stale: "&amp;COUNTIF(L524:L786,"STALE")&amp;"   |   Z&gt;3 Outliers: "&amp;COUNTIF(H524:H786,"OUTLIER")&amp;"   |   Robust Z&gt;3: "&amp;COUNTIF(I524:I786,"OUTLIER")</f>
        <v>YEAR 2025   |   Observations: 243   |   Missing: 17   |   Stale: 48   |   Z&gt;3 Outliers: 2   |   Robust Z&gt;3: 15</v>
      </c>
      <c r="C522" s="99"/>
      <c r="D522" s="99"/>
      <c r="E522" s="99"/>
      <c r="F522" s="99"/>
      <c r="G522" s="99"/>
      <c r="H522" s="99"/>
      <c r="I522" s="99"/>
      <c r="J522" s="99"/>
      <c r="K522" s="99"/>
      <c r="L522" s="99"/>
      <c r="M522" s="106"/>
    </row>
    <row r="523" spans="2:13" ht="13.5" customHeight="1" x14ac:dyDescent="0.55000000000000004">
      <c r="B523" s="94" t="s">
        <v>51</v>
      </c>
      <c r="C523" s="99" t="s">
        <v>52</v>
      </c>
      <c r="D523" s="99" t="s">
        <v>53</v>
      </c>
      <c r="E523" s="99" t="s">
        <v>54</v>
      </c>
      <c r="F523" s="99" t="s">
        <v>55</v>
      </c>
      <c r="G523" s="99" t="s">
        <v>56</v>
      </c>
      <c r="H523" s="99" t="s">
        <v>57</v>
      </c>
      <c r="I523" s="99" t="s">
        <v>105</v>
      </c>
      <c r="J523" s="99" t="s">
        <v>106</v>
      </c>
      <c r="K523" s="99" t="s">
        <v>58</v>
      </c>
      <c r="L523" s="99" t="s">
        <v>59</v>
      </c>
      <c r="M523" s="106"/>
    </row>
    <row r="524" spans="2:13" ht="13.5" customHeight="1" x14ac:dyDescent="0.55000000000000004">
      <c r="B524" s="94">
        <v>45658</v>
      </c>
      <c r="C524" s="99"/>
      <c r="D524" s="99"/>
      <c r="E524" s="99" t="str">
        <f t="shared" ref="E524:E536" si="80">IF(D524="","",ABS(D524-$E$5)/$F$5)</f>
        <v/>
      </c>
      <c r="F524" s="99" t="str">
        <f t="shared" ref="F524:F547" si="81">IF(D524="","",ABS(D524-$G$5)/$H$5)</f>
        <v/>
      </c>
      <c r="G524" s="99" t="str">
        <f>IF(D524="","",ABS(D524-$E$5)/$F$5)</f>
        <v/>
      </c>
      <c r="H524" s="99" t="str">
        <f t="shared" ref="H524:H536" si="82">IF(E524="","",IF(E524&gt;$I$5,"OUTLIER",""))</f>
        <v/>
      </c>
      <c r="I524" s="99" t="str">
        <f t="shared" ref="I524:I536" si="83">IF(F524="","",IF(F524&gt;$I$5,"OUTLIER",""))</f>
        <v/>
      </c>
      <c r="J524" s="99" t="str">
        <f t="shared" ref="J524:J536" si="84">IF(G524="","",IF(G524&gt;$I$5,"OUTLIER",""))</f>
        <v/>
      </c>
      <c r="K524" s="99" t="str">
        <f t="shared" ref="K524:K536" si="85">IF(C524="","MISSING","")</f>
        <v>MISSING</v>
      </c>
      <c r="L524" s="99"/>
      <c r="M524" s="106" t="str">
        <f>IF(D524="","",ABS(D524-G$5))</f>
        <v/>
      </c>
    </row>
    <row r="525" spans="2:13" ht="13.5" customHeight="1" x14ac:dyDescent="0.55000000000000004">
      <c r="B525" s="94">
        <v>45659</v>
      </c>
      <c r="C525" s="99">
        <v>2.69</v>
      </c>
      <c r="D525" s="99" t="str">
        <f t="shared" ref="D525:D535" si="86">IF(OR(C525="",C524=""),"",(C525-C524)*100)</f>
        <v/>
      </c>
      <c r="E525" s="99" t="str">
        <f t="shared" si="80"/>
        <v/>
      </c>
      <c r="F525" s="99" t="str">
        <f t="shared" si="81"/>
        <v/>
      </c>
      <c r="G525" s="99" t="str">
        <f t="shared" ref="G525:G536" si="87">IF(D525="","",ABS(D525-$E$5)/SQRT(0.9*(IF(G524="",($F$5)^2,(ABS(D524-$E$5)/MAX(G524,0.0000000001))^2))+0.1*(D525-$E$5)^2))</f>
        <v/>
      </c>
      <c r="H525" s="99" t="str">
        <f t="shared" si="82"/>
        <v/>
      </c>
      <c r="I525" s="99" t="str">
        <f t="shared" si="83"/>
        <v/>
      </c>
      <c r="J525" s="99" t="str">
        <f t="shared" si="84"/>
        <v/>
      </c>
      <c r="K525" s="99" t="str">
        <f t="shared" si="85"/>
        <v/>
      </c>
      <c r="L525" s="99" t="str">
        <f t="shared" ref="L525:L536" si="88">IF(AND(C525&lt;&gt;"",C524&lt;&gt;"",C525=C524),"STALE","")</f>
        <v/>
      </c>
      <c r="M525" s="106" t="str">
        <f>IF(D525="","",ABS(D525-G$5))</f>
        <v/>
      </c>
    </row>
    <row r="526" spans="2:13" ht="13.5" customHeight="1" x14ac:dyDescent="0.55000000000000004">
      <c r="B526" s="94">
        <v>45660</v>
      </c>
      <c r="C526" s="99">
        <v>2.71</v>
      </c>
      <c r="D526" s="99">
        <f t="shared" si="86"/>
        <v>2.0000000000000018</v>
      </c>
      <c r="E526" s="99">
        <f t="shared" si="80"/>
        <v>0.16683688419665252</v>
      </c>
      <c r="F526" s="99">
        <f t="shared" si="81"/>
        <v>0.67449999999999999</v>
      </c>
      <c r="G526" s="99">
        <f t="shared" si="87"/>
        <v>0.17559020057189204</v>
      </c>
      <c r="H526" s="99" t="str">
        <f t="shared" si="82"/>
        <v/>
      </c>
      <c r="I526" s="99" t="str">
        <f t="shared" si="83"/>
        <v/>
      </c>
      <c r="J526" s="99" t="str">
        <f t="shared" si="84"/>
        <v/>
      </c>
      <c r="K526" s="99" t="str">
        <f t="shared" si="85"/>
        <v/>
      </c>
      <c r="L526" s="99" t="str">
        <f t="shared" si="88"/>
        <v/>
      </c>
      <c r="M526" s="106">
        <f>IF(D526="","",ABS(D526-G$5))</f>
        <v>2.0000000000000018</v>
      </c>
    </row>
    <row r="527" spans="2:13" ht="13.5" customHeight="1" x14ac:dyDescent="0.55000000000000004">
      <c r="B527" s="94">
        <v>45663</v>
      </c>
      <c r="C527" s="99">
        <v>2.69</v>
      </c>
      <c r="D527" s="99">
        <f t="shared" si="86"/>
        <v>-2.0000000000000018</v>
      </c>
      <c r="E527" s="99">
        <f t="shared" si="80"/>
        <v>0.21001192451591399</v>
      </c>
      <c r="F527" s="99">
        <f t="shared" si="81"/>
        <v>0.67449999999999999</v>
      </c>
      <c r="G527" s="99">
        <f t="shared" si="87"/>
        <v>0.23235678425264647</v>
      </c>
      <c r="H527" s="99" t="str">
        <f t="shared" si="82"/>
        <v/>
      </c>
      <c r="I527" s="99" t="str">
        <f t="shared" si="83"/>
        <v/>
      </c>
      <c r="J527" s="99" t="str">
        <f t="shared" si="84"/>
        <v/>
      </c>
      <c r="K527" s="99" t="str">
        <f t="shared" si="85"/>
        <v/>
      </c>
      <c r="L527" s="99" t="str">
        <f t="shared" si="88"/>
        <v/>
      </c>
      <c r="M527" s="106">
        <f>IF(D527="","",ABS(D527-G$5))</f>
        <v>2.0000000000000018</v>
      </c>
    </row>
    <row r="528" spans="2:13" ht="13.5" customHeight="1" x14ac:dyDescent="0.55000000000000004">
      <c r="B528" s="94">
        <v>45664</v>
      </c>
      <c r="C528" s="99">
        <v>2.72</v>
      </c>
      <c r="D528" s="99">
        <f t="shared" si="86"/>
        <v>3.0000000000000249</v>
      </c>
      <c r="E528" s="99">
        <f t="shared" si="80"/>
        <v>0.26104908637479624</v>
      </c>
      <c r="F528" s="99">
        <f t="shared" si="81"/>
        <v>1.0117500000000075</v>
      </c>
      <c r="G528" s="99">
        <f t="shared" si="87"/>
        <v>0.3030462374440977</v>
      </c>
      <c r="H528" s="99" t="str">
        <f t="shared" si="82"/>
        <v/>
      </c>
      <c r="I528" s="99" t="str">
        <f t="shared" si="83"/>
        <v/>
      </c>
      <c r="J528" s="99" t="str">
        <f t="shared" si="84"/>
        <v/>
      </c>
      <c r="K528" s="99" t="str">
        <f t="shared" si="85"/>
        <v/>
      </c>
      <c r="L528" s="99" t="str">
        <f t="shared" si="88"/>
        <v/>
      </c>
      <c r="M528" s="106">
        <f>IF(D528="","",ABS(D528-G$5))</f>
        <v>3.0000000000000249</v>
      </c>
    </row>
    <row r="529" spans="2:13" ht="13.5" customHeight="1" x14ac:dyDescent="0.55000000000000004">
      <c r="B529" s="94">
        <v>45665</v>
      </c>
      <c r="C529" s="99">
        <v>2.77</v>
      </c>
      <c r="D529" s="99">
        <f t="shared" si="86"/>
        <v>4.9999999999999822</v>
      </c>
      <c r="E529" s="99">
        <f t="shared" si="80"/>
        <v>0.44947349073107523</v>
      </c>
      <c r="F529" s="99">
        <f t="shared" si="81"/>
        <v>1.6862499999999925</v>
      </c>
      <c r="G529" s="99">
        <f t="shared" si="87"/>
        <v>0.54187365120588338</v>
      </c>
      <c r="H529" s="99" t="str">
        <f t="shared" si="82"/>
        <v/>
      </c>
      <c r="I529" s="99" t="str">
        <f t="shared" si="83"/>
        <v/>
      </c>
      <c r="J529" s="99" t="str">
        <f t="shared" si="84"/>
        <v/>
      </c>
      <c r="K529" s="99" t="str">
        <f t="shared" si="85"/>
        <v/>
      </c>
      <c r="L529" s="99" t="str">
        <f t="shared" si="88"/>
        <v/>
      </c>
      <c r="M529" s="106">
        <f>IF(D529="","",ABS(D529-G$5))</f>
        <v>4.9999999999999822</v>
      </c>
    </row>
    <row r="530" spans="2:13" ht="13.5" customHeight="1" x14ac:dyDescent="0.55000000000000004">
      <c r="B530" s="94">
        <v>45666</v>
      </c>
      <c r="C530" s="99">
        <v>2.77</v>
      </c>
      <c r="D530" s="99">
        <f t="shared" si="86"/>
        <v>0</v>
      </c>
      <c r="E530" s="99">
        <f t="shared" si="80"/>
        <v>2.1587520159630759E-2</v>
      </c>
      <c r="F530" s="99">
        <f t="shared" si="81"/>
        <v>0</v>
      </c>
      <c r="G530" s="99">
        <f t="shared" si="87"/>
        <v>2.743210352350697E-2</v>
      </c>
      <c r="H530" s="99" t="str">
        <f t="shared" si="82"/>
        <v/>
      </c>
      <c r="I530" s="99" t="str">
        <f t="shared" si="83"/>
        <v/>
      </c>
      <c r="J530" s="99" t="str">
        <f t="shared" si="84"/>
        <v/>
      </c>
      <c r="K530" s="99" t="str">
        <f t="shared" si="85"/>
        <v/>
      </c>
      <c r="L530" s="99" t="str">
        <f t="shared" si="88"/>
        <v>STALE</v>
      </c>
      <c r="M530" s="106">
        <f>IF(D530="","",ABS(D530-G$5))</f>
        <v>0</v>
      </c>
    </row>
    <row r="531" spans="2:13" ht="13.5" customHeight="1" x14ac:dyDescent="0.55000000000000004">
      <c r="B531" s="94">
        <v>45667</v>
      </c>
      <c r="C531" s="99">
        <v>2.84</v>
      </c>
      <c r="D531" s="99">
        <f t="shared" si="86"/>
        <v>6.999999999999984</v>
      </c>
      <c r="E531" s="99">
        <f t="shared" si="80"/>
        <v>0.6378978950873585</v>
      </c>
      <c r="F531" s="99">
        <f t="shared" si="81"/>
        <v>2.3607499999999924</v>
      </c>
      <c r="G531" s="99">
        <f t="shared" si="87"/>
        <v>0.82486849843653165</v>
      </c>
      <c r="H531" s="99" t="str">
        <f t="shared" si="82"/>
        <v/>
      </c>
      <c r="I531" s="99" t="str">
        <f t="shared" si="83"/>
        <v/>
      </c>
      <c r="J531" s="99" t="str">
        <f t="shared" si="84"/>
        <v/>
      </c>
      <c r="K531" s="99" t="str">
        <f t="shared" si="85"/>
        <v/>
      </c>
      <c r="L531" s="99" t="str">
        <f t="shared" si="88"/>
        <v/>
      </c>
      <c r="M531" s="106">
        <f>IF(D531="","",ABS(D531-G$5))</f>
        <v>6.999999999999984</v>
      </c>
    </row>
    <row r="532" spans="2:13" ht="13.5" customHeight="1" x14ac:dyDescent="0.55000000000000004">
      <c r="B532" s="94">
        <v>45670</v>
      </c>
      <c r="C532" s="99">
        <v>2.84</v>
      </c>
      <c r="D532" s="99">
        <f t="shared" si="86"/>
        <v>0</v>
      </c>
      <c r="E532" s="99">
        <f t="shared" si="80"/>
        <v>2.1587520159630759E-2</v>
      </c>
      <c r="F532" s="99">
        <f t="shared" si="81"/>
        <v>0</v>
      </c>
      <c r="G532" s="99">
        <f t="shared" si="87"/>
        <v>2.9423629972816643E-2</v>
      </c>
      <c r="H532" s="99" t="str">
        <f t="shared" si="82"/>
        <v/>
      </c>
      <c r="I532" s="99" t="str">
        <f t="shared" si="83"/>
        <v/>
      </c>
      <c r="J532" s="99" t="str">
        <f t="shared" si="84"/>
        <v/>
      </c>
      <c r="K532" s="99" t="str">
        <f t="shared" si="85"/>
        <v/>
      </c>
      <c r="L532" s="99" t="str">
        <f t="shared" si="88"/>
        <v>STALE</v>
      </c>
      <c r="M532" s="106">
        <f>IF(D532="","",ABS(D532-G$5))</f>
        <v>0</v>
      </c>
    </row>
    <row r="533" spans="2:13" ht="13.5" customHeight="1" x14ac:dyDescent="0.55000000000000004">
      <c r="B533" s="94">
        <v>45671</v>
      </c>
      <c r="C533" s="99">
        <v>2.82</v>
      </c>
      <c r="D533" s="99">
        <f t="shared" si="86"/>
        <v>-2.0000000000000018</v>
      </c>
      <c r="E533" s="99">
        <f t="shared" si="80"/>
        <v>0.21001192451591399</v>
      </c>
      <c r="F533" s="99">
        <f t="shared" si="81"/>
        <v>0.67449999999999999</v>
      </c>
      <c r="G533" s="99">
        <f t="shared" si="87"/>
        <v>0.30036424238101445</v>
      </c>
      <c r="H533" s="99" t="str">
        <f t="shared" si="82"/>
        <v/>
      </c>
      <c r="I533" s="99" t="str">
        <f t="shared" si="83"/>
        <v/>
      </c>
      <c r="J533" s="99" t="str">
        <f t="shared" si="84"/>
        <v/>
      </c>
      <c r="K533" s="99" t="str">
        <f t="shared" si="85"/>
        <v/>
      </c>
      <c r="L533" s="99" t="str">
        <f t="shared" si="88"/>
        <v/>
      </c>
      <c r="M533" s="106">
        <f>IF(D533="","",ABS(D533-G$5))</f>
        <v>2.0000000000000018</v>
      </c>
    </row>
    <row r="534" spans="2:13" ht="13.5" customHeight="1" x14ac:dyDescent="0.55000000000000004">
      <c r="B534" s="94">
        <v>45672</v>
      </c>
      <c r="C534" s="99">
        <v>2.79</v>
      </c>
      <c r="D534" s="99">
        <f t="shared" si="86"/>
        <v>-2.9999999999999805</v>
      </c>
      <c r="E534" s="99">
        <f t="shared" si="80"/>
        <v>0.30422412669405352</v>
      </c>
      <c r="F534" s="99">
        <f t="shared" si="81"/>
        <v>1.0117499999999926</v>
      </c>
      <c r="G534" s="99">
        <f t="shared" si="87"/>
        <v>0.45389588663719271</v>
      </c>
      <c r="H534" s="99" t="str">
        <f t="shared" si="82"/>
        <v/>
      </c>
      <c r="I534" s="99" t="str">
        <f t="shared" si="83"/>
        <v/>
      </c>
      <c r="J534" s="99" t="str">
        <f t="shared" si="84"/>
        <v/>
      </c>
      <c r="K534" s="99" t="str">
        <f t="shared" si="85"/>
        <v/>
      </c>
      <c r="L534" s="99" t="str">
        <f t="shared" si="88"/>
        <v/>
      </c>
      <c r="M534" s="106">
        <f>IF(D534="","",ABS(D534-G$5))</f>
        <v>2.9999999999999805</v>
      </c>
    </row>
    <row r="535" spans="2:13" ht="13.5" customHeight="1" x14ac:dyDescent="0.55000000000000004">
      <c r="B535" s="94">
        <v>45673</v>
      </c>
      <c r="C535" s="99">
        <v>2.77</v>
      </c>
      <c r="D535" s="99">
        <f t="shared" si="86"/>
        <v>-2.0000000000000018</v>
      </c>
      <c r="E535" s="99">
        <f t="shared" si="80"/>
        <v>0.21001192451591399</v>
      </c>
      <c r="F535" s="99">
        <f t="shared" si="81"/>
        <v>0.67449999999999999</v>
      </c>
      <c r="G535" s="99">
        <f t="shared" si="87"/>
        <v>0.32849543592713604</v>
      </c>
      <c r="H535" s="99" t="str">
        <f t="shared" si="82"/>
        <v/>
      </c>
      <c r="I535" s="99" t="str">
        <f t="shared" si="83"/>
        <v/>
      </c>
      <c r="J535" s="99" t="str">
        <f t="shared" si="84"/>
        <v/>
      </c>
      <c r="K535" s="99" t="str">
        <f t="shared" si="85"/>
        <v/>
      </c>
      <c r="L535" s="99" t="str">
        <f t="shared" si="88"/>
        <v/>
      </c>
      <c r="M535" s="106">
        <f>IF(D535="","",ABS(D535-G$5))</f>
        <v>2.0000000000000018</v>
      </c>
    </row>
    <row r="536" spans="2:13" ht="13.5" customHeight="1" x14ac:dyDescent="0.55000000000000004">
      <c r="B536" s="94">
        <v>45674</v>
      </c>
      <c r="C536" s="99"/>
      <c r="D536" s="99"/>
      <c r="E536" s="99" t="str">
        <f t="shared" si="80"/>
        <v/>
      </c>
      <c r="F536" s="99" t="str">
        <f t="shared" si="81"/>
        <v/>
      </c>
      <c r="G536" s="99" t="str">
        <f t="shared" si="87"/>
        <v/>
      </c>
      <c r="H536" s="99" t="str">
        <f t="shared" si="82"/>
        <v/>
      </c>
      <c r="I536" s="99" t="str">
        <f t="shared" si="83"/>
        <v/>
      </c>
      <c r="J536" s="99" t="str">
        <f t="shared" si="84"/>
        <v/>
      </c>
      <c r="K536" s="99" t="str">
        <f t="shared" si="85"/>
        <v>MISSING</v>
      </c>
      <c r="L536" s="99" t="str">
        <f t="shared" si="88"/>
        <v/>
      </c>
      <c r="M536" s="106" t="str">
        <f>IF(D536="","",ABS(D536-G$5))</f>
        <v/>
      </c>
    </row>
    <row r="537" spans="2:13" ht="13.5" customHeight="1" x14ac:dyDescent="0.55000000000000004">
      <c r="B537" s="94">
        <v>45677</v>
      </c>
      <c r="C537" s="99"/>
      <c r="D537" s="99"/>
      <c r="E537" s="99"/>
      <c r="F537" s="99" t="str">
        <f t="shared" si="81"/>
        <v/>
      </c>
      <c r="G537" s="99"/>
      <c r="H537" s="99"/>
      <c r="I537" s="99"/>
      <c r="J537" s="99"/>
      <c r="K537" s="99"/>
      <c r="L537" s="99"/>
      <c r="M537" s="106" t="str">
        <f>IF(D537="","",ABS(D537-G$5))</f>
        <v/>
      </c>
    </row>
    <row r="538" spans="2:13" ht="13.5" customHeight="1" x14ac:dyDescent="0.55000000000000004">
      <c r="B538" s="94">
        <v>45678</v>
      </c>
      <c r="C538" s="99">
        <v>2.77</v>
      </c>
      <c r="D538" s="99"/>
      <c r="E538" s="99"/>
      <c r="F538" s="99" t="str">
        <f t="shared" si="81"/>
        <v/>
      </c>
      <c r="G538" s="99"/>
      <c r="H538" s="99"/>
      <c r="I538" s="99"/>
      <c r="J538" s="99"/>
      <c r="K538" s="99"/>
      <c r="L538" s="99"/>
      <c r="M538" s="106" t="str">
        <f>IF(D538="","",ABS(D538-G$5))</f>
        <v/>
      </c>
    </row>
    <row r="539" spans="2:13" ht="13.5" customHeight="1" x14ac:dyDescent="0.55000000000000004">
      <c r="B539" s="94">
        <v>45679</v>
      </c>
      <c r="C539" s="99">
        <v>2.76</v>
      </c>
      <c r="D539" s="99"/>
      <c r="E539" s="99"/>
      <c r="F539" s="99" t="str">
        <f t="shared" si="81"/>
        <v/>
      </c>
      <c r="G539" s="99"/>
      <c r="H539" s="99"/>
      <c r="I539" s="99"/>
      <c r="J539" s="99"/>
      <c r="K539" s="99"/>
      <c r="L539" s="99"/>
      <c r="M539" s="106" t="str">
        <f>IF(D539="","",ABS(D539-G$5))</f>
        <v/>
      </c>
    </row>
    <row r="540" spans="2:13" ht="13.5" customHeight="1" x14ac:dyDescent="0.55000000000000004">
      <c r="B540" s="94">
        <v>45680</v>
      </c>
      <c r="C540" s="99">
        <v>2.73</v>
      </c>
      <c r="D540" s="99"/>
      <c r="E540" s="99"/>
      <c r="F540" s="99" t="str">
        <f t="shared" si="81"/>
        <v/>
      </c>
      <c r="G540" s="99"/>
      <c r="H540" s="99"/>
      <c r="I540" s="99"/>
      <c r="J540" s="99"/>
      <c r="K540" s="99"/>
      <c r="L540" s="99"/>
      <c r="M540" s="106" t="str">
        <f>IF(D540="","",ABS(D540-G$5))</f>
        <v/>
      </c>
    </row>
    <row r="541" spans="2:13" ht="13.5" customHeight="1" x14ac:dyDescent="0.55000000000000004">
      <c r="B541" s="94">
        <v>45681</v>
      </c>
      <c r="C541" s="99">
        <v>2.72</v>
      </c>
      <c r="D541" s="99"/>
      <c r="E541" s="99"/>
      <c r="F541" s="99" t="str">
        <f t="shared" si="81"/>
        <v/>
      </c>
      <c r="G541" s="99"/>
      <c r="H541" s="99"/>
      <c r="I541" s="99"/>
      <c r="J541" s="99"/>
      <c r="K541" s="99"/>
      <c r="L541" s="99"/>
      <c r="M541" s="106" t="str">
        <f>IF(D541="","",ABS(D541-G$5))</f>
        <v/>
      </c>
    </row>
    <row r="542" spans="2:13" ht="13.5" customHeight="1" x14ac:dyDescent="0.55000000000000004">
      <c r="B542" s="94">
        <v>45684</v>
      </c>
      <c r="C542" s="99">
        <v>2.76</v>
      </c>
      <c r="D542" s="99"/>
      <c r="E542" s="99"/>
      <c r="F542" s="99" t="str">
        <f t="shared" si="81"/>
        <v/>
      </c>
      <c r="G542" s="99"/>
      <c r="H542" s="99"/>
      <c r="I542" s="99"/>
      <c r="J542" s="99"/>
      <c r="K542" s="99"/>
      <c r="L542" s="99"/>
      <c r="M542" s="106" t="str">
        <f>IF(D542="","",ABS(D542-G$5))</f>
        <v/>
      </c>
    </row>
    <row r="543" spans="2:13" ht="13.5" customHeight="1" x14ac:dyDescent="0.55000000000000004">
      <c r="B543" s="94">
        <v>45685</v>
      </c>
      <c r="C543" s="99">
        <v>2.74</v>
      </c>
      <c r="D543" s="99"/>
      <c r="E543" s="99"/>
      <c r="F543" s="99" t="str">
        <f t="shared" si="81"/>
        <v/>
      </c>
      <c r="G543" s="99"/>
      <c r="H543" s="99"/>
      <c r="I543" s="99"/>
      <c r="J543" s="99"/>
      <c r="K543" s="99"/>
      <c r="L543" s="99"/>
      <c r="M543" s="106" t="str">
        <f>IF(D543="","",ABS(D543-G$5))</f>
        <v/>
      </c>
    </row>
    <row r="544" spans="2:13" ht="13.5" customHeight="1" x14ac:dyDescent="0.55000000000000004">
      <c r="B544" s="94">
        <v>45686</v>
      </c>
      <c r="C544" s="99">
        <v>2.76</v>
      </c>
      <c r="D544" s="99"/>
      <c r="E544" s="99"/>
      <c r="F544" s="99" t="str">
        <f t="shared" si="81"/>
        <v/>
      </c>
      <c r="G544" s="99"/>
      <c r="H544" s="99"/>
      <c r="I544" s="99"/>
      <c r="J544" s="99"/>
      <c r="K544" s="99"/>
      <c r="L544" s="99"/>
      <c r="M544" s="106" t="str">
        <f>IF(D544="","",ABS(D544-G$5))</f>
        <v/>
      </c>
    </row>
    <row r="545" spans="2:13" ht="13.5" customHeight="1" x14ac:dyDescent="0.55000000000000004">
      <c r="B545" s="94">
        <v>45687</v>
      </c>
      <c r="C545" s="99">
        <v>2.77</v>
      </c>
      <c r="D545" s="99"/>
      <c r="E545" s="99"/>
      <c r="F545" s="99" t="str">
        <f t="shared" si="81"/>
        <v/>
      </c>
      <c r="G545" s="99"/>
      <c r="H545" s="99"/>
      <c r="I545" s="99"/>
      <c r="J545" s="99"/>
      <c r="K545" s="99"/>
      <c r="L545" s="99"/>
      <c r="M545" s="106" t="str">
        <f>IF(D545="","",ABS(D545-G$5))</f>
        <v/>
      </c>
    </row>
    <row r="546" spans="2:13" ht="13.5" customHeight="1" x14ac:dyDescent="0.55000000000000004">
      <c r="B546" s="94">
        <v>45688</v>
      </c>
      <c r="C546" s="99">
        <v>2.81</v>
      </c>
      <c r="D546" s="99"/>
      <c r="E546" s="99"/>
      <c r="F546" s="99" t="str">
        <f t="shared" si="81"/>
        <v/>
      </c>
      <c r="G546" s="99"/>
      <c r="H546" s="99"/>
      <c r="I546" s="99"/>
      <c r="J546" s="99"/>
      <c r="K546" s="99"/>
      <c r="L546" s="99"/>
      <c r="M546" s="106" t="str">
        <f>IF(D546="","",ABS(D546-G$5))</f>
        <v/>
      </c>
    </row>
    <row r="547" spans="2:13" ht="13.5" customHeight="1" x14ac:dyDescent="0.55000000000000004">
      <c r="B547" s="94">
        <v>45691</v>
      </c>
      <c r="C547" s="99">
        <v>2.82</v>
      </c>
      <c r="D547" s="99">
        <f>IF(OR(C547="",C546=""),"",(C547-C546)*100)</f>
        <v>0.99999999999997868</v>
      </c>
      <c r="E547" s="99">
        <f>IF(D547="","",ABS(D547-$E$5)/$F$5)</f>
        <v>7.2624682018508774E-2</v>
      </c>
      <c r="F547" s="99">
        <f t="shared" si="81"/>
        <v>0.3372499999999925</v>
      </c>
      <c r="G547" s="99">
        <f>IF(D547="","",ABS(D547-$E$5)/SQRT(0.9*(IF(G546="",($F$5)^2,(ABS(D546-$E$5)/MAX(G546,0.0000000001))^2))+0.1*(D547-$E$5)^2))</f>
        <v>7.6530714828601659E-2</v>
      </c>
      <c r="H547" s="99" t="str">
        <f>IF(E547="","",IF(E547&gt;$I$5,"OUTLIER",""))</f>
        <v/>
      </c>
      <c r="I547" s="99" t="str">
        <f>IF(F547="","",IF(F547&gt;$I$5,"OUTLIER",""))</f>
        <v/>
      </c>
      <c r="J547" s="99" t="str">
        <f>IF(G547="","",IF(G547&gt;$I$5,"OUTLIER",""))</f>
        <v/>
      </c>
      <c r="K547" s="99" t="str">
        <f>IF(C547="","MISSING","")</f>
        <v/>
      </c>
      <c r="L547" s="99" t="str">
        <f>IF(AND(C547&lt;&gt;"",C546&lt;&gt;"",C547=C546),"STALE","")</f>
        <v/>
      </c>
      <c r="M547" s="106">
        <f>IF(D547="","",ABS(D547-G$5))</f>
        <v>0.99999999999997868</v>
      </c>
    </row>
    <row r="548" spans="2:13" ht="13.5" customHeight="1" x14ac:dyDescent="0.55000000000000004">
      <c r="B548" s="94">
        <v>45692</v>
      </c>
      <c r="C548" s="99"/>
      <c r="D548" s="99"/>
      <c r="E548" s="99"/>
      <c r="F548" s="99"/>
      <c r="G548" s="99"/>
      <c r="H548" s="99"/>
      <c r="I548" s="99"/>
      <c r="J548" s="99"/>
      <c r="K548" s="99"/>
      <c r="L548" s="99"/>
      <c r="M548" s="106" t="str">
        <f>IF(D548="","",ABS(D548-G$5))</f>
        <v/>
      </c>
    </row>
    <row r="549" spans="2:13" ht="13.5" customHeight="1" x14ac:dyDescent="0.55000000000000004">
      <c r="B549" s="94">
        <v>45693</v>
      </c>
      <c r="C549" s="99">
        <v>2.8</v>
      </c>
      <c r="D549" s="99" t="str">
        <f t="shared" ref="D549:D555" si="89">IF(OR(C549="",C548=""),"",(C549-C548)*100)</f>
        <v/>
      </c>
      <c r="E549" s="99" t="str">
        <f t="shared" ref="E549:E555" si="90">IF(D549="","",ABS(D549-$E$5)/$F$5)</f>
        <v/>
      </c>
      <c r="F549" s="99" t="str">
        <f t="shared" ref="F549:F555" si="91">IF(D549="","",ABS(D549-$G$5)/$H$5)</f>
        <v/>
      </c>
      <c r="G549" s="99" t="str">
        <f t="shared" ref="G549:G555" si="92">IF(D549="","",ABS(D549-$E$5)/SQRT(0.9*(IF(G548="",($F$5)^2,(ABS(D548-$E$5)/MAX(G548,0.0000000001))^2))+0.1*(D549-$E$5)^2))</f>
        <v/>
      </c>
      <c r="H549" s="99" t="str">
        <f t="shared" ref="H549:J555" si="93">IF(E549="","",IF(E549&gt;$I$5,"OUTLIER",""))</f>
        <v/>
      </c>
      <c r="I549" s="99" t="str">
        <f t="shared" si="93"/>
        <v/>
      </c>
      <c r="J549" s="99" t="str">
        <f t="shared" si="93"/>
        <v/>
      </c>
      <c r="K549" s="99" t="str">
        <f t="shared" ref="K549:K555" si="94">IF(C549="","MISSING","")</f>
        <v/>
      </c>
      <c r="L549" s="99" t="str">
        <f t="shared" ref="L549:L555" si="95">IF(AND(C549&lt;&gt;"",C548&lt;&gt;"",C549=C548),"STALE","")</f>
        <v/>
      </c>
      <c r="M549" s="106" t="str">
        <f>IF(D549="","",ABS(D549-G$5))</f>
        <v/>
      </c>
    </row>
    <row r="550" spans="2:13" ht="13.5" customHeight="1" x14ac:dyDescent="0.55000000000000004">
      <c r="B550" s="94">
        <v>45694</v>
      </c>
      <c r="C550" s="99">
        <v>2.79</v>
      </c>
      <c r="D550" s="99">
        <f t="shared" si="89"/>
        <v>-0.99999999999997868</v>
      </c>
      <c r="E550" s="99">
        <f t="shared" si="90"/>
        <v>0.11579972233777029</v>
      </c>
      <c r="F550" s="99">
        <f t="shared" si="91"/>
        <v>0.3372499999999925</v>
      </c>
      <c r="G550" s="99">
        <f t="shared" si="92"/>
        <v>0.1219727919676494</v>
      </c>
      <c r="H550" s="99" t="str">
        <f t="shared" si="93"/>
        <v/>
      </c>
      <c r="I550" s="99" t="str">
        <f t="shared" si="93"/>
        <v/>
      </c>
      <c r="J550" s="99" t="str">
        <f t="shared" si="93"/>
        <v/>
      </c>
      <c r="K550" s="99" t="str">
        <f t="shared" si="94"/>
        <v/>
      </c>
      <c r="L550" s="99" t="str">
        <f t="shared" si="95"/>
        <v/>
      </c>
      <c r="M550" s="106">
        <f>IF(D550="","",ABS(D550-G$5))</f>
        <v>0.99999999999997868</v>
      </c>
    </row>
    <row r="551" spans="2:13" ht="13.5" customHeight="1" x14ac:dyDescent="0.55000000000000004">
      <c r="B551" s="94">
        <v>45695</v>
      </c>
      <c r="C551" s="99">
        <v>2.77</v>
      </c>
      <c r="D551" s="99">
        <f t="shared" si="89"/>
        <v>-2.0000000000000018</v>
      </c>
      <c r="E551" s="99">
        <f t="shared" si="90"/>
        <v>0.21001192451591399</v>
      </c>
      <c r="F551" s="99">
        <f t="shared" si="91"/>
        <v>0.67449999999999999</v>
      </c>
      <c r="G551" s="99">
        <f t="shared" si="92"/>
        <v>0.23254163602417816</v>
      </c>
      <c r="H551" s="99" t="str">
        <f t="shared" si="93"/>
        <v/>
      </c>
      <c r="I551" s="99" t="str">
        <f t="shared" si="93"/>
        <v/>
      </c>
      <c r="J551" s="99" t="str">
        <f t="shared" si="93"/>
        <v/>
      </c>
      <c r="K551" s="99" t="str">
        <f t="shared" si="94"/>
        <v/>
      </c>
      <c r="L551" s="99" t="str">
        <f t="shared" si="95"/>
        <v/>
      </c>
      <c r="M551" s="106">
        <f>IF(D551="","",ABS(D551-G$5))</f>
        <v>2.0000000000000018</v>
      </c>
    </row>
    <row r="552" spans="2:13" ht="13.5" customHeight="1" x14ac:dyDescent="0.55000000000000004">
      <c r="B552" s="94">
        <v>45698</v>
      </c>
      <c r="C552" s="99">
        <v>2.77</v>
      </c>
      <c r="D552" s="99">
        <f t="shared" si="89"/>
        <v>0</v>
      </c>
      <c r="E552" s="99">
        <f t="shared" si="90"/>
        <v>2.1587520159630759E-2</v>
      </c>
      <c r="F552" s="99">
        <f t="shared" si="91"/>
        <v>0</v>
      </c>
      <c r="G552" s="99">
        <f t="shared" si="92"/>
        <v>2.5195587234040816E-2</v>
      </c>
      <c r="H552" s="99" t="str">
        <f t="shared" si="93"/>
        <v/>
      </c>
      <c r="I552" s="99" t="str">
        <f t="shared" si="93"/>
        <v/>
      </c>
      <c r="J552" s="99" t="str">
        <f t="shared" si="93"/>
        <v/>
      </c>
      <c r="K552" s="99" t="str">
        <f t="shared" si="94"/>
        <v/>
      </c>
      <c r="L552" s="99" t="str">
        <f t="shared" si="95"/>
        <v>STALE</v>
      </c>
      <c r="M552" s="106">
        <f>IF(D552="","",ABS(D552-G$5))</f>
        <v>0</v>
      </c>
    </row>
    <row r="553" spans="2:13" ht="13.5" customHeight="1" x14ac:dyDescent="0.55000000000000004">
      <c r="B553" s="94">
        <v>45699</v>
      </c>
      <c r="C553" s="99">
        <v>2.76</v>
      </c>
      <c r="D553" s="99">
        <f t="shared" si="89"/>
        <v>-1.0000000000000231</v>
      </c>
      <c r="E553" s="99">
        <f t="shared" si="90"/>
        <v>0.11579972233777447</v>
      </c>
      <c r="F553" s="99">
        <f t="shared" si="91"/>
        <v>0.33725000000000749</v>
      </c>
      <c r="G553" s="99">
        <f t="shared" si="92"/>
        <v>0.1423205820131426</v>
      </c>
      <c r="H553" s="99" t="str">
        <f t="shared" si="93"/>
        <v/>
      </c>
      <c r="I553" s="99" t="str">
        <f t="shared" si="93"/>
        <v/>
      </c>
      <c r="J553" s="99" t="str">
        <f t="shared" si="93"/>
        <v/>
      </c>
      <c r="K553" s="99" t="str">
        <f t="shared" si="94"/>
        <v/>
      </c>
      <c r="L553" s="99" t="str">
        <f t="shared" si="95"/>
        <v/>
      </c>
      <c r="M553" s="106">
        <f>IF(D553="","",ABS(D553-G$5))</f>
        <v>1.0000000000000231</v>
      </c>
    </row>
    <row r="554" spans="2:13" ht="13.5" customHeight="1" x14ac:dyDescent="0.55000000000000004">
      <c r="B554" s="94">
        <v>45700</v>
      </c>
      <c r="C554" s="99">
        <v>2.76</v>
      </c>
      <c r="D554" s="99">
        <f t="shared" si="89"/>
        <v>0</v>
      </c>
      <c r="E554" s="99">
        <f t="shared" si="90"/>
        <v>2.1587520159630759E-2</v>
      </c>
      <c r="F554" s="99">
        <f t="shared" si="91"/>
        <v>0</v>
      </c>
      <c r="G554" s="99">
        <f t="shared" si="92"/>
        <v>2.7965636685535807E-2</v>
      </c>
      <c r="H554" s="99" t="str">
        <f t="shared" si="93"/>
        <v/>
      </c>
      <c r="I554" s="99" t="str">
        <f t="shared" si="93"/>
        <v/>
      </c>
      <c r="J554" s="99" t="str">
        <f t="shared" si="93"/>
        <v/>
      </c>
      <c r="K554" s="99" t="str">
        <f t="shared" si="94"/>
        <v/>
      </c>
      <c r="L554" s="99" t="str">
        <f t="shared" si="95"/>
        <v>STALE</v>
      </c>
      <c r="M554" s="106">
        <f>IF(D554="","",ABS(D554-G$5))</f>
        <v>0</v>
      </c>
    </row>
    <row r="555" spans="2:13" ht="13.5" customHeight="1" x14ac:dyDescent="0.55000000000000004">
      <c r="B555" s="94">
        <v>45701</v>
      </c>
      <c r="C555" s="99">
        <v>2.77</v>
      </c>
      <c r="D555" s="99">
        <f t="shared" si="89"/>
        <v>1.0000000000000231</v>
      </c>
      <c r="E555" s="99">
        <f t="shared" si="90"/>
        <v>7.2624682018512965E-2</v>
      </c>
      <c r="F555" s="99">
        <f t="shared" si="91"/>
        <v>0.33725000000000749</v>
      </c>
      <c r="G555" s="99">
        <f t="shared" si="92"/>
        <v>9.9122326562426394E-2</v>
      </c>
      <c r="H555" s="99" t="str">
        <f t="shared" si="93"/>
        <v/>
      </c>
      <c r="I555" s="99" t="str">
        <f t="shared" si="93"/>
        <v/>
      </c>
      <c r="J555" s="99" t="str">
        <f t="shared" si="93"/>
        <v/>
      </c>
      <c r="K555" s="99" t="str">
        <f t="shared" si="94"/>
        <v/>
      </c>
      <c r="L555" s="99" t="str">
        <f t="shared" si="95"/>
        <v/>
      </c>
      <c r="M555" s="106">
        <f>IF(D555="","",ABS(D555-G$5))</f>
        <v>1.0000000000000231</v>
      </c>
    </row>
    <row r="556" spans="2:13" ht="13.5" customHeight="1" x14ac:dyDescent="0.55000000000000004">
      <c r="B556" s="94">
        <v>45702</v>
      </c>
      <c r="C556" s="99"/>
      <c r="D556" s="99"/>
      <c r="E556" s="99"/>
      <c r="F556" s="99"/>
      <c r="G556" s="99"/>
      <c r="H556" s="99"/>
      <c r="I556" s="99"/>
      <c r="J556" s="99"/>
      <c r="K556" s="99"/>
      <c r="L556" s="99"/>
      <c r="M556" s="106" t="str">
        <f>IF(D556="","",ABS(D556-G$5))</f>
        <v/>
      </c>
    </row>
    <row r="557" spans="2:13" ht="13.5" customHeight="1" x14ac:dyDescent="0.55000000000000004">
      <c r="B557" s="94">
        <v>45705</v>
      </c>
      <c r="C557" s="99"/>
      <c r="D557" s="99" t="str">
        <f t="shared" ref="D557:D620" si="96">IF(OR(C557="",C556=""),"",(C557-C556)*100)</f>
        <v/>
      </c>
      <c r="E557" s="99" t="str">
        <f t="shared" ref="E557:E620" si="97">IF(D557="","",ABS(D557-$E$5)/$F$5)</f>
        <v/>
      </c>
      <c r="F557" s="99" t="str">
        <f t="shared" ref="F557:F620" si="98">IF(D557="","",ABS(D557-$G$5)/$H$5)</f>
        <v/>
      </c>
      <c r="G557" s="99" t="str">
        <f t="shared" ref="G557:G620" si="99">IF(D557="","",ABS(D557-$E$5)/SQRT(0.9*(IF(G556="",($F$5)^2,(ABS(D556-$E$5)/MAX(G556,0.0000000001))^2))+0.1*(D557-$E$5)^2))</f>
        <v/>
      </c>
      <c r="H557" s="99" t="str">
        <f t="shared" ref="H557:H620" si="100">IF(E557="","",IF(E557&gt;$I$5,"OUTLIER",""))</f>
        <v/>
      </c>
      <c r="I557" s="99" t="str">
        <f t="shared" ref="I557:I620" si="101">IF(F557="","",IF(F557&gt;$I$5,"OUTLIER",""))</f>
        <v/>
      </c>
      <c r="J557" s="99" t="str">
        <f t="shared" ref="J557:J620" si="102">IF(G557="","",IF(G557&gt;$I$5,"OUTLIER",""))</f>
        <v/>
      </c>
      <c r="K557" s="99" t="str">
        <f t="shared" ref="K557:K620" si="103">IF(C557="","MISSING","")</f>
        <v>MISSING</v>
      </c>
      <c r="L557" s="99" t="str">
        <f t="shared" ref="L557:L620" si="104">IF(AND(C557&lt;&gt;"",C556&lt;&gt;"",C557=C556),"STALE","")</f>
        <v/>
      </c>
      <c r="M557" s="106" t="str">
        <f>IF(D557="","",ABS(D557-G$5))</f>
        <v/>
      </c>
    </row>
    <row r="558" spans="2:13" ht="13.5" customHeight="1" x14ac:dyDescent="0.55000000000000004">
      <c r="B558" s="94">
        <v>45706</v>
      </c>
      <c r="C558" s="99">
        <v>2.74</v>
      </c>
      <c r="D558" s="99" t="str">
        <f t="shared" si="96"/>
        <v/>
      </c>
      <c r="E558" s="99" t="str">
        <f t="shared" si="97"/>
        <v/>
      </c>
      <c r="F558" s="99" t="str">
        <f t="shared" si="98"/>
        <v/>
      </c>
      <c r="G558" s="99" t="str">
        <f t="shared" si="99"/>
        <v/>
      </c>
      <c r="H558" s="99" t="str">
        <f t="shared" si="100"/>
        <v/>
      </c>
      <c r="I558" s="99" t="str">
        <f t="shared" si="101"/>
        <v/>
      </c>
      <c r="J558" s="99" t="str">
        <f t="shared" si="102"/>
        <v/>
      </c>
      <c r="K558" s="99" t="str">
        <f t="shared" si="103"/>
        <v/>
      </c>
      <c r="L558" s="99" t="str">
        <f t="shared" si="104"/>
        <v/>
      </c>
      <c r="M558" s="106" t="str">
        <f>IF(D558="","",ABS(D558-G$5))</f>
        <v/>
      </c>
    </row>
    <row r="559" spans="2:13" ht="13.5" customHeight="1" x14ac:dyDescent="0.55000000000000004">
      <c r="B559" s="94">
        <v>45707</v>
      </c>
      <c r="C559" s="99">
        <v>2.74</v>
      </c>
      <c r="D559" s="99">
        <f t="shared" si="96"/>
        <v>0</v>
      </c>
      <c r="E559" s="99">
        <f t="shared" si="97"/>
        <v>2.1587520159630759E-2</v>
      </c>
      <c r="F559" s="99">
        <f t="shared" si="98"/>
        <v>0</v>
      </c>
      <c r="G559" s="99">
        <f t="shared" si="99"/>
        <v>2.2754655134718329E-2</v>
      </c>
      <c r="H559" s="99" t="str">
        <f t="shared" si="100"/>
        <v/>
      </c>
      <c r="I559" s="99" t="str">
        <f t="shared" si="101"/>
        <v/>
      </c>
      <c r="J559" s="99" t="str">
        <f t="shared" si="102"/>
        <v/>
      </c>
      <c r="K559" s="99" t="str">
        <f t="shared" si="103"/>
        <v/>
      </c>
      <c r="L559" s="99" t="str">
        <f t="shared" si="104"/>
        <v>STALE</v>
      </c>
      <c r="M559" s="106">
        <f>IF(D559="","",ABS(D559-G$5))</f>
        <v>0</v>
      </c>
    </row>
    <row r="560" spans="2:13" ht="13.5" customHeight="1" x14ac:dyDescent="0.55000000000000004">
      <c r="B560" s="94">
        <v>45708</v>
      </c>
      <c r="C560" s="99">
        <v>2.76</v>
      </c>
      <c r="D560" s="99">
        <f t="shared" si="96"/>
        <v>1.9999999999999574</v>
      </c>
      <c r="E560" s="99">
        <f t="shared" si="97"/>
        <v>0.16683688419664833</v>
      </c>
      <c r="F560" s="99">
        <f t="shared" si="98"/>
        <v>0.674499999999985</v>
      </c>
      <c r="G560" s="99">
        <f t="shared" si="99"/>
        <v>0.18505185299073362</v>
      </c>
      <c r="H560" s="99" t="str">
        <f t="shared" si="100"/>
        <v/>
      </c>
      <c r="I560" s="99" t="str">
        <f t="shared" si="101"/>
        <v/>
      </c>
      <c r="J560" s="99" t="str">
        <f t="shared" si="102"/>
        <v/>
      </c>
      <c r="K560" s="99" t="str">
        <f t="shared" si="103"/>
        <v/>
      </c>
      <c r="L560" s="99" t="str">
        <f t="shared" si="104"/>
        <v/>
      </c>
      <c r="M560" s="106">
        <f>IF(D560="","",ABS(D560-G$5))</f>
        <v>1.9999999999999574</v>
      </c>
    </row>
    <row r="561" spans="2:13" ht="13.5" customHeight="1" x14ac:dyDescent="0.55000000000000004">
      <c r="B561" s="94">
        <v>45709</v>
      </c>
      <c r="C561" s="99">
        <v>2.82</v>
      </c>
      <c r="D561" s="99">
        <f t="shared" si="96"/>
        <v>6.0000000000000053</v>
      </c>
      <c r="E561" s="99">
        <f t="shared" si="97"/>
        <v>0.54368569290921898</v>
      </c>
      <c r="F561" s="99">
        <f t="shared" si="98"/>
        <v>2.0234999999999999</v>
      </c>
      <c r="G561" s="99">
        <f t="shared" si="99"/>
        <v>0.62319849526290194</v>
      </c>
      <c r="H561" s="99" t="str">
        <f t="shared" si="100"/>
        <v/>
      </c>
      <c r="I561" s="99" t="str">
        <f t="shared" si="101"/>
        <v/>
      </c>
      <c r="J561" s="99" t="str">
        <f t="shared" si="102"/>
        <v/>
      </c>
      <c r="K561" s="99" t="str">
        <f t="shared" si="103"/>
        <v/>
      </c>
      <c r="L561" s="99" t="str">
        <f t="shared" si="104"/>
        <v/>
      </c>
      <c r="M561" s="106">
        <f>IF(D561="","",ABS(D561-G$5))</f>
        <v>6.0000000000000053</v>
      </c>
    </row>
    <row r="562" spans="2:13" ht="13.5" customHeight="1" x14ac:dyDescent="0.55000000000000004">
      <c r="B562" s="94">
        <v>45712</v>
      </c>
      <c r="C562" s="99">
        <v>2.87</v>
      </c>
      <c r="D562" s="99">
        <f t="shared" si="96"/>
        <v>5.0000000000000266</v>
      </c>
      <c r="E562" s="99">
        <f t="shared" si="97"/>
        <v>0.44947349073107945</v>
      </c>
      <c r="F562" s="99">
        <f t="shared" si="98"/>
        <v>1.6862500000000074</v>
      </c>
      <c r="G562" s="99">
        <f t="shared" si="99"/>
        <v>0.53524123930312995</v>
      </c>
      <c r="H562" s="99" t="str">
        <f t="shared" si="100"/>
        <v/>
      </c>
      <c r="I562" s="99" t="str">
        <f t="shared" si="101"/>
        <v/>
      </c>
      <c r="J562" s="99" t="str">
        <f t="shared" si="102"/>
        <v/>
      </c>
      <c r="K562" s="99" t="str">
        <f t="shared" si="103"/>
        <v/>
      </c>
      <c r="L562" s="99" t="str">
        <f t="shared" si="104"/>
        <v/>
      </c>
      <c r="M562" s="106">
        <f>IF(D562="","",ABS(D562-G$5))</f>
        <v>5.0000000000000266</v>
      </c>
    </row>
    <row r="563" spans="2:13" ht="13.5" customHeight="1" x14ac:dyDescent="0.55000000000000004">
      <c r="B563" s="94">
        <v>45713</v>
      </c>
      <c r="C563" s="99">
        <v>2.93</v>
      </c>
      <c r="D563" s="99">
        <f t="shared" si="96"/>
        <v>6.0000000000000053</v>
      </c>
      <c r="E563" s="99">
        <f t="shared" si="97"/>
        <v>0.54368569290921898</v>
      </c>
      <c r="F563" s="99">
        <f t="shared" si="98"/>
        <v>2.0234999999999999</v>
      </c>
      <c r="G563" s="99">
        <f t="shared" si="99"/>
        <v>0.667094174048811</v>
      </c>
      <c r="H563" s="99" t="str">
        <f t="shared" si="100"/>
        <v/>
      </c>
      <c r="I563" s="99" t="str">
        <f t="shared" si="101"/>
        <v/>
      </c>
      <c r="J563" s="99" t="str">
        <f t="shared" si="102"/>
        <v/>
      </c>
      <c r="K563" s="99" t="str">
        <f t="shared" si="103"/>
        <v/>
      </c>
      <c r="L563" s="99" t="str">
        <f t="shared" si="104"/>
        <v/>
      </c>
      <c r="M563" s="106">
        <f>IF(D563="","",ABS(D563-G$5))</f>
        <v>6.0000000000000053</v>
      </c>
    </row>
    <row r="564" spans="2:13" ht="13.5" customHeight="1" x14ac:dyDescent="0.55000000000000004">
      <c r="B564" s="94">
        <v>45714</v>
      </c>
      <c r="C564" s="99">
        <v>2.93</v>
      </c>
      <c r="D564" s="99">
        <f t="shared" si="96"/>
        <v>0</v>
      </c>
      <c r="E564" s="99">
        <f t="shared" si="97"/>
        <v>2.1587520159630759E-2</v>
      </c>
      <c r="F564" s="99">
        <f t="shared" si="98"/>
        <v>0</v>
      </c>
      <c r="G564" s="99">
        <f t="shared" si="99"/>
        <v>2.7919254502353528E-2</v>
      </c>
      <c r="H564" s="99" t="str">
        <f t="shared" si="100"/>
        <v/>
      </c>
      <c r="I564" s="99" t="str">
        <f t="shared" si="101"/>
        <v/>
      </c>
      <c r="J564" s="99" t="str">
        <f t="shared" si="102"/>
        <v/>
      </c>
      <c r="K564" s="99" t="str">
        <f t="shared" si="103"/>
        <v/>
      </c>
      <c r="L564" s="99" t="str">
        <f t="shared" si="104"/>
        <v>STALE</v>
      </c>
      <c r="M564" s="106">
        <f>IF(D564="","",ABS(D564-G$5))</f>
        <v>0</v>
      </c>
    </row>
    <row r="565" spans="2:13" ht="13.5" customHeight="1" x14ac:dyDescent="0.55000000000000004">
      <c r="B565" s="94">
        <v>45715</v>
      </c>
      <c r="C565" s="99">
        <v>2.97</v>
      </c>
      <c r="D565" s="99">
        <f t="shared" si="96"/>
        <v>4.0000000000000036</v>
      </c>
      <c r="E565" s="99">
        <f t="shared" si="97"/>
        <v>0.35526128855293576</v>
      </c>
      <c r="F565" s="99">
        <f t="shared" si="98"/>
        <v>1.349</v>
      </c>
      <c r="G565" s="99">
        <f t="shared" si="99"/>
        <v>0.478732695229243</v>
      </c>
      <c r="H565" s="99" t="str">
        <f t="shared" si="100"/>
        <v/>
      </c>
      <c r="I565" s="99" t="str">
        <f t="shared" si="101"/>
        <v/>
      </c>
      <c r="J565" s="99" t="str">
        <f t="shared" si="102"/>
        <v/>
      </c>
      <c r="K565" s="99" t="str">
        <f t="shared" si="103"/>
        <v/>
      </c>
      <c r="L565" s="99" t="str">
        <f t="shared" si="104"/>
        <v/>
      </c>
      <c r="M565" s="106">
        <f>IF(D565="","",ABS(D565-G$5))</f>
        <v>4.0000000000000036</v>
      </c>
    </row>
    <row r="566" spans="2:13" ht="13.5" customHeight="1" x14ac:dyDescent="0.55000000000000004">
      <c r="B566" s="94">
        <v>45716</v>
      </c>
      <c r="C566" s="99">
        <v>3.04</v>
      </c>
      <c r="D566" s="99">
        <f t="shared" si="96"/>
        <v>6.999999999999984</v>
      </c>
      <c r="E566" s="99">
        <f t="shared" si="97"/>
        <v>0.6378978950873585</v>
      </c>
      <c r="F566" s="99">
        <f t="shared" si="98"/>
        <v>2.3607499999999924</v>
      </c>
      <c r="G566" s="99">
        <f t="shared" si="99"/>
        <v>0.87104611793672415</v>
      </c>
      <c r="H566" s="99" t="str">
        <f t="shared" si="100"/>
        <v/>
      </c>
      <c r="I566" s="99" t="str">
        <f t="shared" si="101"/>
        <v/>
      </c>
      <c r="J566" s="99" t="str">
        <f t="shared" si="102"/>
        <v/>
      </c>
      <c r="K566" s="99" t="str">
        <f t="shared" si="103"/>
        <v/>
      </c>
      <c r="L566" s="99" t="str">
        <f t="shared" si="104"/>
        <v/>
      </c>
      <c r="M566" s="106">
        <f>IF(D566="","",ABS(D566-G$5))</f>
        <v>6.999999999999984</v>
      </c>
    </row>
    <row r="567" spans="2:13" ht="13.5" customHeight="1" x14ac:dyDescent="0.55000000000000004">
      <c r="B567" s="94">
        <v>45719</v>
      </c>
      <c r="C567" s="99">
        <v>3.06</v>
      </c>
      <c r="D567" s="99">
        <f t="shared" si="96"/>
        <v>2.0000000000000018</v>
      </c>
      <c r="E567" s="99">
        <f t="shared" si="97"/>
        <v>0.16683688419665252</v>
      </c>
      <c r="F567" s="99">
        <f t="shared" si="98"/>
        <v>0.67449999999999999</v>
      </c>
      <c r="G567" s="99">
        <f t="shared" si="99"/>
        <v>0.23944853623902532</v>
      </c>
      <c r="H567" s="99" t="str">
        <f t="shared" si="100"/>
        <v/>
      </c>
      <c r="I567" s="99" t="str">
        <f t="shared" si="101"/>
        <v/>
      </c>
      <c r="J567" s="99" t="str">
        <f t="shared" si="102"/>
        <v/>
      </c>
      <c r="K567" s="99" t="str">
        <f t="shared" si="103"/>
        <v/>
      </c>
      <c r="L567" s="99" t="str">
        <f t="shared" si="104"/>
        <v/>
      </c>
      <c r="M567" s="106">
        <f>IF(D567="","",ABS(D567-G$5))</f>
        <v>2.0000000000000018</v>
      </c>
    </row>
    <row r="568" spans="2:13" ht="13.5" customHeight="1" x14ac:dyDescent="0.55000000000000004">
      <c r="B568" s="94">
        <v>45720</v>
      </c>
      <c r="C568" s="99">
        <v>3.1</v>
      </c>
      <c r="D568" s="99">
        <f t="shared" si="96"/>
        <v>4.0000000000000036</v>
      </c>
      <c r="E568" s="99">
        <f t="shared" si="97"/>
        <v>0.35526128855293576</v>
      </c>
      <c r="F568" s="99">
        <f t="shared" si="98"/>
        <v>1.349</v>
      </c>
      <c r="G568" s="99">
        <f t="shared" si="99"/>
        <v>0.52986231621792335</v>
      </c>
      <c r="H568" s="99" t="str">
        <f t="shared" si="100"/>
        <v/>
      </c>
      <c r="I568" s="99" t="str">
        <f t="shared" si="101"/>
        <v/>
      </c>
      <c r="J568" s="99" t="str">
        <f t="shared" si="102"/>
        <v/>
      </c>
      <c r="K568" s="99" t="str">
        <f t="shared" si="103"/>
        <v/>
      </c>
      <c r="L568" s="99" t="str">
        <f t="shared" si="104"/>
        <v/>
      </c>
      <c r="M568" s="106">
        <f>IF(D568="","",ABS(D568-G$5))</f>
        <v>4.0000000000000036</v>
      </c>
    </row>
    <row r="569" spans="2:13" ht="13.5" customHeight="1" x14ac:dyDescent="0.55000000000000004">
      <c r="B569" s="94">
        <v>45721</v>
      </c>
      <c r="C569" s="99">
        <v>3.06</v>
      </c>
      <c r="D569" s="99">
        <f t="shared" si="96"/>
        <v>-4.0000000000000036</v>
      </c>
      <c r="E569" s="99">
        <f t="shared" si="97"/>
        <v>0.39843632887219732</v>
      </c>
      <c r="F569" s="99">
        <f t="shared" si="98"/>
        <v>1.349</v>
      </c>
      <c r="G569" s="99">
        <f t="shared" si="99"/>
        <v>0.61446243268771705</v>
      </c>
      <c r="H569" s="99" t="str">
        <f t="shared" si="100"/>
        <v/>
      </c>
      <c r="I569" s="99" t="str">
        <f t="shared" si="101"/>
        <v/>
      </c>
      <c r="J569" s="99" t="str">
        <f t="shared" si="102"/>
        <v/>
      </c>
      <c r="K569" s="99" t="str">
        <f t="shared" si="103"/>
        <v/>
      </c>
      <c r="L569" s="99" t="str">
        <f t="shared" si="104"/>
        <v/>
      </c>
      <c r="M569" s="106">
        <f>IF(D569="","",ABS(D569-G$5))</f>
        <v>4.0000000000000036</v>
      </c>
    </row>
    <row r="570" spans="2:13" ht="13.5" customHeight="1" x14ac:dyDescent="0.55000000000000004">
      <c r="B570" s="94">
        <v>45722</v>
      </c>
      <c r="C570" s="99">
        <v>3.08</v>
      </c>
      <c r="D570" s="99">
        <f t="shared" si="96"/>
        <v>2.0000000000000018</v>
      </c>
      <c r="E570" s="99">
        <f t="shared" si="97"/>
        <v>0.16683688419665252</v>
      </c>
      <c r="F570" s="99">
        <f t="shared" si="98"/>
        <v>0.67449999999999999</v>
      </c>
      <c r="G570" s="99">
        <f t="shared" si="99"/>
        <v>0.27021896896864778</v>
      </c>
      <c r="H570" s="99" t="str">
        <f t="shared" si="100"/>
        <v/>
      </c>
      <c r="I570" s="99" t="str">
        <f t="shared" si="101"/>
        <v/>
      </c>
      <c r="J570" s="99" t="str">
        <f t="shared" si="102"/>
        <v/>
      </c>
      <c r="K570" s="99" t="str">
        <f t="shared" si="103"/>
        <v/>
      </c>
      <c r="L570" s="99" t="str">
        <f t="shared" si="104"/>
        <v/>
      </c>
      <c r="M570" s="106">
        <f>IF(D570="","",ABS(D570-G$5))</f>
        <v>2.0000000000000018</v>
      </c>
    </row>
    <row r="571" spans="2:13" ht="13.5" customHeight="1" x14ac:dyDescent="0.55000000000000004">
      <c r="B571" s="94">
        <v>45723</v>
      </c>
      <c r="C571" s="99">
        <v>3.1</v>
      </c>
      <c r="D571" s="99">
        <f t="shared" si="96"/>
        <v>2.0000000000000018</v>
      </c>
      <c r="E571" s="99">
        <f t="shared" si="97"/>
        <v>0.16683688419665252</v>
      </c>
      <c r="F571" s="99">
        <f t="shared" si="98"/>
        <v>0.67449999999999999</v>
      </c>
      <c r="G571" s="99">
        <f t="shared" si="99"/>
        <v>0.28368732969824995</v>
      </c>
      <c r="H571" s="99" t="str">
        <f t="shared" si="100"/>
        <v/>
      </c>
      <c r="I571" s="99" t="str">
        <f t="shared" si="101"/>
        <v/>
      </c>
      <c r="J571" s="99" t="str">
        <f t="shared" si="102"/>
        <v/>
      </c>
      <c r="K571" s="99" t="str">
        <f t="shared" si="103"/>
        <v/>
      </c>
      <c r="L571" s="99" t="str">
        <f t="shared" si="104"/>
        <v/>
      </c>
      <c r="M571" s="106">
        <f>IF(D571="","",ABS(D571-G$5))</f>
        <v>2.0000000000000018</v>
      </c>
    </row>
    <row r="572" spans="2:13" ht="13.5" customHeight="1" x14ac:dyDescent="0.55000000000000004">
      <c r="B572" s="94">
        <v>45726</v>
      </c>
      <c r="C572" s="99">
        <v>3.16</v>
      </c>
      <c r="D572" s="99">
        <f t="shared" si="96"/>
        <v>6.0000000000000053</v>
      </c>
      <c r="E572" s="99">
        <f t="shared" si="97"/>
        <v>0.54368569290921898</v>
      </c>
      <c r="F572" s="99">
        <f t="shared" si="98"/>
        <v>2.0234999999999999</v>
      </c>
      <c r="G572" s="99">
        <f t="shared" si="99"/>
        <v>0.9312687512951201</v>
      </c>
      <c r="H572" s="99" t="str">
        <f t="shared" si="100"/>
        <v/>
      </c>
      <c r="I572" s="99" t="str">
        <f t="shared" si="101"/>
        <v/>
      </c>
      <c r="J572" s="99" t="str">
        <f t="shared" si="102"/>
        <v/>
      </c>
      <c r="K572" s="99" t="str">
        <f t="shared" si="103"/>
        <v/>
      </c>
      <c r="L572" s="99" t="str">
        <f t="shared" si="104"/>
        <v/>
      </c>
      <c r="M572" s="106">
        <f>IF(D572="","",ABS(D572-G$5))</f>
        <v>6.0000000000000053</v>
      </c>
    </row>
    <row r="573" spans="2:13" ht="13.5" customHeight="1" x14ac:dyDescent="0.55000000000000004">
      <c r="B573" s="94">
        <v>45727</v>
      </c>
      <c r="C573" s="99">
        <v>3.2</v>
      </c>
      <c r="D573" s="99">
        <f t="shared" si="96"/>
        <v>4.0000000000000036</v>
      </c>
      <c r="E573" s="99">
        <f t="shared" si="97"/>
        <v>0.35526128855293576</v>
      </c>
      <c r="F573" s="99">
        <f t="shared" si="98"/>
        <v>1.349</v>
      </c>
      <c r="G573" s="99">
        <f t="shared" si="99"/>
        <v>0.6286346820334755</v>
      </c>
      <c r="H573" s="99" t="str">
        <f t="shared" si="100"/>
        <v/>
      </c>
      <c r="I573" s="99" t="str">
        <f t="shared" si="101"/>
        <v/>
      </c>
      <c r="J573" s="99" t="str">
        <f t="shared" si="102"/>
        <v/>
      </c>
      <c r="K573" s="99" t="str">
        <f t="shared" si="103"/>
        <v/>
      </c>
      <c r="L573" s="99" t="str">
        <f t="shared" si="104"/>
        <v/>
      </c>
      <c r="M573" s="106">
        <f>IF(D573="","",ABS(D573-G$5))</f>
        <v>4.0000000000000036</v>
      </c>
    </row>
    <row r="574" spans="2:13" ht="13.5" customHeight="1" x14ac:dyDescent="0.55000000000000004">
      <c r="B574" s="94">
        <v>45728</v>
      </c>
      <c r="C574" s="99">
        <v>3.19</v>
      </c>
      <c r="D574" s="99">
        <f t="shared" si="96"/>
        <v>-1.0000000000000231</v>
      </c>
      <c r="E574" s="99">
        <f t="shared" si="97"/>
        <v>0.11579972233777447</v>
      </c>
      <c r="F574" s="99">
        <f t="shared" si="98"/>
        <v>0.33725000000000749</v>
      </c>
      <c r="G574" s="99">
        <f t="shared" si="99"/>
        <v>0.2154894572147458</v>
      </c>
      <c r="H574" s="99" t="str">
        <f t="shared" si="100"/>
        <v/>
      </c>
      <c r="I574" s="99" t="str">
        <f t="shared" si="101"/>
        <v/>
      </c>
      <c r="J574" s="99" t="str">
        <f t="shared" si="102"/>
        <v/>
      </c>
      <c r="K574" s="99" t="str">
        <f t="shared" si="103"/>
        <v/>
      </c>
      <c r="L574" s="99" t="str">
        <f t="shared" si="104"/>
        <v/>
      </c>
      <c r="M574" s="106">
        <f>IF(D574="","",ABS(D574-G$5))</f>
        <v>1.0000000000000231</v>
      </c>
    </row>
    <row r="575" spans="2:13" ht="13.5" customHeight="1" x14ac:dyDescent="0.55000000000000004">
      <c r="B575" s="94">
        <v>45729</v>
      </c>
      <c r="C575" s="99">
        <v>3.27</v>
      </c>
      <c r="D575" s="99">
        <f t="shared" si="96"/>
        <v>8.0000000000000071</v>
      </c>
      <c r="E575" s="99">
        <f t="shared" si="97"/>
        <v>0.73211009726550225</v>
      </c>
      <c r="F575" s="99">
        <f t="shared" si="98"/>
        <v>2.698</v>
      </c>
      <c r="G575" s="99">
        <f t="shared" si="99"/>
        <v>1.3075520213773335</v>
      </c>
      <c r="H575" s="99" t="str">
        <f t="shared" si="100"/>
        <v/>
      </c>
      <c r="I575" s="99" t="str">
        <f t="shared" si="101"/>
        <v/>
      </c>
      <c r="J575" s="99" t="str">
        <f t="shared" si="102"/>
        <v/>
      </c>
      <c r="K575" s="99" t="str">
        <f t="shared" si="103"/>
        <v/>
      </c>
      <c r="L575" s="99" t="str">
        <f t="shared" si="104"/>
        <v/>
      </c>
      <c r="M575" s="106">
        <f>IF(D575="","",ABS(D575-G$5))</f>
        <v>8.0000000000000071</v>
      </c>
    </row>
    <row r="576" spans="2:13" ht="13.5" customHeight="1" x14ac:dyDescent="0.55000000000000004">
      <c r="B576" s="94">
        <v>45730</v>
      </c>
      <c r="C576" s="99">
        <v>3.26</v>
      </c>
      <c r="D576" s="99">
        <f t="shared" si="96"/>
        <v>-1.0000000000000231</v>
      </c>
      <c r="E576" s="99">
        <f t="shared" si="97"/>
        <v>0.11579972233777447</v>
      </c>
      <c r="F576" s="99">
        <f t="shared" si="98"/>
        <v>0.33725000000000749</v>
      </c>
      <c r="G576" s="99">
        <f t="shared" si="99"/>
        <v>0.21748998260714117</v>
      </c>
      <c r="H576" s="99" t="str">
        <f t="shared" si="100"/>
        <v/>
      </c>
      <c r="I576" s="99" t="str">
        <f t="shared" si="101"/>
        <v/>
      </c>
      <c r="J576" s="99" t="str">
        <f t="shared" si="102"/>
        <v/>
      </c>
      <c r="K576" s="99" t="str">
        <f t="shared" si="103"/>
        <v/>
      </c>
      <c r="L576" s="99" t="str">
        <f t="shared" si="104"/>
        <v/>
      </c>
      <c r="M576" s="106">
        <f>IF(D576="","",ABS(D576-G$5))</f>
        <v>1.0000000000000231</v>
      </c>
    </row>
    <row r="577" spans="2:13" ht="13.5" customHeight="1" x14ac:dyDescent="0.55000000000000004">
      <c r="B577" s="94">
        <v>45733</v>
      </c>
      <c r="C577" s="99">
        <v>3.21</v>
      </c>
      <c r="D577" s="99">
        <f t="shared" si="96"/>
        <v>-4.9999999999999822</v>
      </c>
      <c r="E577" s="99">
        <f t="shared" si="97"/>
        <v>0.49264853105033685</v>
      </c>
      <c r="F577" s="99">
        <f t="shared" si="98"/>
        <v>1.6862499999999925</v>
      </c>
      <c r="G577" s="99">
        <f t="shared" si="99"/>
        <v>0.93199976204955026</v>
      </c>
      <c r="H577" s="99" t="str">
        <f t="shared" si="100"/>
        <v/>
      </c>
      <c r="I577" s="99" t="str">
        <f t="shared" si="101"/>
        <v/>
      </c>
      <c r="J577" s="99" t="str">
        <f t="shared" si="102"/>
        <v/>
      </c>
      <c r="K577" s="99" t="str">
        <f t="shared" si="103"/>
        <v/>
      </c>
      <c r="L577" s="99" t="str">
        <f t="shared" si="104"/>
        <v/>
      </c>
      <c r="M577" s="106">
        <f>IF(D577="","",ABS(D577-G$5))</f>
        <v>4.9999999999999822</v>
      </c>
    </row>
    <row r="578" spans="2:13" ht="13.5" customHeight="1" x14ac:dyDescent="0.55000000000000004">
      <c r="B578" s="94">
        <v>45734</v>
      </c>
      <c r="C578" s="99">
        <v>3.23</v>
      </c>
      <c r="D578" s="99">
        <f t="shared" si="96"/>
        <v>2.0000000000000018</v>
      </c>
      <c r="E578" s="99">
        <f t="shared" si="97"/>
        <v>0.16683688419665252</v>
      </c>
      <c r="F578" s="99">
        <f t="shared" si="98"/>
        <v>0.67449999999999999</v>
      </c>
      <c r="G578" s="99">
        <f t="shared" si="99"/>
        <v>0.33087128631418572</v>
      </c>
      <c r="H578" s="99" t="str">
        <f t="shared" si="100"/>
        <v/>
      </c>
      <c r="I578" s="99" t="str">
        <f t="shared" si="101"/>
        <v/>
      </c>
      <c r="J578" s="99" t="str">
        <f t="shared" si="102"/>
        <v/>
      </c>
      <c r="K578" s="99" t="str">
        <f t="shared" si="103"/>
        <v/>
      </c>
      <c r="L578" s="99" t="str">
        <f t="shared" si="104"/>
        <v/>
      </c>
      <c r="M578" s="106">
        <f>IF(D578="","",ABS(D578-G$5))</f>
        <v>2.0000000000000018</v>
      </c>
    </row>
    <row r="579" spans="2:13" ht="13.5" customHeight="1" x14ac:dyDescent="0.55000000000000004">
      <c r="B579" s="94">
        <v>45735</v>
      </c>
      <c r="C579" s="99">
        <v>3.18</v>
      </c>
      <c r="D579" s="99">
        <f t="shared" si="96"/>
        <v>-4.9999999999999822</v>
      </c>
      <c r="E579" s="99">
        <f t="shared" si="97"/>
        <v>0.49264853105033685</v>
      </c>
      <c r="F579" s="99">
        <f t="shared" si="98"/>
        <v>1.6862499999999925</v>
      </c>
      <c r="G579" s="99">
        <f t="shared" si="99"/>
        <v>0.97924850971566446</v>
      </c>
      <c r="H579" s="99" t="str">
        <f t="shared" si="100"/>
        <v/>
      </c>
      <c r="I579" s="99" t="str">
        <f t="shared" si="101"/>
        <v/>
      </c>
      <c r="J579" s="99" t="str">
        <f t="shared" si="102"/>
        <v/>
      </c>
      <c r="K579" s="99" t="str">
        <f t="shared" si="103"/>
        <v/>
      </c>
      <c r="L579" s="99" t="str">
        <f t="shared" si="104"/>
        <v/>
      </c>
      <c r="M579" s="106">
        <f>IF(D579="","",ABS(D579-G$5))</f>
        <v>4.9999999999999822</v>
      </c>
    </row>
    <row r="580" spans="2:13" ht="13.5" customHeight="1" x14ac:dyDescent="0.55000000000000004">
      <c r="B580" s="94">
        <v>45736</v>
      </c>
      <c r="C580" s="99">
        <v>3.17</v>
      </c>
      <c r="D580" s="99">
        <f t="shared" si="96"/>
        <v>-1.0000000000000231</v>
      </c>
      <c r="E580" s="99">
        <f t="shared" si="97"/>
        <v>0.11579972233777447</v>
      </c>
      <c r="F580" s="99">
        <f t="shared" si="98"/>
        <v>0.33725000000000749</v>
      </c>
      <c r="G580" s="99">
        <f t="shared" si="99"/>
        <v>0.24191757595807584</v>
      </c>
      <c r="H580" s="99" t="str">
        <f t="shared" si="100"/>
        <v/>
      </c>
      <c r="I580" s="99" t="str">
        <f t="shared" si="101"/>
        <v/>
      </c>
      <c r="J580" s="99" t="str">
        <f t="shared" si="102"/>
        <v/>
      </c>
      <c r="K580" s="99" t="str">
        <f t="shared" si="103"/>
        <v/>
      </c>
      <c r="L580" s="99" t="str">
        <f t="shared" si="104"/>
        <v/>
      </c>
      <c r="M580" s="106">
        <f>IF(D580="","",ABS(D580-G$5))</f>
        <v>1.0000000000000231</v>
      </c>
    </row>
    <row r="581" spans="2:13" ht="13.5" customHeight="1" x14ac:dyDescent="0.55000000000000004">
      <c r="B581" s="94">
        <v>45737</v>
      </c>
      <c r="C581" s="99">
        <v>3.26</v>
      </c>
      <c r="D581" s="99">
        <f t="shared" si="96"/>
        <v>8.9999999999999858</v>
      </c>
      <c r="E581" s="99">
        <f t="shared" si="97"/>
        <v>0.82632229944364188</v>
      </c>
      <c r="F581" s="99">
        <f t="shared" si="98"/>
        <v>3.0352499999999925</v>
      </c>
      <c r="G581" s="99">
        <f t="shared" si="99"/>
        <v>1.5771778106178598</v>
      </c>
      <c r="H581" s="99" t="str">
        <f t="shared" si="100"/>
        <v/>
      </c>
      <c r="I581" s="99" t="str">
        <f t="shared" si="101"/>
        <v>OUTLIER</v>
      </c>
      <c r="J581" s="99" t="str">
        <f t="shared" si="102"/>
        <v/>
      </c>
      <c r="K581" s="99" t="str">
        <f t="shared" si="103"/>
        <v/>
      </c>
      <c r="L581" s="99" t="str">
        <f t="shared" si="104"/>
        <v/>
      </c>
      <c r="M581" s="106">
        <f>IF(D581="","",ABS(D581-G$5))</f>
        <v>8.9999999999999858</v>
      </c>
    </row>
    <row r="582" spans="2:13" ht="13.5" customHeight="1" x14ac:dyDescent="0.55000000000000004">
      <c r="B582" s="94">
        <v>45740</v>
      </c>
      <c r="C582" s="99">
        <v>3.22</v>
      </c>
      <c r="D582" s="99">
        <f t="shared" si="96"/>
        <v>-3.9999999999999591</v>
      </c>
      <c r="E582" s="99">
        <f t="shared" si="97"/>
        <v>0.3984363288721931</v>
      </c>
      <c r="F582" s="99">
        <f t="shared" si="98"/>
        <v>1.3489999999999851</v>
      </c>
      <c r="G582" s="99">
        <f t="shared" si="99"/>
        <v>0.77704305174539046</v>
      </c>
      <c r="H582" s="99" t="str">
        <f t="shared" si="100"/>
        <v/>
      </c>
      <c r="I582" s="99" t="str">
        <f t="shared" si="101"/>
        <v/>
      </c>
      <c r="J582" s="99" t="str">
        <f t="shared" si="102"/>
        <v/>
      </c>
      <c r="K582" s="99" t="str">
        <f t="shared" si="103"/>
        <v/>
      </c>
      <c r="L582" s="99" t="str">
        <f t="shared" si="104"/>
        <v/>
      </c>
      <c r="M582" s="106">
        <f>IF(D582="","",ABS(D582-G$5))</f>
        <v>3.9999999999999591</v>
      </c>
    </row>
    <row r="583" spans="2:13" ht="13.5" customHeight="1" x14ac:dyDescent="0.55000000000000004">
      <c r="B583" s="94">
        <v>45741</v>
      </c>
      <c r="C583" s="99">
        <v>3.22</v>
      </c>
      <c r="D583" s="99">
        <f t="shared" si="96"/>
        <v>0</v>
      </c>
      <c r="E583" s="99">
        <f t="shared" si="97"/>
        <v>2.1587520159630759E-2</v>
      </c>
      <c r="F583" s="99">
        <f t="shared" si="98"/>
        <v>0</v>
      </c>
      <c r="G583" s="99">
        <f t="shared" si="99"/>
        <v>4.4373623275862813E-2</v>
      </c>
      <c r="H583" s="99" t="str">
        <f t="shared" si="100"/>
        <v/>
      </c>
      <c r="I583" s="99" t="str">
        <f t="shared" si="101"/>
        <v/>
      </c>
      <c r="J583" s="99" t="str">
        <f t="shared" si="102"/>
        <v/>
      </c>
      <c r="K583" s="99" t="str">
        <f t="shared" si="103"/>
        <v/>
      </c>
      <c r="L583" s="99" t="str">
        <f t="shared" si="104"/>
        <v>STALE</v>
      </c>
      <c r="M583" s="106">
        <f>IF(D583="","",ABS(D583-G$5))</f>
        <v>0</v>
      </c>
    </row>
    <row r="584" spans="2:13" ht="13.5" customHeight="1" x14ac:dyDescent="0.55000000000000004">
      <c r="B584" s="94">
        <v>45742</v>
      </c>
      <c r="C584" s="99">
        <v>3.24</v>
      </c>
      <c r="D584" s="99">
        <f t="shared" si="96"/>
        <v>2.0000000000000018</v>
      </c>
      <c r="E584" s="99">
        <f t="shared" si="97"/>
        <v>0.16683688419665252</v>
      </c>
      <c r="F584" s="99">
        <f t="shared" si="98"/>
        <v>0.67449999999999999</v>
      </c>
      <c r="G584" s="99">
        <f t="shared" si="99"/>
        <v>0.35914828972189478</v>
      </c>
      <c r="H584" s="99" t="str">
        <f t="shared" si="100"/>
        <v/>
      </c>
      <c r="I584" s="99" t="str">
        <f t="shared" si="101"/>
        <v/>
      </c>
      <c r="J584" s="99" t="str">
        <f t="shared" si="102"/>
        <v/>
      </c>
      <c r="K584" s="99" t="str">
        <f t="shared" si="103"/>
        <v/>
      </c>
      <c r="L584" s="99" t="str">
        <f t="shared" si="104"/>
        <v/>
      </c>
      <c r="M584" s="106">
        <f>IF(D584="","",ABS(D584-G$5))</f>
        <v>2.0000000000000018</v>
      </c>
    </row>
    <row r="585" spans="2:13" ht="13.5" customHeight="1" x14ac:dyDescent="0.55000000000000004">
      <c r="B585" s="94">
        <v>45743</v>
      </c>
      <c r="C585" s="99">
        <v>3.33</v>
      </c>
      <c r="D585" s="99">
        <f t="shared" si="96"/>
        <v>8.9999999999999858</v>
      </c>
      <c r="E585" s="99">
        <f t="shared" si="97"/>
        <v>0.82632229944364188</v>
      </c>
      <c r="F585" s="99">
        <f t="shared" si="98"/>
        <v>3.0352499999999925</v>
      </c>
      <c r="G585" s="99">
        <f t="shared" si="99"/>
        <v>1.6128338368682797</v>
      </c>
      <c r="H585" s="99" t="str">
        <f t="shared" si="100"/>
        <v/>
      </c>
      <c r="I585" s="99" t="str">
        <f t="shared" si="101"/>
        <v>OUTLIER</v>
      </c>
      <c r="J585" s="99" t="str">
        <f t="shared" si="102"/>
        <v/>
      </c>
      <c r="K585" s="99" t="str">
        <f t="shared" si="103"/>
        <v/>
      </c>
      <c r="L585" s="99" t="str">
        <f t="shared" si="104"/>
        <v/>
      </c>
      <c r="M585" s="106">
        <f>IF(D585="","",ABS(D585-G$5))</f>
        <v>8.9999999999999858</v>
      </c>
    </row>
    <row r="586" spans="2:13" ht="13.5" customHeight="1" x14ac:dyDescent="0.55000000000000004">
      <c r="B586" s="94">
        <v>45744</v>
      </c>
      <c r="C586" s="99">
        <v>3.38</v>
      </c>
      <c r="D586" s="99">
        <f t="shared" si="96"/>
        <v>4.9999999999999822</v>
      </c>
      <c r="E586" s="99">
        <f t="shared" si="97"/>
        <v>0.44947349073107523</v>
      </c>
      <c r="F586" s="99">
        <f t="shared" si="98"/>
        <v>1.6862499999999925</v>
      </c>
      <c r="G586" s="99">
        <f t="shared" si="99"/>
        <v>0.88757471686572686</v>
      </c>
      <c r="H586" s="99" t="str">
        <f t="shared" si="100"/>
        <v/>
      </c>
      <c r="I586" s="99" t="str">
        <f t="shared" si="101"/>
        <v/>
      </c>
      <c r="J586" s="99" t="str">
        <f t="shared" si="102"/>
        <v/>
      </c>
      <c r="K586" s="99" t="str">
        <f t="shared" si="103"/>
        <v/>
      </c>
      <c r="L586" s="99" t="str">
        <f t="shared" si="104"/>
        <v/>
      </c>
      <c r="M586" s="106">
        <f>IF(D586="","",ABS(D586-G$5))</f>
        <v>4.9999999999999822</v>
      </c>
    </row>
    <row r="587" spans="2:13" ht="13.5" customHeight="1" x14ac:dyDescent="0.55000000000000004">
      <c r="B587" s="94">
        <v>45747</v>
      </c>
      <c r="C587" s="99">
        <v>3.44</v>
      </c>
      <c r="D587" s="99">
        <f t="shared" si="96"/>
        <v>6.0000000000000053</v>
      </c>
      <c r="E587" s="99">
        <f t="shared" si="97"/>
        <v>0.54368569290921898</v>
      </c>
      <c r="F587" s="99">
        <f t="shared" si="98"/>
        <v>2.0234999999999999</v>
      </c>
      <c r="G587" s="99">
        <f t="shared" si="99"/>
        <v>1.0655136928830493</v>
      </c>
      <c r="H587" s="99" t="str">
        <f t="shared" si="100"/>
        <v/>
      </c>
      <c r="I587" s="99" t="str">
        <f t="shared" si="101"/>
        <v/>
      </c>
      <c r="J587" s="99" t="str">
        <f t="shared" si="102"/>
        <v/>
      </c>
      <c r="K587" s="99" t="str">
        <f t="shared" si="103"/>
        <v/>
      </c>
      <c r="L587" s="99" t="str">
        <f t="shared" si="104"/>
        <v/>
      </c>
      <c r="M587" s="106">
        <f>IF(D587="","",ABS(D587-G$5))</f>
        <v>6.0000000000000053</v>
      </c>
    </row>
    <row r="588" spans="2:13" ht="13.5" customHeight="1" x14ac:dyDescent="0.55000000000000004">
      <c r="B588" s="94">
        <v>45748</v>
      </c>
      <c r="C588" s="99">
        <v>3.51</v>
      </c>
      <c r="D588" s="99">
        <f t="shared" si="96"/>
        <v>6.999999999999984</v>
      </c>
      <c r="E588" s="99">
        <f t="shared" si="97"/>
        <v>0.6378978950873585</v>
      </c>
      <c r="F588" s="99">
        <f t="shared" si="98"/>
        <v>2.3607499999999924</v>
      </c>
      <c r="G588" s="99">
        <f t="shared" si="99"/>
        <v>1.2163854121712601</v>
      </c>
      <c r="H588" s="99" t="str">
        <f t="shared" si="100"/>
        <v/>
      </c>
      <c r="I588" s="99" t="str">
        <f t="shared" si="101"/>
        <v/>
      </c>
      <c r="J588" s="99" t="str">
        <f t="shared" si="102"/>
        <v/>
      </c>
      <c r="K588" s="99" t="str">
        <f t="shared" si="103"/>
        <v/>
      </c>
      <c r="L588" s="99" t="str">
        <f t="shared" si="104"/>
        <v/>
      </c>
      <c r="M588" s="106">
        <f>IF(D588="","",ABS(D588-G$5))</f>
        <v>6.999999999999984</v>
      </c>
    </row>
    <row r="589" spans="2:13" ht="13.5" customHeight="1" x14ac:dyDescent="0.55000000000000004">
      <c r="B589" s="94">
        <v>45749</v>
      </c>
      <c r="C589" s="99">
        <v>3.58</v>
      </c>
      <c r="D589" s="99">
        <f t="shared" si="96"/>
        <v>7.0000000000000284</v>
      </c>
      <c r="E589" s="99">
        <f t="shared" si="97"/>
        <v>0.63789789508736272</v>
      </c>
      <c r="F589" s="99">
        <f t="shared" si="98"/>
        <v>2.3607500000000075</v>
      </c>
      <c r="G589" s="99">
        <f t="shared" si="99"/>
        <v>1.1882258199639191</v>
      </c>
      <c r="H589" s="99" t="str">
        <f t="shared" si="100"/>
        <v/>
      </c>
      <c r="I589" s="99" t="str">
        <f t="shared" si="101"/>
        <v/>
      </c>
      <c r="J589" s="99" t="str">
        <f t="shared" si="102"/>
        <v/>
      </c>
      <c r="K589" s="99" t="str">
        <f t="shared" si="103"/>
        <v/>
      </c>
      <c r="L589" s="99" t="str">
        <f t="shared" si="104"/>
        <v/>
      </c>
      <c r="M589" s="106">
        <f>IF(D589="","",ABS(D589-G$5))</f>
        <v>7.0000000000000284</v>
      </c>
    </row>
    <row r="590" spans="2:13" ht="13.5" customHeight="1" x14ac:dyDescent="0.55000000000000004">
      <c r="B590" s="94">
        <v>45750</v>
      </c>
      <c r="C590" s="99">
        <v>3.77</v>
      </c>
      <c r="D590" s="99">
        <f t="shared" si="96"/>
        <v>18.999999999999993</v>
      </c>
      <c r="E590" s="99">
        <f t="shared" si="97"/>
        <v>1.7684443212250578</v>
      </c>
      <c r="F590" s="99">
        <f t="shared" si="98"/>
        <v>6.4077499999999921</v>
      </c>
      <c r="G590" s="99">
        <f t="shared" si="99"/>
        <v>2.3380061435538262</v>
      </c>
      <c r="H590" s="99" t="str">
        <f t="shared" si="100"/>
        <v/>
      </c>
      <c r="I590" s="99" t="str">
        <f t="shared" si="101"/>
        <v>OUTLIER</v>
      </c>
      <c r="J590" s="99" t="str">
        <f t="shared" si="102"/>
        <v/>
      </c>
      <c r="K590" s="99" t="str">
        <f t="shared" si="103"/>
        <v/>
      </c>
      <c r="L590" s="99" t="str">
        <f t="shared" si="104"/>
        <v/>
      </c>
      <c r="M590" s="106">
        <f>IF(D590="","",ABS(D590-G$5))</f>
        <v>18.999999999999993</v>
      </c>
    </row>
    <row r="591" spans="2:13" ht="13.5" customHeight="1" x14ac:dyDescent="0.55000000000000004">
      <c r="B591" s="94">
        <v>45751</v>
      </c>
      <c r="C591" s="99">
        <v>4.03</v>
      </c>
      <c r="D591" s="99">
        <f t="shared" si="96"/>
        <v>26.000000000000021</v>
      </c>
      <c r="E591" s="99">
        <f t="shared" si="97"/>
        <v>2.4279297364720511</v>
      </c>
      <c r="F591" s="99">
        <f t="shared" si="98"/>
        <v>8.7684999999999995</v>
      </c>
      <c r="G591" s="99">
        <f t="shared" si="99"/>
        <v>2.3103268090919769</v>
      </c>
      <c r="H591" s="99" t="str">
        <f t="shared" si="100"/>
        <v/>
      </c>
      <c r="I591" s="99" t="str">
        <f t="shared" si="101"/>
        <v>OUTLIER</v>
      </c>
      <c r="J591" s="99" t="str">
        <f t="shared" si="102"/>
        <v/>
      </c>
      <c r="K591" s="99" t="str">
        <f t="shared" si="103"/>
        <v/>
      </c>
      <c r="L591" s="99" t="str">
        <f t="shared" si="104"/>
        <v/>
      </c>
      <c r="M591" s="106">
        <f>IF(D591="","",ABS(D591-G$5))</f>
        <v>26.000000000000021</v>
      </c>
    </row>
    <row r="592" spans="2:13" ht="13.5" customHeight="1" x14ac:dyDescent="0.55000000000000004">
      <c r="B592" s="94">
        <v>45754</v>
      </c>
      <c r="C592" s="99">
        <v>4.38</v>
      </c>
      <c r="D592" s="99">
        <f t="shared" si="96"/>
        <v>34.999999999999964</v>
      </c>
      <c r="E592" s="99">
        <f t="shared" si="97"/>
        <v>3.27583955607532</v>
      </c>
      <c r="F592" s="99">
        <f t="shared" si="98"/>
        <v>11.803749999999978</v>
      </c>
      <c r="G592" s="99">
        <f t="shared" si="99"/>
        <v>2.2784789039187543</v>
      </c>
      <c r="H592" s="99" t="str">
        <f t="shared" si="100"/>
        <v>OUTLIER</v>
      </c>
      <c r="I592" s="99" t="str">
        <f t="shared" si="101"/>
        <v>OUTLIER</v>
      </c>
      <c r="J592" s="99" t="str">
        <f t="shared" si="102"/>
        <v/>
      </c>
      <c r="K592" s="99" t="str">
        <f t="shared" si="103"/>
        <v/>
      </c>
      <c r="L592" s="99" t="str">
        <f t="shared" si="104"/>
        <v/>
      </c>
      <c r="M592" s="106">
        <f>IF(D592="","",ABS(D592-G$5))</f>
        <v>34.999999999999964</v>
      </c>
    </row>
    <row r="593" spans="2:13" ht="13.5" customHeight="1" x14ac:dyDescent="0.55000000000000004">
      <c r="B593" s="94">
        <v>45755</v>
      </c>
      <c r="C593" s="99">
        <v>4.47</v>
      </c>
      <c r="D593" s="99">
        <f t="shared" si="96"/>
        <v>8.9999999999999858</v>
      </c>
      <c r="E593" s="99">
        <f t="shared" si="97"/>
        <v>0.82632229944364188</v>
      </c>
      <c r="F593" s="99">
        <f t="shared" si="98"/>
        <v>3.0352499999999925</v>
      </c>
      <c r="G593" s="99">
        <f t="shared" si="99"/>
        <v>0.59500886441854872</v>
      </c>
      <c r="H593" s="99" t="str">
        <f t="shared" si="100"/>
        <v/>
      </c>
      <c r="I593" s="99" t="str">
        <f t="shared" si="101"/>
        <v>OUTLIER</v>
      </c>
      <c r="J593" s="99" t="str">
        <f t="shared" si="102"/>
        <v/>
      </c>
      <c r="K593" s="99" t="str">
        <f t="shared" si="103"/>
        <v/>
      </c>
      <c r="L593" s="99" t="str">
        <f t="shared" si="104"/>
        <v/>
      </c>
      <c r="M593" s="106">
        <f>IF(D593="","",ABS(D593-G$5))</f>
        <v>8.9999999999999858</v>
      </c>
    </row>
    <row r="594" spans="2:13" ht="13.5" customHeight="1" x14ac:dyDescent="0.55000000000000004">
      <c r="B594" s="94">
        <v>45756</v>
      </c>
      <c r="C594" s="99">
        <v>4.24</v>
      </c>
      <c r="D594" s="99">
        <f t="shared" si="96"/>
        <v>-22.999999999999954</v>
      </c>
      <c r="E594" s="99">
        <f t="shared" si="97"/>
        <v>2.1884681702568822</v>
      </c>
      <c r="F594" s="99">
        <f t="shared" si="98"/>
        <v>7.7567499999999772</v>
      </c>
      <c r="G594" s="99">
        <f t="shared" si="99"/>
        <v>1.4705538340810289</v>
      </c>
      <c r="H594" s="99" t="str">
        <f t="shared" si="100"/>
        <v/>
      </c>
      <c r="I594" s="99" t="str">
        <f t="shared" si="101"/>
        <v>OUTLIER</v>
      </c>
      <c r="J594" s="99" t="str">
        <f t="shared" si="102"/>
        <v/>
      </c>
      <c r="K594" s="99" t="str">
        <f t="shared" si="103"/>
        <v/>
      </c>
      <c r="L594" s="99" t="str">
        <f t="shared" si="104"/>
        <v/>
      </c>
      <c r="M594" s="106">
        <f>IF(D594="","",ABS(D594-G$5))</f>
        <v>22.999999999999954</v>
      </c>
    </row>
    <row r="595" spans="2:13" ht="13.5" customHeight="1" x14ac:dyDescent="0.55000000000000004">
      <c r="B595" s="94">
        <v>45757</v>
      </c>
      <c r="C595" s="99">
        <v>4.26</v>
      </c>
      <c r="D595" s="99">
        <f t="shared" si="96"/>
        <v>1.9999999999999574</v>
      </c>
      <c r="E595" s="99">
        <f t="shared" si="97"/>
        <v>0.16683688419664833</v>
      </c>
      <c r="F595" s="99">
        <f t="shared" si="98"/>
        <v>0.674499999999985</v>
      </c>
      <c r="G595" s="99">
        <f t="shared" si="99"/>
        <v>0.11808873952671464</v>
      </c>
      <c r="H595" s="99" t="str">
        <f t="shared" si="100"/>
        <v/>
      </c>
      <c r="I595" s="99" t="str">
        <f t="shared" si="101"/>
        <v/>
      </c>
      <c r="J595" s="99" t="str">
        <f t="shared" si="102"/>
        <v/>
      </c>
      <c r="K595" s="99" t="str">
        <f t="shared" si="103"/>
        <v/>
      </c>
      <c r="L595" s="99" t="str">
        <f t="shared" si="104"/>
        <v/>
      </c>
      <c r="M595" s="106">
        <f>IF(D595="","",ABS(D595-G$5))</f>
        <v>1.9999999999999574</v>
      </c>
    </row>
    <row r="596" spans="2:13" ht="13.5" customHeight="1" x14ac:dyDescent="0.55000000000000004">
      <c r="B596" s="94">
        <v>45758</v>
      </c>
      <c r="C596" s="99">
        <v>4.3499999999999996</v>
      </c>
      <c r="D596" s="99">
        <f t="shared" si="96"/>
        <v>8.9999999999999858</v>
      </c>
      <c r="E596" s="99">
        <f t="shared" si="97"/>
        <v>0.82632229944364188</v>
      </c>
      <c r="F596" s="99">
        <f t="shared" si="98"/>
        <v>3.0352499999999925</v>
      </c>
      <c r="G596" s="99">
        <f t="shared" si="99"/>
        <v>0.60512350609151389</v>
      </c>
      <c r="H596" s="99" t="str">
        <f t="shared" si="100"/>
        <v/>
      </c>
      <c r="I596" s="99" t="str">
        <f t="shared" si="101"/>
        <v>OUTLIER</v>
      </c>
      <c r="J596" s="99" t="str">
        <f t="shared" si="102"/>
        <v/>
      </c>
      <c r="K596" s="99" t="str">
        <f t="shared" si="103"/>
        <v/>
      </c>
      <c r="L596" s="99" t="str">
        <f t="shared" si="104"/>
        <v/>
      </c>
      <c r="M596" s="106">
        <f>IF(D596="","",ABS(D596-G$5))</f>
        <v>8.9999999999999858</v>
      </c>
    </row>
    <row r="597" spans="2:13" ht="13.5" customHeight="1" x14ac:dyDescent="0.55000000000000004">
      <c r="B597" s="94">
        <v>45761</v>
      </c>
      <c r="C597" s="99">
        <v>4.2699999999999996</v>
      </c>
      <c r="D597" s="99">
        <f t="shared" si="96"/>
        <v>-8.0000000000000071</v>
      </c>
      <c r="E597" s="99">
        <f t="shared" si="97"/>
        <v>0.77528513758476369</v>
      </c>
      <c r="F597" s="99">
        <f t="shared" si="98"/>
        <v>2.698</v>
      </c>
      <c r="G597" s="99">
        <f t="shared" si="99"/>
        <v>0.58802200375316793</v>
      </c>
      <c r="H597" s="99" t="str">
        <f t="shared" si="100"/>
        <v/>
      </c>
      <c r="I597" s="99" t="str">
        <f t="shared" si="101"/>
        <v/>
      </c>
      <c r="J597" s="99" t="str">
        <f t="shared" si="102"/>
        <v/>
      </c>
      <c r="K597" s="99" t="str">
        <f t="shared" si="103"/>
        <v/>
      </c>
      <c r="L597" s="99" t="str">
        <f t="shared" si="104"/>
        <v/>
      </c>
      <c r="M597" s="106">
        <f>IF(D597="","",ABS(D597-G$5))</f>
        <v>8.0000000000000071</v>
      </c>
    </row>
    <row r="598" spans="2:13" ht="13.5" customHeight="1" x14ac:dyDescent="0.55000000000000004">
      <c r="B598" s="94">
        <v>45762</v>
      </c>
      <c r="C598" s="99">
        <v>4.22</v>
      </c>
      <c r="D598" s="99">
        <f t="shared" si="96"/>
        <v>-4.9999999999999822</v>
      </c>
      <c r="E598" s="99">
        <f t="shared" si="97"/>
        <v>0.49264853105033685</v>
      </c>
      <c r="F598" s="99">
        <f t="shared" si="98"/>
        <v>1.6862499999999925</v>
      </c>
      <c r="G598" s="99">
        <f t="shared" si="99"/>
        <v>0.39084567495018746</v>
      </c>
      <c r="H598" s="99" t="str">
        <f t="shared" si="100"/>
        <v/>
      </c>
      <c r="I598" s="99" t="str">
        <f t="shared" si="101"/>
        <v/>
      </c>
      <c r="J598" s="99" t="str">
        <f t="shared" si="102"/>
        <v/>
      </c>
      <c r="K598" s="99" t="str">
        <f t="shared" si="103"/>
        <v/>
      </c>
      <c r="L598" s="99" t="str">
        <f t="shared" si="104"/>
        <v/>
      </c>
      <c r="M598" s="106">
        <f>IF(D598="","",ABS(D598-G$5))</f>
        <v>4.9999999999999822</v>
      </c>
    </row>
    <row r="599" spans="2:13" ht="13.5" customHeight="1" x14ac:dyDescent="0.55000000000000004">
      <c r="B599" s="94">
        <v>45763</v>
      </c>
      <c r="C599" s="99">
        <v>4.3</v>
      </c>
      <c r="D599" s="99">
        <f t="shared" si="96"/>
        <v>8.0000000000000071</v>
      </c>
      <c r="E599" s="99">
        <f t="shared" si="97"/>
        <v>0.73211009726550225</v>
      </c>
      <c r="F599" s="99">
        <f t="shared" si="98"/>
        <v>2.698</v>
      </c>
      <c r="G599" s="99">
        <f t="shared" si="99"/>
        <v>0.60108037085836785</v>
      </c>
      <c r="H599" s="99" t="str">
        <f t="shared" si="100"/>
        <v/>
      </c>
      <c r="I599" s="99" t="str">
        <f t="shared" si="101"/>
        <v/>
      </c>
      <c r="J599" s="99" t="str">
        <f t="shared" si="102"/>
        <v/>
      </c>
      <c r="K599" s="99" t="str">
        <f t="shared" si="103"/>
        <v/>
      </c>
      <c r="L599" s="99" t="str">
        <f t="shared" si="104"/>
        <v/>
      </c>
      <c r="M599" s="106">
        <f>IF(D599="","",ABS(D599-G$5))</f>
        <v>8.0000000000000071</v>
      </c>
    </row>
    <row r="600" spans="2:13" ht="13.5" customHeight="1" x14ac:dyDescent="0.55000000000000004">
      <c r="B600" s="94">
        <v>45764</v>
      </c>
      <c r="C600" s="99">
        <v>4.38</v>
      </c>
      <c r="D600" s="99">
        <f t="shared" si="96"/>
        <v>8.0000000000000071</v>
      </c>
      <c r="E600" s="99">
        <f t="shared" si="97"/>
        <v>0.73211009726550225</v>
      </c>
      <c r="F600" s="99">
        <f t="shared" si="98"/>
        <v>2.698</v>
      </c>
      <c r="G600" s="99">
        <f t="shared" si="99"/>
        <v>0.62124730744444967</v>
      </c>
      <c r="H600" s="99" t="str">
        <f t="shared" si="100"/>
        <v/>
      </c>
      <c r="I600" s="99" t="str">
        <f t="shared" si="101"/>
        <v/>
      </c>
      <c r="J600" s="99" t="str">
        <f t="shared" si="102"/>
        <v/>
      </c>
      <c r="K600" s="99" t="str">
        <f t="shared" si="103"/>
        <v/>
      </c>
      <c r="L600" s="99" t="str">
        <f t="shared" si="104"/>
        <v/>
      </c>
      <c r="M600" s="106">
        <f>IF(D600="","",ABS(D600-G$5))</f>
        <v>8.0000000000000071</v>
      </c>
    </row>
    <row r="601" spans="2:13" ht="13.5" customHeight="1" x14ac:dyDescent="0.55000000000000004">
      <c r="B601" s="94">
        <v>45769</v>
      </c>
      <c r="C601" s="99">
        <v>4.25</v>
      </c>
      <c r="D601" s="99">
        <f t="shared" si="96"/>
        <v>-12.999999999999989</v>
      </c>
      <c r="E601" s="99">
        <f t="shared" si="97"/>
        <v>1.2463461484754699</v>
      </c>
      <c r="F601" s="99">
        <f t="shared" si="98"/>
        <v>4.3842499999999927</v>
      </c>
      <c r="G601" s="99">
        <f t="shared" si="99"/>
        <v>1.0513994789261503</v>
      </c>
      <c r="H601" s="99" t="str">
        <f t="shared" si="100"/>
        <v/>
      </c>
      <c r="I601" s="99" t="str">
        <f t="shared" si="101"/>
        <v>OUTLIER</v>
      </c>
      <c r="J601" s="99" t="str">
        <f t="shared" si="102"/>
        <v/>
      </c>
      <c r="K601" s="99" t="str">
        <f t="shared" si="103"/>
        <v/>
      </c>
      <c r="L601" s="99" t="str">
        <f t="shared" si="104"/>
        <v/>
      </c>
      <c r="M601" s="106">
        <f>IF(D601="","",ABS(D601-G$5))</f>
        <v>12.999999999999989</v>
      </c>
    </row>
    <row r="602" spans="2:13" ht="13.5" customHeight="1" x14ac:dyDescent="0.55000000000000004">
      <c r="B602" s="94">
        <v>45770</v>
      </c>
      <c r="C602" s="99">
        <v>4.16</v>
      </c>
      <c r="D602" s="99">
        <f t="shared" si="96"/>
        <v>-8.9999999999999858</v>
      </c>
      <c r="E602" s="99">
        <f t="shared" si="97"/>
        <v>0.86949733976290322</v>
      </c>
      <c r="F602" s="99">
        <f t="shared" si="98"/>
        <v>3.0352499999999925</v>
      </c>
      <c r="G602" s="99">
        <f t="shared" si="99"/>
        <v>0.75104910041292494</v>
      </c>
      <c r="H602" s="99" t="str">
        <f t="shared" si="100"/>
        <v/>
      </c>
      <c r="I602" s="99" t="str">
        <f t="shared" si="101"/>
        <v>OUTLIER</v>
      </c>
      <c r="J602" s="99" t="str">
        <f t="shared" si="102"/>
        <v/>
      </c>
      <c r="K602" s="99" t="str">
        <f t="shared" si="103"/>
        <v/>
      </c>
      <c r="L602" s="99" t="str">
        <f t="shared" si="104"/>
        <v/>
      </c>
      <c r="M602" s="106">
        <f>IF(D602="","",ABS(D602-G$5))</f>
        <v>8.9999999999999858</v>
      </c>
    </row>
    <row r="603" spans="2:13" ht="13.5" customHeight="1" x14ac:dyDescent="0.55000000000000004">
      <c r="B603" s="94">
        <v>45771</v>
      </c>
      <c r="C603" s="99">
        <v>4.12</v>
      </c>
      <c r="D603" s="99">
        <f t="shared" si="96"/>
        <v>-4.0000000000000036</v>
      </c>
      <c r="E603" s="99">
        <f t="shared" si="97"/>
        <v>0.39843632887219732</v>
      </c>
      <c r="F603" s="99">
        <f t="shared" si="98"/>
        <v>1.349</v>
      </c>
      <c r="G603" s="99">
        <f t="shared" si="99"/>
        <v>0.36041146919537265</v>
      </c>
      <c r="H603" s="99" t="str">
        <f t="shared" si="100"/>
        <v/>
      </c>
      <c r="I603" s="99" t="str">
        <f t="shared" si="101"/>
        <v/>
      </c>
      <c r="J603" s="99" t="str">
        <f t="shared" si="102"/>
        <v/>
      </c>
      <c r="K603" s="99" t="str">
        <f t="shared" si="103"/>
        <v/>
      </c>
      <c r="L603" s="99" t="str">
        <f t="shared" si="104"/>
        <v/>
      </c>
      <c r="M603" s="106">
        <f>IF(D603="","",ABS(D603-G$5))</f>
        <v>4.0000000000000036</v>
      </c>
    </row>
    <row r="604" spans="2:13" ht="13.5" customHeight="1" x14ac:dyDescent="0.55000000000000004">
      <c r="B604" s="94">
        <v>45772</v>
      </c>
      <c r="C604" s="99">
        <v>4.17</v>
      </c>
      <c r="D604" s="99">
        <f t="shared" si="96"/>
        <v>4.9999999999999822</v>
      </c>
      <c r="E604" s="99">
        <f t="shared" si="97"/>
        <v>0.44947349073107523</v>
      </c>
      <c r="F604" s="99">
        <f t="shared" si="98"/>
        <v>1.6862499999999925</v>
      </c>
      <c r="G604" s="99">
        <f t="shared" si="99"/>
        <v>0.42468828491698535</v>
      </c>
      <c r="H604" s="99" t="str">
        <f t="shared" si="100"/>
        <v/>
      </c>
      <c r="I604" s="99" t="str">
        <f t="shared" si="101"/>
        <v/>
      </c>
      <c r="J604" s="99" t="str">
        <f t="shared" si="102"/>
        <v/>
      </c>
      <c r="K604" s="99" t="str">
        <f t="shared" si="103"/>
        <v/>
      </c>
      <c r="L604" s="99" t="str">
        <f t="shared" si="104"/>
        <v/>
      </c>
      <c r="M604" s="106">
        <f>IF(D604="","",ABS(D604-G$5))</f>
        <v>4.9999999999999822</v>
      </c>
    </row>
    <row r="605" spans="2:13" ht="13.5" customHeight="1" x14ac:dyDescent="0.55000000000000004">
      <c r="B605" s="94">
        <v>45775</v>
      </c>
      <c r="C605" s="99">
        <v>4.1399999999999997</v>
      </c>
      <c r="D605" s="99">
        <f t="shared" si="96"/>
        <v>-3.0000000000000249</v>
      </c>
      <c r="E605" s="99">
        <f t="shared" si="97"/>
        <v>0.30422412669405774</v>
      </c>
      <c r="F605" s="99">
        <f t="shared" si="98"/>
        <v>1.0117500000000075</v>
      </c>
      <c r="G605" s="99">
        <f t="shared" si="99"/>
        <v>0.3016158236551052</v>
      </c>
      <c r="H605" s="99" t="str">
        <f t="shared" si="100"/>
        <v/>
      </c>
      <c r="I605" s="99" t="str">
        <f t="shared" si="101"/>
        <v/>
      </c>
      <c r="J605" s="99" t="str">
        <f t="shared" si="102"/>
        <v/>
      </c>
      <c r="K605" s="99" t="str">
        <f t="shared" si="103"/>
        <v/>
      </c>
      <c r="L605" s="99" t="str">
        <f t="shared" si="104"/>
        <v/>
      </c>
      <c r="M605" s="106">
        <f>IF(D605="","",ABS(D605-G$5))</f>
        <v>3.0000000000000249</v>
      </c>
    </row>
    <row r="606" spans="2:13" ht="13.5" customHeight="1" x14ac:dyDescent="0.55000000000000004">
      <c r="B606" s="94">
        <v>45776</v>
      </c>
      <c r="C606" s="99">
        <v>4.0999999999999996</v>
      </c>
      <c r="D606" s="99">
        <f t="shared" si="96"/>
        <v>-4.0000000000000036</v>
      </c>
      <c r="E606" s="99">
        <f t="shared" si="97"/>
        <v>0.39843632887219732</v>
      </c>
      <c r="F606" s="99">
        <f t="shared" si="98"/>
        <v>1.349</v>
      </c>
      <c r="G606" s="99">
        <f t="shared" si="99"/>
        <v>0.41282456695348041</v>
      </c>
      <c r="H606" s="99" t="str">
        <f t="shared" si="100"/>
        <v/>
      </c>
      <c r="I606" s="99" t="str">
        <f t="shared" si="101"/>
        <v/>
      </c>
      <c r="J606" s="99" t="str">
        <f t="shared" si="102"/>
        <v/>
      </c>
      <c r="K606" s="99" t="str">
        <f t="shared" si="103"/>
        <v/>
      </c>
      <c r="L606" s="99" t="str">
        <f t="shared" si="104"/>
        <v/>
      </c>
      <c r="M606" s="106">
        <f>IF(D606="","",ABS(D606-G$5))</f>
        <v>4.0000000000000036</v>
      </c>
    </row>
    <row r="607" spans="2:13" ht="13.5" customHeight="1" x14ac:dyDescent="0.55000000000000004">
      <c r="B607" s="94">
        <v>45777</v>
      </c>
      <c r="C607" s="99">
        <v>4.1900000000000004</v>
      </c>
      <c r="D607" s="99">
        <f t="shared" si="96"/>
        <v>9.0000000000000746</v>
      </c>
      <c r="E607" s="99">
        <f t="shared" si="97"/>
        <v>0.82632229944365021</v>
      </c>
      <c r="F607" s="99">
        <f t="shared" si="98"/>
        <v>3.0352500000000222</v>
      </c>
      <c r="G607" s="99">
        <f t="shared" si="99"/>
        <v>0.8678255002792018</v>
      </c>
      <c r="H607" s="99" t="str">
        <f t="shared" si="100"/>
        <v/>
      </c>
      <c r="I607" s="99" t="str">
        <f t="shared" si="101"/>
        <v>OUTLIER</v>
      </c>
      <c r="J607" s="99" t="str">
        <f t="shared" si="102"/>
        <v/>
      </c>
      <c r="K607" s="99" t="str">
        <f t="shared" si="103"/>
        <v/>
      </c>
      <c r="L607" s="99" t="str">
        <f t="shared" si="104"/>
        <v/>
      </c>
      <c r="M607" s="106">
        <f>IF(D607="","",ABS(D607-G$5))</f>
        <v>9.0000000000000746</v>
      </c>
    </row>
    <row r="608" spans="2:13" ht="13.5" customHeight="1" x14ac:dyDescent="0.55000000000000004">
      <c r="B608" s="94">
        <v>45778</v>
      </c>
      <c r="C608" s="99">
        <v>4.1900000000000004</v>
      </c>
      <c r="D608" s="99">
        <f t="shared" si="96"/>
        <v>0</v>
      </c>
      <c r="E608" s="99">
        <f t="shared" si="97"/>
        <v>2.1587520159630759E-2</v>
      </c>
      <c r="F608" s="99">
        <f t="shared" si="98"/>
        <v>0</v>
      </c>
      <c r="G608" s="99">
        <f t="shared" si="99"/>
        <v>2.3897476015939587E-2</v>
      </c>
      <c r="H608" s="99" t="str">
        <f t="shared" si="100"/>
        <v/>
      </c>
      <c r="I608" s="99" t="str">
        <f t="shared" si="101"/>
        <v/>
      </c>
      <c r="J608" s="99" t="str">
        <f t="shared" si="102"/>
        <v/>
      </c>
      <c r="K608" s="99" t="str">
        <f t="shared" si="103"/>
        <v/>
      </c>
      <c r="L608" s="99" t="str">
        <f t="shared" si="104"/>
        <v>STALE</v>
      </c>
      <c r="M608" s="106">
        <f>IF(D608="","",ABS(D608-G$5))</f>
        <v>0</v>
      </c>
    </row>
    <row r="609" spans="2:13" ht="13.5" customHeight="1" x14ac:dyDescent="0.55000000000000004">
      <c r="B609" s="94">
        <v>45779</v>
      </c>
      <c r="C609" s="99">
        <v>4.13</v>
      </c>
      <c r="D609" s="99">
        <f t="shared" si="96"/>
        <v>-6.0000000000000497</v>
      </c>
      <c r="E609" s="99">
        <f t="shared" si="97"/>
        <v>0.58686073322848475</v>
      </c>
      <c r="F609" s="99">
        <f t="shared" si="98"/>
        <v>2.023500000000015</v>
      </c>
      <c r="G609" s="99">
        <f t="shared" si="99"/>
        <v>0.66928566212725915</v>
      </c>
      <c r="H609" s="99" t="str">
        <f t="shared" si="100"/>
        <v/>
      </c>
      <c r="I609" s="99" t="str">
        <f t="shared" si="101"/>
        <v/>
      </c>
      <c r="J609" s="99" t="str">
        <f t="shared" si="102"/>
        <v/>
      </c>
      <c r="K609" s="99" t="str">
        <f t="shared" si="103"/>
        <v/>
      </c>
      <c r="L609" s="99" t="str">
        <f t="shared" si="104"/>
        <v/>
      </c>
      <c r="M609" s="106">
        <f>IF(D609="","",ABS(D609-G$5))</f>
        <v>6.0000000000000497</v>
      </c>
    </row>
    <row r="610" spans="2:13" ht="13.5" customHeight="1" x14ac:dyDescent="0.55000000000000004">
      <c r="B610" s="94">
        <v>45782</v>
      </c>
      <c r="C610" s="99">
        <v>4.04</v>
      </c>
      <c r="D610" s="99">
        <f t="shared" si="96"/>
        <v>-8.9999999999999858</v>
      </c>
      <c r="E610" s="99">
        <f t="shared" si="97"/>
        <v>0.86949733976290322</v>
      </c>
      <c r="F610" s="99">
        <f t="shared" si="98"/>
        <v>3.0352499999999925</v>
      </c>
      <c r="G610" s="99">
        <f t="shared" si="99"/>
        <v>0.99244739911988589</v>
      </c>
      <c r="H610" s="99" t="str">
        <f t="shared" si="100"/>
        <v/>
      </c>
      <c r="I610" s="99" t="str">
        <f t="shared" si="101"/>
        <v>OUTLIER</v>
      </c>
      <c r="J610" s="99" t="str">
        <f t="shared" si="102"/>
        <v/>
      </c>
      <c r="K610" s="99" t="str">
        <f t="shared" si="103"/>
        <v/>
      </c>
      <c r="L610" s="99" t="str">
        <f t="shared" si="104"/>
        <v/>
      </c>
      <c r="M610" s="106">
        <f>IF(D610="","",ABS(D610-G$5))</f>
        <v>8.9999999999999858</v>
      </c>
    </row>
    <row r="611" spans="2:13" ht="13.5" customHeight="1" x14ac:dyDescent="0.55000000000000004">
      <c r="B611" s="94">
        <v>45783</v>
      </c>
      <c r="C611" s="99">
        <v>4.01</v>
      </c>
      <c r="D611" s="99">
        <f t="shared" si="96"/>
        <v>-3.0000000000000249</v>
      </c>
      <c r="E611" s="99">
        <f t="shared" si="97"/>
        <v>0.30422412669405774</v>
      </c>
      <c r="F611" s="99">
        <f t="shared" si="98"/>
        <v>1.0117500000000075</v>
      </c>
      <c r="G611" s="99">
        <f t="shared" si="99"/>
        <v>0.36359820255856778</v>
      </c>
      <c r="H611" s="99" t="str">
        <f t="shared" si="100"/>
        <v/>
      </c>
      <c r="I611" s="99" t="str">
        <f t="shared" si="101"/>
        <v/>
      </c>
      <c r="J611" s="99" t="str">
        <f t="shared" si="102"/>
        <v/>
      </c>
      <c r="K611" s="99" t="str">
        <f t="shared" si="103"/>
        <v/>
      </c>
      <c r="L611" s="99" t="str">
        <f t="shared" si="104"/>
        <v/>
      </c>
      <c r="M611" s="106">
        <f>IF(D611="","",ABS(D611-G$5))</f>
        <v>3.0000000000000249</v>
      </c>
    </row>
    <row r="612" spans="2:13" ht="13.5" customHeight="1" x14ac:dyDescent="0.55000000000000004">
      <c r="B612" s="94">
        <v>45784</v>
      </c>
      <c r="C612" s="99">
        <v>3.97</v>
      </c>
      <c r="D612" s="99">
        <f t="shared" si="96"/>
        <v>-3.9999999999999591</v>
      </c>
      <c r="E612" s="99">
        <f t="shared" si="97"/>
        <v>0.3984363288721931</v>
      </c>
      <c r="F612" s="99">
        <f t="shared" si="98"/>
        <v>1.3489999999999851</v>
      </c>
      <c r="G612" s="99">
        <f t="shared" si="99"/>
        <v>0.4957495166640562</v>
      </c>
      <c r="H612" s="99" t="str">
        <f t="shared" si="100"/>
        <v/>
      </c>
      <c r="I612" s="99" t="str">
        <f t="shared" si="101"/>
        <v/>
      </c>
      <c r="J612" s="99" t="str">
        <f t="shared" si="102"/>
        <v/>
      </c>
      <c r="K612" s="99" t="str">
        <f t="shared" si="103"/>
        <v/>
      </c>
      <c r="L612" s="99" t="str">
        <f t="shared" si="104"/>
        <v/>
      </c>
      <c r="M612" s="106">
        <f>IF(D612="","",ABS(D612-G$5))</f>
        <v>3.9999999999999591</v>
      </c>
    </row>
    <row r="613" spans="2:13" ht="13.5" customHeight="1" x14ac:dyDescent="0.55000000000000004">
      <c r="B613" s="94">
        <v>45785</v>
      </c>
      <c r="C613" s="99">
        <v>3.91</v>
      </c>
      <c r="D613" s="99">
        <f t="shared" si="96"/>
        <v>-6.0000000000000053</v>
      </c>
      <c r="E613" s="99">
        <f t="shared" si="97"/>
        <v>0.58686073322848054</v>
      </c>
      <c r="F613" s="99">
        <f t="shared" si="98"/>
        <v>2.0234999999999999</v>
      </c>
      <c r="G613" s="99">
        <f t="shared" si="99"/>
        <v>0.747858512108319</v>
      </c>
      <c r="H613" s="99" t="str">
        <f t="shared" si="100"/>
        <v/>
      </c>
      <c r="I613" s="99" t="str">
        <f t="shared" si="101"/>
        <v/>
      </c>
      <c r="J613" s="99" t="str">
        <f t="shared" si="102"/>
        <v/>
      </c>
      <c r="K613" s="99" t="str">
        <f t="shared" si="103"/>
        <v/>
      </c>
      <c r="L613" s="99" t="str">
        <f t="shared" si="104"/>
        <v/>
      </c>
      <c r="M613" s="106">
        <f>IF(D613="","",ABS(D613-G$5))</f>
        <v>6.0000000000000053</v>
      </c>
    </row>
    <row r="614" spans="2:13" ht="13.5" customHeight="1" x14ac:dyDescent="0.55000000000000004">
      <c r="B614" s="94">
        <v>45786</v>
      </c>
      <c r="C614" s="99">
        <v>3.82</v>
      </c>
      <c r="D614" s="99">
        <f t="shared" si="96"/>
        <v>-9.0000000000000302</v>
      </c>
      <c r="E614" s="99">
        <f t="shared" si="97"/>
        <v>0.86949733976290744</v>
      </c>
      <c r="F614" s="99">
        <f t="shared" si="98"/>
        <v>3.0352500000000076</v>
      </c>
      <c r="G614" s="99">
        <f t="shared" si="99"/>
        <v>1.0956273727059651</v>
      </c>
      <c r="H614" s="99" t="str">
        <f t="shared" si="100"/>
        <v/>
      </c>
      <c r="I614" s="99" t="str">
        <f t="shared" si="101"/>
        <v>OUTLIER</v>
      </c>
      <c r="J614" s="99" t="str">
        <f t="shared" si="102"/>
        <v/>
      </c>
      <c r="K614" s="99" t="str">
        <f t="shared" si="103"/>
        <v/>
      </c>
      <c r="L614" s="99" t="str">
        <f t="shared" si="104"/>
        <v/>
      </c>
      <c r="M614" s="106">
        <f>IF(D614="","",ABS(D614-G$5))</f>
        <v>9.0000000000000302</v>
      </c>
    </row>
    <row r="615" spans="2:13" ht="13.5" customHeight="1" x14ac:dyDescent="0.55000000000000004">
      <c r="B615" s="94">
        <v>45789</v>
      </c>
      <c r="C615" s="99">
        <v>3.68</v>
      </c>
      <c r="D615" s="99">
        <f t="shared" si="96"/>
        <v>-13.999999999999968</v>
      </c>
      <c r="E615" s="99">
        <f t="shared" si="97"/>
        <v>1.3405583506536094</v>
      </c>
      <c r="F615" s="99">
        <f t="shared" si="98"/>
        <v>4.7214999999999847</v>
      </c>
      <c r="G615" s="99">
        <f t="shared" si="99"/>
        <v>1.5515261753629093</v>
      </c>
      <c r="H615" s="99" t="str">
        <f t="shared" si="100"/>
        <v/>
      </c>
      <c r="I615" s="99" t="str">
        <f t="shared" si="101"/>
        <v>OUTLIER</v>
      </c>
      <c r="J615" s="99" t="str">
        <f t="shared" si="102"/>
        <v/>
      </c>
      <c r="K615" s="99" t="str">
        <f t="shared" si="103"/>
        <v/>
      </c>
      <c r="L615" s="99" t="str">
        <f t="shared" si="104"/>
        <v/>
      </c>
      <c r="M615" s="106">
        <f>IF(D615="","",ABS(D615-G$5))</f>
        <v>13.999999999999968</v>
      </c>
    </row>
    <row r="616" spans="2:13" ht="13.5" customHeight="1" x14ac:dyDescent="0.55000000000000004">
      <c r="B616" s="94">
        <v>45790</v>
      </c>
      <c r="C616" s="99">
        <v>3.65</v>
      </c>
      <c r="D616" s="99">
        <f t="shared" si="96"/>
        <v>-3.0000000000000249</v>
      </c>
      <c r="E616" s="99">
        <f t="shared" si="97"/>
        <v>0.30422412669405774</v>
      </c>
      <c r="F616" s="99">
        <f t="shared" si="98"/>
        <v>1.0117500000000075</v>
      </c>
      <c r="G616" s="99">
        <f t="shared" si="99"/>
        <v>0.36861668960701499</v>
      </c>
      <c r="H616" s="99" t="str">
        <f t="shared" si="100"/>
        <v/>
      </c>
      <c r="I616" s="99" t="str">
        <f t="shared" si="101"/>
        <v/>
      </c>
      <c r="J616" s="99" t="str">
        <f t="shared" si="102"/>
        <v/>
      </c>
      <c r="K616" s="99" t="str">
        <f t="shared" si="103"/>
        <v/>
      </c>
      <c r="L616" s="99" t="str">
        <f t="shared" si="104"/>
        <v/>
      </c>
      <c r="M616" s="106">
        <f>IF(D616="","",ABS(D616-G$5))</f>
        <v>3.0000000000000249</v>
      </c>
    </row>
    <row r="617" spans="2:13" ht="13.5" customHeight="1" x14ac:dyDescent="0.55000000000000004">
      <c r="B617" s="94">
        <v>45791</v>
      </c>
      <c r="C617" s="99">
        <v>3.64</v>
      </c>
      <c r="D617" s="99">
        <f t="shared" si="96"/>
        <v>-0.99999999999997868</v>
      </c>
      <c r="E617" s="99">
        <f t="shared" si="97"/>
        <v>0.11579972233777029</v>
      </c>
      <c r="F617" s="99">
        <f t="shared" si="98"/>
        <v>0.3372499999999925</v>
      </c>
      <c r="G617" s="99">
        <f t="shared" si="99"/>
        <v>0.14773831043841629</v>
      </c>
      <c r="H617" s="99" t="str">
        <f t="shared" si="100"/>
        <v/>
      </c>
      <c r="I617" s="99" t="str">
        <f t="shared" si="101"/>
        <v/>
      </c>
      <c r="J617" s="99" t="str">
        <f t="shared" si="102"/>
        <v/>
      </c>
      <c r="K617" s="99" t="str">
        <f t="shared" si="103"/>
        <v/>
      </c>
      <c r="L617" s="99" t="str">
        <f t="shared" si="104"/>
        <v/>
      </c>
      <c r="M617" s="106">
        <f>IF(D617="","",ABS(D617-G$5))</f>
        <v>0.99999999999997868</v>
      </c>
    </row>
    <row r="618" spans="2:13" ht="13.5" customHeight="1" x14ac:dyDescent="0.55000000000000004">
      <c r="B618" s="94">
        <v>45792</v>
      </c>
      <c r="C618" s="99">
        <v>3.6</v>
      </c>
      <c r="D618" s="99">
        <f t="shared" si="96"/>
        <v>-4.0000000000000036</v>
      </c>
      <c r="E618" s="99">
        <f t="shared" si="97"/>
        <v>0.39843632887219732</v>
      </c>
      <c r="F618" s="99">
        <f t="shared" si="98"/>
        <v>1.349</v>
      </c>
      <c r="G618" s="99">
        <f t="shared" si="99"/>
        <v>0.5282951427556839</v>
      </c>
      <c r="H618" s="99" t="str">
        <f t="shared" si="100"/>
        <v/>
      </c>
      <c r="I618" s="99" t="str">
        <f t="shared" si="101"/>
        <v/>
      </c>
      <c r="J618" s="99" t="str">
        <f t="shared" si="102"/>
        <v/>
      </c>
      <c r="K618" s="99" t="str">
        <f t="shared" si="103"/>
        <v/>
      </c>
      <c r="L618" s="99" t="str">
        <f t="shared" si="104"/>
        <v/>
      </c>
      <c r="M618" s="106">
        <f>IF(D618="","",ABS(D618-G$5))</f>
        <v>4.0000000000000036</v>
      </c>
    </row>
    <row r="619" spans="2:13" ht="13.5" customHeight="1" x14ac:dyDescent="0.55000000000000004">
      <c r="B619" s="94">
        <v>45793</v>
      </c>
      <c r="C619" s="99">
        <v>3.62</v>
      </c>
      <c r="D619" s="99">
        <f t="shared" si="96"/>
        <v>2.0000000000000018</v>
      </c>
      <c r="E619" s="99">
        <f t="shared" si="97"/>
        <v>0.16683688419665252</v>
      </c>
      <c r="F619" s="99">
        <f t="shared" si="98"/>
        <v>0.67449999999999999</v>
      </c>
      <c r="G619" s="99">
        <f t="shared" si="99"/>
        <v>0.23254715150950964</v>
      </c>
      <c r="H619" s="99" t="str">
        <f t="shared" si="100"/>
        <v/>
      </c>
      <c r="I619" s="99" t="str">
        <f t="shared" si="101"/>
        <v/>
      </c>
      <c r="J619" s="99" t="str">
        <f t="shared" si="102"/>
        <v/>
      </c>
      <c r="K619" s="99" t="str">
        <f t="shared" si="103"/>
        <v/>
      </c>
      <c r="L619" s="99" t="str">
        <f t="shared" si="104"/>
        <v/>
      </c>
      <c r="M619" s="106">
        <f>IF(D619="","",ABS(D619-G$5))</f>
        <v>2.0000000000000018</v>
      </c>
    </row>
    <row r="620" spans="2:13" ht="13.5" customHeight="1" x14ac:dyDescent="0.55000000000000004">
      <c r="B620" s="94">
        <v>45796</v>
      </c>
      <c r="C620" s="99">
        <v>3.6</v>
      </c>
      <c r="D620" s="99">
        <f t="shared" si="96"/>
        <v>-2.0000000000000018</v>
      </c>
      <c r="E620" s="99">
        <f t="shared" si="97"/>
        <v>0.21001192451591399</v>
      </c>
      <c r="F620" s="99">
        <f t="shared" si="98"/>
        <v>0.67449999999999999</v>
      </c>
      <c r="G620" s="99">
        <f t="shared" si="99"/>
        <v>0.30710293812307954</v>
      </c>
      <c r="H620" s="99" t="str">
        <f t="shared" si="100"/>
        <v/>
      </c>
      <c r="I620" s="99" t="str">
        <f t="shared" si="101"/>
        <v/>
      </c>
      <c r="J620" s="99" t="str">
        <f t="shared" si="102"/>
        <v/>
      </c>
      <c r="K620" s="99" t="str">
        <f t="shared" si="103"/>
        <v/>
      </c>
      <c r="L620" s="99" t="str">
        <f t="shared" si="104"/>
        <v/>
      </c>
      <c r="M620" s="106">
        <f>IF(D620="","",ABS(D620-G$5))</f>
        <v>2.0000000000000018</v>
      </c>
    </row>
    <row r="621" spans="2:13" ht="13.5" customHeight="1" x14ac:dyDescent="0.55000000000000004">
      <c r="B621" s="94">
        <v>45797</v>
      </c>
      <c r="C621" s="99">
        <v>3.57</v>
      </c>
      <c r="D621" s="99">
        <f t="shared" ref="D621:D684" si="105">IF(OR(C621="",C620=""),"",(C621-C620)*100)</f>
        <v>-3.0000000000000249</v>
      </c>
      <c r="E621" s="99">
        <f t="shared" ref="E621:E684" si="106">IF(D621="","",ABS(D621-$E$5)/$F$5)</f>
        <v>0.30422412669405774</v>
      </c>
      <c r="F621" s="99">
        <f t="shared" ref="F621:F684" si="107">IF(D621="","",ABS(D621-$G$5)/$H$5)</f>
        <v>1.0117500000000075</v>
      </c>
      <c r="G621" s="99">
        <f t="shared" ref="G621:G684" si="108">IF(D621="","",ABS(D621-$E$5)/SQRT(0.9*(IF(G620="",($F$5)^2,(ABS(D620-$E$5)/MAX(G620,0.0000000001))^2))+0.1*(D621-$E$5)^2))</f>
        <v>0.46386232046037323</v>
      </c>
      <c r="H621" s="99" t="str">
        <f t="shared" ref="H621:H684" si="109">IF(E621="","",IF(E621&gt;$I$5,"OUTLIER",""))</f>
        <v/>
      </c>
      <c r="I621" s="99" t="str">
        <f t="shared" ref="I621:I684" si="110">IF(F621="","",IF(F621&gt;$I$5,"OUTLIER",""))</f>
        <v/>
      </c>
      <c r="J621" s="99" t="str">
        <f t="shared" ref="J621:J684" si="111">IF(G621="","",IF(G621&gt;$I$5,"OUTLIER",""))</f>
        <v/>
      </c>
      <c r="K621" s="99" t="str">
        <f t="shared" ref="K621:K684" si="112">IF(C621="","MISSING","")</f>
        <v/>
      </c>
      <c r="L621" s="99" t="str">
        <f t="shared" ref="L621:L684" si="113">IF(AND(C621&lt;&gt;"",C620&lt;&gt;"",C621=C620),"STALE","")</f>
        <v/>
      </c>
      <c r="M621" s="106">
        <f>IF(D621="","",ABS(D621-G$5))</f>
        <v>3.0000000000000249</v>
      </c>
    </row>
    <row r="622" spans="2:13" ht="13.5" customHeight="1" x14ac:dyDescent="0.55000000000000004">
      <c r="B622" s="94">
        <v>45798</v>
      </c>
      <c r="C622" s="99">
        <v>3.6</v>
      </c>
      <c r="D622" s="99">
        <f t="shared" si="105"/>
        <v>3.0000000000000249</v>
      </c>
      <c r="E622" s="99">
        <f t="shared" si="106"/>
        <v>0.26104908637479624</v>
      </c>
      <c r="F622" s="99">
        <f t="shared" si="107"/>
        <v>1.0117500000000075</v>
      </c>
      <c r="G622" s="99">
        <f t="shared" si="108"/>
        <v>0.41591743336984938</v>
      </c>
      <c r="H622" s="99" t="str">
        <f t="shared" si="109"/>
        <v/>
      </c>
      <c r="I622" s="99" t="str">
        <f t="shared" si="110"/>
        <v/>
      </c>
      <c r="J622" s="99" t="str">
        <f t="shared" si="111"/>
        <v/>
      </c>
      <c r="K622" s="99" t="str">
        <f t="shared" si="112"/>
        <v/>
      </c>
      <c r="L622" s="99" t="str">
        <f t="shared" si="113"/>
        <v/>
      </c>
      <c r="M622" s="106">
        <f>IF(D622="","",ABS(D622-G$5))</f>
        <v>3.0000000000000249</v>
      </c>
    </row>
    <row r="623" spans="2:13" ht="13.5" customHeight="1" x14ac:dyDescent="0.55000000000000004">
      <c r="B623" s="94">
        <v>45799</v>
      </c>
      <c r="C623" s="99">
        <v>3.64</v>
      </c>
      <c r="D623" s="99">
        <f t="shared" si="105"/>
        <v>4.0000000000000036</v>
      </c>
      <c r="E623" s="99">
        <f t="shared" si="106"/>
        <v>0.35526128855293576</v>
      </c>
      <c r="F623" s="99">
        <f t="shared" si="107"/>
        <v>1.349</v>
      </c>
      <c r="G623" s="99">
        <f t="shared" si="108"/>
        <v>0.58629476877656517</v>
      </c>
      <c r="H623" s="99" t="str">
        <f t="shared" si="109"/>
        <v/>
      </c>
      <c r="I623" s="99" t="str">
        <f t="shared" si="110"/>
        <v/>
      </c>
      <c r="J623" s="99" t="str">
        <f t="shared" si="111"/>
        <v/>
      </c>
      <c r="K623" s="99" t="str">
        <f t="shared" si="112"/>
        <v/>
      </c>
      <c r="L623" s="99" t="str">
        <f t="shared" si="113"/>
        <v/>
      </c>
      <c r="M623" s="106">
        <f>IF(D623="","",ABS(D623-G$5))</f>
        <v>4.0000000000000036</v>
      </c>
    </row>
    <row r="624" spans="2:13" ht="13.5" customHeight="1" x14ac:dyDescent="0.55000000000000004">
      <c r="B624" s="94">
        <v>45800</v>
      </c>
      <c r="C624" s="99">
        <v>3.68</v>
      </c>
      <c r="D624" s="99">
        <f t="shared" si="105"/>
        <v>4.0000000000000036</v>
      </c>
      <c r="E624" s="99">
        <f t="shared" si="106"/>
        <v>0.35526128855293576</v>
      </c>
      <c r="F624" s="99">
        <f t="shared" si="107"/>
        <v>1.349</v>
      </c>
      <c r="G624" s="99">
        <f t="shared" si="108"/>
        <v>0.60653464194751405</v>
      </c>
      <c r="H624" s="99" t="str">
        <f t="shared" si="109"/>
        <v/>
      </c>
      <c r="I624" s="99" t="str">
        <f t="shared" si="110"/>
        <v/>
      </c>
      <c r="J624" s="99" t="str">
        <f t="shared" si="111"/>
        <v/>
      </c>
      <c r="K624" s="99" t="str">
        <f t="shared" si="112"/>
        <v/>
      </c>
      <c r="L624" s="99" t="str">
        <f t="shared" si="113"/>
        <v/>
      </c>
      <c r="M624" s="106">
        <f>IF(D624="","",ABS(D624-G$5))</f>
        <v>4.0000000000000036</v>
      </c>
    </row>
    <row r="625" spans="2:13" ht="13.5" customHeight="1" x14ac:dyDescent="0.55000000000000004">
      <c r="B625" s="94">
        <v>45803</v>
      </c>
      <c r="C625" s="99"/>
      <c r="D625" s="99" t="str">
        <f t="shared" si="105"/>
        <v/>
      </c>
      <c r="E625" s="99" t="str">
        <f t="shared" si="106"/>
        <v/>
      </c>
      <c r="F625" s="99" t="str">
        <f t="shared" si="107"/>
        <v/>
      </c>
      <c r="G625" s="99" t="str">
        <f t="shared" si="108"/>
        <v/>
      </c>
      <c r="H625" s="99" t="str">
        <f t="shared" si="109"/>
        <v/>
      </c>
      <c r="I625" s="99" t="str">
        <f t="shared" si="110"/>
        <v/>
      </c>
      <c r="J625" s="99" t="str">
        <f t="shared" si="111"/>
        <v/>
      </c>
      <c r="K625" s="99" t="str">
        <f t="shared" si="112"/>
        <v>MISSING</v>
      </c>
      <c r="L625" s="99" t="str">
        <f t="shared" si="113"/>
        <v/>
      </c>
      <c r="M625" s="106" t="str">
        <f>IF(D625="","",ABS(D625-G$5))</f>
        <v/>
      </c>
    </row>
    <row r="626" spans="2:13" ht="13.5" customHeight="1" x14ac:dyDescent="0.55000000000000004">
      <c r="B626" s="94">
        <v>45804</v>
      </c>
      <c r="C626" s="99">
        <v>3.64</v>
      </c>
      <c r="D626" s="99" t="str">
        <f t="shared" si="105"/>
        <v/>
      </c>
      <c r="E626" s="99" t="str">
        <f t="shared" si="106"/>
        <v/>
      </c>
      <c r="F626" s="99" t="str">
        <f t="shared" si="107"/>
        <v/>
      </c>
      <c r="G626" s="99" t="str">
        <f t="shared" si="108"/>
        <v/>
      </c>
      <c r="H626" s="99" t="str">
        <f t="shared" si="109"/>
        <v/>
      </c>
      <c r="I626" s="99" t="str">
        <f t="shared" si="110"/>
        <v/>
      </c>
      <c r="J626" s="99" t="str">
        <f t="shared" si="111"/>
        <v/>
      </c>
      <c r="K626" s="99" t="str">
        <f t="shared" si="112"/>
        <v/>
      </c>
      <c r="L626" s="99" t="str">
        <f t="shared" si="113"/>
        <v/>
      </c>
      <c r="M626" s="106" t="str">
        <f>IF(D626="","",ABS(D626-G$5))</f>
        <v/>
      </c>
    </row>
    <row r="627" spans="2:13" ht="13.5" customHeight="1" x14ac:dyDescent="0.55000000000000004">
      <c r="B627" s="94">
        <v>45805</v>
      </c>
      <c r="C627" s="99">
        <v>3.64</v>
      </c>
      <c r="D627" s="99">
        <f t="shared" si="105"/>
        <v>0</v>
      </c>
      <c r="E627" s="99">
        <f t="shared" si="106"/>
        <v>2.1587520159630759E-2</v>
      </c>
      <c r="F627" s="99">
        <f t="shared" si="107"/>
        <v>0</v>
      </c>
      <c r="G627" s="99">
        <f t="shared" si="108"/>
        <v>2.2754655134718329E-2</v>
      </c>
      <c r="H627" s="99" t="str">
        <f t="shared" si="109"/>
        <v/>
      </c>
      <c r="I627" s="99" t="str">
        <f t="shared" si="110"/>
        <v/>
      </c>
      <c r="J627" s="99" t="str">
        <f t="shared" si="111"/>
        <v/>
      </c>
      <c r="K627" s="99" t="str">
        <f t="shared" si="112"/>
        <v/>
      </c>
      <c r="L627" s="99" t="str">
        <f t="shared" si="113"/>
        <v>STALE</v>
      </c>
      <c r="M627" s="106">
        <f>IF(D627="","",ABS(D627-G$5))</f>
        <v>0</v>
      </c>
    </row>
    <row r="628" spans="2:13" ht="13.5" customHeight="1" x14ac:dyDescent="0.55000000000000004">
      <c r="B628" s="94">
        <v>45806</v>
      </c>
      <c r="C628" s="99">
        <v>3.64</v>
      </c>
      <c r="D628" s="99">
        <f t="shared" si="105"/>
        <v>0</v>
      </c>
      <c r="E628" s="99">
        <f t="shared" si="106"/>
        <v>2.1587520159630759E-2</v>
      </c>
      <c r="F628" s="99">
        <f t="shared" si="107"/>
        <v>0</v>
      </c>
      <c r="G628" s="99">
        <f t="shared" si="108"/>
        <v>2.398482261318198E-2</v>
      </c>
      <c r="H628" s="99" t="str">
        <f t="shared" si="109"/>
        <v/>
      </c>
      <c r="I628" s="99" t="str">
        <f t="shared" si="110"/>
        <v/>
      </c>
      <c r="J628" s="99" t="str">
        <f t="shared" si="111"/>
        <v/>
      </c>
      <c r="K628" s="99" t="str">
        <f t="shared" si="112"/>
        <v/>
      </c>
      <c r="L628" s="99" t="str">
        <f t="shared" si="113"/>
        <v>STALE</v>
      </c>
      <c r="M628" s="106">
        <f>IF(D628="","",ABS(D628-G$5))</f>
        <v>0</v>
      </c>
    </row>
    <row r="629" spans="2:13" ht="13.5" customHeight="1" x14ac:dyDescent="0.55000000000000004">
      <c r="B629" s="94">
        <v>45807</v>
      </c>
      <c r="C629" s="99">
        <v>3.62</v>
      </c>
      <c r="D629" s="99">
        <f t="shared" si="105"/>
        <v>-2.0000000000000018</v>
      </c>
      <c r="E629" s="99">
        <f t="shared" si="106"/>
        <v>0.21001192451591399</v>
      </c>
      <c r="F629" s="99">
        <f t="shared" si="107"/>
        <v>0.67449999999999999</v>
      </c>
      <c r="G629" s="99">
        <f t="shared" si="108"/>
        <v>0.24521486840133155</v>
      </c>
      <c r="H629" s="99" t="str">
        <f t="shared" si="109"/>
        <v/>
      </c>
      <c r="I629" s="99" t="str">
        <f t="shared" si="110"/>
        <v/>
      </c>
      <c r="J629" s="99" t="str">
        <f t="shared" si="111"/>
        <v/>
      </c>
      <c r="K629" s="99" t="str">
        <f t="shared" si="112"/>
        <v/>
      </c>
      <c r="L629" s="99" t="str">
        <f t="shared" si="113"/>
        <v/>
      </c>
      <c r="M629" s="106">
        <f>IF(D629="","",ABS(D629-G$5))</f>
        <v>2.0000000000000018</v>
      </c>
    </row>
    <row r="630" spans="2:13" ht="13.5" customHeight="1" x14ac:dyDescent="0.55000000000000004">
      <c r="B630" s="94">
        <v>45810</v>
      </c>
      <c r="C630" s="99">
        <v>3.59</v>
      </c>
      <c r="D630" s="99">
        <f t="shared" si="105"/>
        <v>-3.0000000000000249</v>
      </c>
      <c r="E630" s="99">
        <f t="shared" si="106"/>
        <v>0.30422412669405774</v>
      </c>
      <c r="F630" s="99">
        <f t="shared" si="107"/>
        <v>1.0117500000000075</v>
      </c>
      <c r="G630" s="99">
        <f t="shared" si="108"/>
        <v>0.37183645489681899</v>
      </c>
      <c r="H630" s="99" t="str">
        <f t="shared" si="109"/>
        <v/>
      </c>
      <c r="I630" s="99" t="str">
        <f t="shared" si="110"/>
        <v/>
      </c>
      <c r="J630" s="99" t="str">
        <f t="shared" si="111"/>
        <v/>
      </c>
      <c r="K630" s="99" t="str">
        <f t="shared" si="112"/>
        <v/>
      </c>
      <c r="L630" s="99" t="str">
        <f t="shared" si="113"/>
        <v/>
      </c>
      <c r="M630" s="106">
        <f>IF(D630="","",ABS(D630-G$5))</f>
        <v>3.0000000000000249</v>
      </c>
    </row>
    <row r="631" spans="2:13" ht="13.5" customHeight="1" x14ac:dyDescent="0.55000000000000004">
      <c r="B631" s="94">
        <v>45811</v>
      </c>
      <c r="C631" s="99">
        <v>3.62</v>
      </c>
      <c r="D631" s="99">
        <f t="shared" si="105"/>
        <v>3.0000000000000249</v>
      </c>
      <c r="E631" s="99">
        <f t="shared" si="106"/>
        <v>0.26104908637479624</v>
      </c>
      <c r="F631" s="99">
        <f t="shared" si="107"/>
        <v>1.0117500000000075</v>
      </c>
      <c r="G631" s="99">
        <f t="shared" si="108"/>
        <v>0.33443888924979992</v>
      </c>
      <c r="H631" s="99" t="str">
        <f t="shared" si="109"/>
        <v/>
      </c>
      <c r="I631" s="99" t="str">
        <f t="shared" si="110"/>
        <v/>
      </c>
      <c r="J631" s="99" t="str">
        <f t="shared" si="111"/>
        <v/>
      </c>
      <c r="K631" s="99" t="str">
        <f t="shared" si="112"/>
        <v/>
      </c>
      <c r="L631" s="99" t="str">
        <f t="shared" si="113"/>
        <v/>
      </c>
      <c r="M631" s="106">
        <f>IF(D631="","",ABS(D631-G$5))</f>
        <v>3.0000000000000249</v>
      </c>
    </row>
    <row r="632" spans="2:13" ht="13.5" customHeight="1" x14ac:dyDescent="0.55000000000000004">
      <c r="B632" s="94">
        <v>45812</v>
      </c>
      <c r="C632" s="99">
        <v>3.6</v>
      </c>
      <c r="D632" s="99">
        <f t="shared" si="105"/>
        <v>-2.0000000000000018</v>
      </c>
      <c r="E632" s="99">
        <f t="shared" si="106"/>
        <v>0.21001192451591399</v>
      </c>
      <c r="F632" s="99">
        <f t="shared" si="107"/>
        <v>0.67449999999999999</v>
      </c>
      <c r="G632" s="99">
        <f t="shared" si="108"/>
        <v>0.28247349264990235</v>
      </c>
      <c r="H632" s="99" t="str">
        <f t="shared" si="109"/>
        <v/>
      </c>
      <c r="I632" s="99" t="str">
        <f t="shared" si="110"/>
        <v/>
      </c>
      <c r="J632" s="99" t="str">
        <f t="shared" si="111"/>
        <v/>
      </c>
      <c r="K632" s="99" t="str">
        <f t="shared" si="112"/>
        <v/>
      </c>
      <c r="L632" s="99" t="str">
        <f t="shared" si="113"/>
        <v/>
      </c>
      <c r="M632" s="106">
        <f>IF(D632="","",ABS(D632-G$5))</f>
        <v>2.0000000000000018</v>
      </c>
    </row>
    <row r="633" spans="2:13" ht="13.5" customHeight="1" x14ac:dyDescent="0.55000000000000004">
      <c r="B633" s="94">
        <v>45813</v>
      </c>
      <c r="C633" s="99">
        <v>3.57</v>
      </c>
      <c r="D633" s="99">
        <f t="shared" si="105"/>
        <v>-3.0000000000000249</v>
      </c>
      <c r="E633" s="99">
        <f t="shared" si="106"/>
        <v>0.30422412669405774</v>
      </c>
      <c r="F633" s="99">
        <f t="shared" si="107"/>
        <v>1.0117500000000075</v>
      </c>
      <c r="G633" s="99">
        <f t="shared" si="108"/>
        <v>0.42736937765696431</v>
      </c>
      <c r="H633" s="99" t="str">
        <f t="shared" si="109"/>
        <v/>
      </c>
      <c r="I633" s="99" t="str">
        <f t="shared" si="110"/>
        <v/>
      </c>
      <c r="J633" s="99" t="str">
        <f t="shared" si="111"/>
        <v/>
      </c>
      <c r="K633" s="99" t="str">
        <f t="shared" si="112"/>
        <v/>
      </c>
      <c r="L633" s="99" t="str">
        <f t="shared" si="113"/>
        <v/>
      </c>
      <c r="M633" s="106">
        <f>IF(D633="","",ABS(D633-G$5))</f>
        <v>3.0000000000000249</v>
      </c>
    </row>
    <row r="634" spans="2:13" ht="13.5" customHeight="1" x14ac:dyDescent="0.55000000000000004">
      <c r="B634" s="94">
        <v>45814</v>
      </c>
      <c r="C634" s="99">
        <v>3.55</v>
      </c>
      <c r="D634" s="99">
        <f t="shared" si="105"/>
        <v>-2.0000000000000018</v>
      </c>
      <c r="E634" s="99">
        <f t="shared" si="106"/>
        <v>0.21001192451591399</v>
      </c>
      <c r="F634" s="99">
        <f t="shared" si="107"/>
        <v>0.67449999999999999</v>
      </c>
      <c r="G634" s="99">
        <f t="shared" si="108"/>
        <v>0.30948708975067601</v>
      </c>
      <c r="H634" s="99" t="str">
        <f t="shared" si="109"/>
        <v/>
      </c>
      <c r="I634" s="99" t="str">
        <f t="shared" si="110"/>
        <v/>
      </c>
      <c r="J634" s="99" t="str">
        <f t="shared" si="111"/>
        <v/>
      </c>
      <c r="K634" s="99" t="str">
        <f t="shared" si="112"/>
        <v/>
      </c>
      <c r="L634" s="99" t="str">
        <f t="shared" si="113"/>
        <v/>
      </c>
      <c r="M634" s="106">
        <f>IF(D634="","",ABS(D634-G$5))</f>
        <v>2.0000000000000018</v>
      </c>
    </row>
    <row r="635" spans="2:13" ht="13.5" customHeight="1" x14ac:dyDescent="0.55000000000000004">
      <c r="B635" s="94">
        <v>45817</v>
      </c>
      <c r="C635" s="99">
        <v>3.55</v>
      </c>
      <c r="D635" s="99">
        <f t="shared" si="105"/>
        <v>0</v>
      </c>
      <c r="E635" s="99">
        <f t="shared" si="106"/>
        <v>2.1587520159630759E-2</v>
      </c>
      <c r="F635" s="99">
        <f t="shared" si="107"/>
        <v>0</v>
      </c>
      <c r="G635" s="99">
        <f t="shared" si="108"/>
        <v>3.3531707332200164E-2</v>
      </c>
      <c r="H635" s="99" t="str">
        <f t="shared" si="109"/>
        <v/>
      </c>
      <c r="I635" s="99" t="str">
        <f t="shared" si="110"/>
        <v/>
      </c>
      <c r="J635" s="99" t="str">
        <f t="shared" si="111"/>
        <v/>
      </c>
      <c r="K635" s="99" t="str">
        <f t="shared" si="112"/>
        <v/>
      </c>
      <c r="L635" s="99" t="str">
        <f t="shared" si="113"/>
        <v>STALE</v>
      </c>
      <c r="M635" s="106">
        <f>IF(D635="","",ABS(D635-G$5))</f>
        <v>0</v>
      </c>
    </row>
    <row r="636" spans="2:13" ht="13.5" customHeight="1" x14ac:dyDescent="0.55000000000000004">
      <c r="B636" s="94">
        <v>45818</v>
      </c>
      <c r="C636" s="99">
        <v>3.53</v>
      </c>
      <c r="D636" s="99">
        <f t="shared" si="105"/>
        <v>-2.0000000000000018</v>
      </c>
      <c r="E636" s="99">
        <f t="shared" si="106"/>
        <v>0.21001192451591399</v>
      </c>
      <c r="F636" s="99">
        <f t="shared" si="107"/>
        <v>0.67449999999999999</v>
      </c>
      <c r="G636" s="99">
        <f t="shared" si="108"/>
        <v>0.34184025181030425</v>
      </c>
      <c r="H636" s="99" t="str">
        <f t="shared" si="109"/>
        <v/>
      </c>
      <c r="I636" s="99" t="str">
        <f t="shared" si="110"/>
        <v/>
      </c>
      <c r="J636" s="99" t="str">
        <f t="shared" si="111"/>
        <v/>
      </c>
      <c r="K636" s="99" t="str">
        <f t="shared" si="112"/>
        <v/>
      </c>
      <c r="L636" s="99" t="str">
        <f t="shared" si="113"/>
        <v/>
      </c>
      <c r="M636" s="106">
        <f>IF(D636="","",ABS(D636-G$5))</f>
        <v>2.0000000000000018</v>
      </c>
    </row>
    <row r="637" spans="2:13" ht="13.5" customHeight="1" x14ac:dyDescent="0.55000000000000004">
      <c r="B637" s="94">
        <v>45819</v>
      </c>
      <c r="C637" s="99">
        <v>3.51</v>
      </c>
      <c r="D637" s="99">
        <f t="shared" si="105"/>
        <v>-2.0000000000000018</v>
      </c>
      <c r="E637" s="99">
        <f t="shared" si="106"/>
        <v>0.21001192451591399</v>
      </c>
      <c r="F637" s="99">
        <f t="shared" si="107"/>
        <v>0.67449999999999999</v>
      </c>
      <c r="G637" s="99">
        <f t="shared" si="108"/>
        <v>0.35801455381506714</v>
      </c>
      <c r="H637" s="99" t="str">
        <f t="shared" si="109"/>
        <v/>
      </c>
      <c r="I637" s="99" t="str">
        <f t="shared" si="110"/>
        <v/>
      </c>
      <c r="J637" s="99" t="str">
        <f t="shared" si="111"/>
        <v/>
      </c>
      <c r="K637" s="99" t="str">
        <f t="shared" si="112"/>
        <v/>
      </c>
      <c r="L637" s="99" t="str">
        <f t="shared" si="113"/>
        <v/>
      </c>
      <c r="M637" s="106">
        <f>IF(D637="","",ABS(D637-G$5))</f>
        <v>2.0000000000000018</v>
      </c>
    </row>
    <row r="638" spans="2:13" ht="13.5" customHeight="1" x14ac:dyDescent="0.55000000000000004">
      <c r="B638" s="94">
        <v>45820</v>
      </c>
      <c r="C638" s="99">
        <v>3.5</v>
      </c>
      <c r="D638" s="99">
        <f t="shared" si="105"/>
        <v>-0.99999999999997868</v>
      </c>
      <c r="E638" s="99">
        <f t="shared" si="106"/>
        <v>0.11579972233777029</v>
      </c>
      <c r="F638" s="99">
        <f t="shared" si="107"/>
        <v>0.3372499999999925</v>
      </c>
      <c r="G638" s="99">
        <f t="shared" si="108"/>
        <v>0.20763701491698328</v>
      </c>
      <c r="H638" s="99" t="str">
        <f t="shared" si="109"/>
        <v/>
      </c>
      <c r="I638" s="99" t="str">
        <f t="shared" si="110"/>
        <v/>
      </c>
      <c r="J638" s="99" t="str">
        <f t="shared" si="111"/>
        <v/>
      </c>
      <c r="K638" s="99" t="str">
        <f t="shared" si="112"/>
        <v/>
      </c>
      <c r="L638" s="99" t="str">
        <f t="shared" si="113"/>
        <v/>
      </c>
      <c r="M638" s="106">
        <f>IF(D638="","",ABS(D638-G$5))</f>
        <v>0.99999999999997868</v>
      </c>
    </row>
    <row r="639" spans="2:13" ht="13.5" customHeight="1" x14ac:dyDescent="0.55000000000000004">
      <c r="B639" s="94">
        <v>45821</v>
      </c>
      <c r="C639" s="99">
        <v>3.49</v>
      </c>
      <c r="D639" s="99">
        <f t="shared" si="105"/>
        <v>-0.99999999999997868</v>
      </c>
      <c r="E639" s="99">
        <f t="shared" si="106"/>
        <v>0.11579972233777029</v>
      </c>
      <c r="F639" s="99">
        <f t="shared" si="107"/>
        <v>0.3372499999999925</v>
      </c>
      <c r="G639" s="99">
        <f t="shared" si="108"/>
        <v>0.21834627874201587</v>
      </c>
      <c r="H639" s="99" t="str">
        <f t="shared" si="109"/>
        <v/>
      </c>
      <c r="I639" s="99" t="str">
        <f t="shared" si="110"/>
        <v/>
      </c>
      <c r="J639" s="99" t="str">
        <f t="shared" si="111"/>
        <v/>
      </c>
      <c r="K639" s="99" t="str">
        <f t="shared" si="112"/>
        <v/>
      </c>
      <c r="L639" s="99" t="str">
        <f t="shared" si="113"/>
        <v/>
      </c>
      <c r="M639" s="106">
        <f>IF(D639="","",ABS(D639-G$5))</f>
        <v>0.99999999999997868</v>
      </c>
    </row>
    <row r="640" spans="2:13" ht="13.5" customHeight="1" x14ac:dyDescent="0.55000000000000004">
      <c r="B640" s="94">
        <v>45824</v>
      </c>
      <c r="C640" s="99">
        <v>3.47</v>
      </c>
      <c r="D640" s="99">
        <f t="shared" si="105"/>
        <v>-2.0000000000000018</v>
      </c>
      <c r="E640" s="99">
        <f t="shared" si="106"/>
        <v>0.21001192451591399</v>
      </c>
      <c r="F640" s="99">
        <f t="shared" si="107"/>
        <v>0.67449999999999999</v>
      </c>
      <c r="G640" s="99">
        <f t="shared" si="108"/>
        <v>0.41381879287072881</v>
      </c>
      <c r="H640" s="99" t="str">
        <f t="shared" si="109"/>
        <v/>
      </c>
      <c r="I640" s="99" t="str">
        <f t="shared" si="110"/>
        <v/>
      </c>
      <c r="J640" s="99" t="str">
        <f t="shared" si="111"/>
        <v/>
      </c>
      <c r="K640" s="99" t="str">
        <f t="shared" si="112"/>
        <v/>
      </c>
      <c r="L640" s="99" t="str">
        <f t="shared" si="113"/>
        <v/>
      </c>
      <c r="M640" s="106">
        <f>IF(D640="","",ABS(D640-G$5))</f>
        <v>2.0000000000000018</v>
      </c>
    </row>
    <row r="641" spans="2:13" ht="13.5" customHeight="1" x14ac:dyDescent="0.55000000000000004">
      <c r="B641" s="94">
        <v>45825</v>
      </c>
      <c r="C641" s="99">
        <v>3.48</v>
      </c>
      <c r="D641" s="99">
        <f t="shared" si="105"/>
        <v>0.99999999999997868</v>
      </c>
      <c r="E641" s="99">
        <f t="shared" si="106"/>
        <v>7.2624682018508774E-2</v>
      </c>
      <c r="F641" s="99">
        <f t="shared" si="107"/>
        <v>0.3372499999999925</v>
      </c>
      <c r="G641" s="99">
        <f t="shared" si="108"/>
        <v>0.15067309439748236</v>
      </c>
      <c r="H641" s="99" t="str">
        <f t="shared" si="109"/>
        <v/>
      </c>
      <c r="I641" s="99" t="str">
        <f t="shared" si="110"/>
        <v/>
      </c>
      <c r="J641" s="99" t="str">
        <f t="shared" si="111"/>
        <v/>
      </c>
      <c r="K641" s="99" t="str">
        <f t="shared" si="112"/>
        <v/>
      </c>
      <c r="L641" s="99" t="str">
        <f t="shared" si="113"/>
        <v/>
      </c>
      <c r="M641" s="106">
        <f>IF(D641="","",ABS(D641-G$5))</f>
        <v>0.99999999999997868</v>
      </c>
    </row>
    <row r="642" spans="2:13" ht="13.5" customHeight="1" x14ac:dyDescent="0.55000000000000004">
      <c r="B642" s="94">
        <v>45826</v>
      </c>
      <c r="C642" s="99">
        <v>3.48</v>
      </c>
      <c r="D642" s="99">
        <f t="shared" si="105"/>
        <v>0</v>
      </c>
      <c r="E642" s="99">
        <f t="shared" si="106"/>
        <v>2.1587520159630759E-2</v>
      </c>
      <c r="F642" s="99">
        <f t="shared" si="107"/>
        <v>0</v>
      </c>
      <c r="G642" s="99">
        <f t="shared" si="108"/>
        <v>4.7204627324651575E-2</v>
      </c>
      <c r="H642" s="99" t="str">
        <f t="shared" si="109"/>
        <v/>
      </c>
      <c r="I642" s="99" t="str">
        <f t="shared" si="110"/>
        <v/>
      </c>
      <c r="J642" s="99" t="str">
        <f t="shared" si="111"/>
        <v/>
      </c>
      <c r="K642" s="99" t="str">
        <f t="shared" si="112"/>
        <v/>
      </c>
      <c r="L642" s="99" t="str">
        <f t="shared" si="113"/>
        <v>STALE</v>
      </c>
      <c r="M642" s="106">
        <f>IF(D642="","",ABS(D642-G$5))</f>
        <v>0</v>
      </c>
    </row>
    <row r="643" spans="2:13" ht="13.5" customHeight="1" x14ac:dyDescent="0.55000000000000004">
      <c r="B643" s="94">
        <v>45827</v>
      </c>
      <c r="C643" s="99"/>
      <c r="D643" s="99" t="str">
        <f t="shared" si="105"/>
        <v/>
      </c>
      <c r="E643" s="99" t="str">
        <f t="shared" si="106"/>
        <v/>
      </c>
      <c r="F643" s="99" t="str">
        <f t="shared" si="107"/>
        <v/>
      </c>
      <c r="G643" s="99" t="str">
        <f t="shared" si="108"/>
        <v/>
      </c>
      <c r="H643" s="99" t="str">
        <f t="shared" si="109"/>
        <v/>
      </c>
      <c r="I643" s="99" t="str">
        <f t="shared" si="110"/>
        <v/>
      </c>
      <c r="J643" s="99" t="str">
        <f t="shared" si="111"/>
        <v/>
      </c>
      <c r="K643" s="99" t="str">
        <f t="shared" si="112"/>
        <v>MISSING</v>
      </c>
      <c r="L643" s="99" t="str">
        <f t="shared" si="113"/>
        <v/>
      </c>
      <c r="M643" s="106" t="str">
        <f>IF(D643="","",ABS(D643-G$5))</f>
        <v/>
      </c>
    </row>
    <row r="644" spans="2:13" ht="13.5" customHeight="1" x14ac:dyDescent="0.55000000000000004">
      <c r="B644" s="94">
        <v>45828</v>
      </c>
      <c r="C644" s="99">
        <v>3.46</v>
      </c>
      <c r="D644" s="99" t="str">
        <f t="shared" si="105"/>
        <v/>
      </c>
      <c r="E644" s="99" t="str">
        <f t="shared" si="106"/>
        <v/>
      </c>
      <c r="F644" s="99" t="str">
        <f t="shared" si="107"/>
        <v/>
      </c>
      <c r="G644" s="99" t="str">
        <f t="shared" si="108"/>
        <v/>
      </c>
      <c r="H644" s="99" t="str">
        <f t="shared" si="109"/>
        <v/>
      </c>
      <c r="I644" s="99" t="str">
        <f t="shared" si="110"/>
        <v/>
      </c>
      <c r="J644" s="99" t="str">
        <f t="shared" si="111"/>
        <v/>
      </c>
      <c r="K644" s="99" t="str">
        <f t="shared" si="112"/>
        <v/>
      </c>
      <c r="L644" s="99" t="str">
        <f t="shared" si="113"/>
        <v/>
      </c>
      <c r="M644" s="106" t="str">
        <f>IF(D644="","",ABS(D644-G$5))</f>
        <v/>
      </c>
    </row>
    <row r="645" spans="2:13" ht="13.5" customHeight="1" x14ac:dyDescent="0.55000000000000004">
      <c r="B645" s="94">
        <v>45831</v>
      </c>
      <c r="C645" s="99">
        <v>3.44</v>
      </c>
      <c r="D645" s="99">
        <f t="shared" si="105"/>
        <v>-2.0000000000000018</v>
      </c>
      <c r="E645" s="99">
        <f t="shared" si="106"/>
        <v>0.21001192451591399</v>
      </c>
      <c r="F645" s="99">
        <f t="shared" si="107"/>
        <v>0.67449999999999999</v>
      </c>
      <c r="G645" s="99">
        <f t="shared" si="108"/>
        <v>0.22083156826923173</v>
      </c>
      <c r="H645" s="99" t="str">
        <f t="shared" si="109"/>
        <v/>
      </c>
      <c r="I645" s="99" t="str">
        <f t="shared" si="110"/>
        <v/>
      </c>
      <c r="J645" s="99" t="str">
        <f t="shared" si="111"/>
        <v/>
      </c>
      <c r="K645" s="99" t="str">
        <f t="shared" si="112"/>
        <v/>
      </c>
      <c r="L645" s="99" t="str">
        <f t="shared" si="113"/>
        <v/>
      </c>
      <c r="M645" s="106">
        <f>IF(D645="","",ABS(D645-G$5))</f>
        <v>2.0000000000000018</v>
      </c>
    </row>
    <row r="646" spans="2:13" ht="13.5" customHeight="1" x14ac:dyDescent="0.55000000000000004">
      <c r="B646" s="94">
        <v>45832</v>
      </c>
      <c r="C646" s="99">
        <v>3.45</v>
      </c>
      <c r="D646" s="99">
        <f t="shared" si="105"/>
        <v>1.0000000000000231</v>
      </c>
      <c r="E646" s="99">
        <f t="shared" si="106"/>
        <v>7.2624682018512965E-2</v>
      </c>
      <c r="F646" s="99">
        <f t="shared" si="107"/>
        <v>0.33725000000000749</v>
      </c>
      <c r="G646" s="99">
        <f t="shared" si="108"/>
        <v>8.0471024403043878E-2</v>
      </c>
      <c r="H646" s="99" t="str">
        <f t="shared" si="109"/>
        <v/>
      </c>
      <c r="I646" s="99" t="str">
        <f t="shared" si="110"/>
        <v/>
      </c>
      <c r="J646" s="99" t="str">
        <f t="shared" si="111"/>
        <v/>
      </c>
      <c r="K646" s="99" t="str">
        <f t="shared" si="112"/>
        <v/>
      </c>
      <c r="L646" s="99" t="str">
        <f t="shared" si="113"/>
        <v/>
      </c>
      <c r="M646" s="106">
        <f>IF(D646="","",ABS(D646-G$5))</f>
        <v>1.0000000000000231</v>
      </c>
    </row>
    <row r="647" spans="2:13" ht="13.5" customHeight="1" x14ac:dyDescent="0.55000000000000004">
      <c r="B647" s="94">
        <v>45833</v>
      </c>
      <c r="C647" s="99">
        <v>3.45</v>
      </c>
      <c r="D647" s="99">
        <f t="shared" si="105"/>
        <v>0</v>
      </c>
      <c r="E647" s="99">
        <f t="shared" si="106"/>
        <v>2.1587520159630759E-2</v>
      </c>
      <c r="F647" s="99">
        <f t="shared" si="107"/>
        <v>0</v>
      </c>
      <c r="G647" s="99">
        <f t="shared" si="108"/>
        <v>2.5212910560901781E-2</v>
      </c>
      <c r="H647" s="99" t="str">
        <f t="shared" si="109"/>
        <v/>
      </c>
      <c r="I647" s="99" t="str">
        <f t="shared" si="110"/>
        <v/>
      </c>
      <c r="J647" s="99" t="str">
        <f t="shared" si="111"/>
        <v/>
      </c>
      <c r="K647" s="99" t="str">
        <f t="shared" si="112"/>
        <v/>
      </c>
      <c r="L647" s="99" t="str">
        <f t="shared" si="113"/>
        <v>STALE</v>
      </c>
      <c r="M647" s="106">
        <f>IF(D647="","",ABS(D647-G$5))</f>
        <v>0</v>
      </c>
    </row>
    <row r="648" spans="2:13" ht="13.5" customHeight="1" x14ac:dyDescent="0.55000000000000004">
      <c r="B648" s="94">
        <v>45834</v>
      </c>
      <c r="C648" s="99">
        <v>3.44</v>
      </c>
      <c r="D648" s="99">
        <f t="shared" si="105"/>
        <v>-1.0000000000000231</v>
      </c>
      <c r="E648" s="99">
        <f t="shared" si="106"/>
        <v>0.11579972233777447</v>
      </c>
      <c r="F648" s="99">
        <f t="shared" si="107"/>
        <v>0.33725000000000749</v>
      </c>
      <c r="G648" s="99">
        <f t="shared" si="108"/>
        <v>0.14241823669209724</v>
      </c>
      <c r="H648" s="99" t="str">
        <f t="shared" si="109"/>
        <v/>
      </c>
      <c r="I648" s="99" t="str">
        <f t="shared" si="110"/>
        <v/>
      </c>
      <c r="J648" s="99" t="str">
        <f t="shared" si="111"/>
        <v/>
      </c>
      <c r="K648" s="99" t="str">
        <f t="shared" si="112"/>
        <v/>
      </c>
      <c r="L648" s="99" t="str">
        <f t="shared" si="113"/>
        <v/>
      </c>
      <c r="M648" s="106">
        <f>IF(D648="","",ABS(D648-G$5))</f>
        <v>1.0000000000000231</v>
      </c>
    </row>
    <row r="649" spans="2:13" ht="13.5" customHeight="1" x14ac:dyDescent="0.55000000000000004">
      <c r="B649" s="94">
        <v>45835</v>
      </c>
      <c r="C649" s="99">
        <v>3.43</v>
      </c>
      <c r="D649" s="99">
        <f t="shared" si="105"/>
        <v>-0.99999999999997868</v>
      </c>
      <c r="E649" s="99">
        <f t="shared" si="106"/>
        <v>0.11579972233777029</v>
      </c>
      <c r="F649" s="99">
        <f t="shared" si="107"/>
        <v>0.3372499999999925</v>
      </c>
      <c r="G649" s="99">
        <f t="shared" si="108"/>
        <v>0.1499531260593247</v>
      </c>
      <c r="H649" s="99" t="str">
        <f t="shared" si="109"/>
        <v/>
      </c>
      <c r="I649" s="99" t="str">
        <f t="shared" si="110"/>
        <v/>
      </c>
      <c r="J649" s="99" t="str">
        <f t="shared" si="111"/>
        <v/>
      </c>
      <c r="K649" s="99" t="str">
        <f t="shared" si="112"/>
        <v/>
      </c>
      <c r="L649" s="99" t="str">
        <f t="shared" si="113"/>
        <v/>
      </c>
      <c r="M649" s="106">
        <f>IF(D649="","",ABS(D649-G$5))</f>
        <v>0.99999999999997868</v>
      </c>
    </row>
    <row r="650" spans="2:13" ht="13.5" customHeight="1" x14ac:dyDescent="0.55000000000000004">
      <c r="B650" s="94">
        <v>45838</v>
      </c>
      <c r="C650" s="99">
        <v>3.43</v>
      </c>
      <c r="D650" s="99">
        <f t="shared" si="105"/>
        <v>0</v>
      </c>
      <c r="E650" s="99">
        <f t="shared" si="106"/>
        <v>2.1587520159630759E-2</v>
      </c>
      <c r="F650" s="99">
        <f t="shared" si="107"/>
        <v>0</v>
      </c>
      <c r="G650" s="99">
        <f t="shared" si="108"/>
        <v>2.9465285511084276E-2</v>
      </c>
      <c r="H650" s="99" t="str">
        <f t="shared" si="109"/>
        <v/>
      </c>
      <c r="I650" s="99" t="str">
        <f t="shared" si="110"/>
        <v/>
      </c>
      <c r="J650" s="99" t="str">
        <f t="shared" si="111"/>
        <v/>
      </c>
      <c r="K650" s="99" t="str">
        <f t="shared" si="112"/>
        <v/>
      </c>
      <c r="L650" s="99" t="str">
        <f t="shared" si="113"/>
        <v>STALE</v>
      </c>
      <c r="M650" s="106">
        <f>IF(D650="","",ABS(D650-G$5))</f>
        <v>0</v>
      </c>
    </row>
    <row r="651" spans="2:13" ht="13.5" customHeight="1" x14ac:dyDescent="0.55000000000000004">
      <c r="B651" s="94">
        <v>45839</v>
      </c>
      <c r="C651" s="99">
        <v>3.43</v>
      </c>
      <c r="D651" s="99">
        <f t="shared" si="105"/>
        <v>0</v>
      </c>
      <c r="E651" s="99">
        <f t="shared" si="106"/>
        <v>2.1587520159630759E-2</v>
      </c>
      <c r="F651" s="99">
        <f t="shared" si="107"/>
        <v>0</v>
      </c>
      <c r="G651" s="99">
        <f t="shared" si="108"/>
        <v>3.105764005808544E-2</v>
      </c>
      <c r="H651" s="99" t="str">
        <f t="shared" si="109"/>
        <v/>
      </c>
      <c r="I651" s="99" t="str">
        <f t="shared" si="110"/>
        <v/>
      </c>
      <c r="J651" s="99" t="str">
        <f t="shared" si="111"/>
        <v/>
      </c>
      <c r="K651" s="99" t="str">
        <f t="shared" si="112"/>
        <v/>
      </c>
      <c r="L651" s="99" t="str">
        <f t="shared" si="113"/>
        <v>STALE</v>
      </c>
      <c r="M651" s="106">
        <f>IF(D651="","",ABS(D651-G$5))</f>
        <v>0</v>
      </c>
    </row>
    <row r="652" spans="2:13" ht="13.5" customHeight="1" x14ac:dyDescent="0.55000000000000004">
      <c r="B652" s="94">
        <v>45840</v>
      </c>
      <c r="C652" s="99">
        <v>3.41</v>
      </c>
      <c r="D652" s="99">
        <f t="shared" si="105"/>
        <v>-2.0000000000000018</v>
      </c>
      <c r="E652" s="99">
        <f t="shared" si="106"/>
        <v>0.21001192451591399</v>
      </c>
      <c r="F652" s="99">
        <f t="shared" si="107"/>
        <v>0.67449999999999999</v>
      </c>
      <c r="G652" s="99">
        <f t="shared" si="108"/>
        <v>0.31688152169036127</v>
      </c>
      <c r="H652" s="99" t="str">
        <f t="shared" si="109"/>
        <v/>
      </c>
      <c r="I652" s="99" t="str">
        <f t="shared" si="110"/>
        <v/>
      </c>
      <c r="J652" s="99" t="str">
        <f t="shared" si="111"/>
        <v/>
      </c>
      <c r="K652" s="99" t="str">
        <f t="shared" si="112"/>
        <v/>
      </c>
      <c r="L652" s="99" t="str">
        <f t="shared" si="113"/>
        <v/>
      </c>
      <c r="M652" s="106">
        <f>IF(D652="","",ABS(D652-G$5))</f>
        <v>2.0000000000000018</v>
      </c>
    </row>
    <row r="653" spans="2:13" ht="13.5" customHeight="1" x14ac:dyDescent="0.55000000000000004">
      <c r="B653" s="94">
        <v>45841</v>
      </c>
      <c r="C653" s="99"/>
      <c r="D653" s="99" t="str">
        <f t="shared" si="105"/>
        <v/>
      </c>
      <c r="E653" s="99" t="str">
        <f t="shared" si="106"/>
        <v/>
      </c>
      <c r="F653" s="99" t="str">
        <f t="shared" si="107"/>
        <v/>
      </c>
      <c r="G653" s="99" t="str">
        <f t="shared" si="108"/>
        <v/>
      </c>
      <c r="H653" s="99" t="str">
        <f t="shared" si="109"/>
        <v/>
      </c>
      <c r="I653" s="99" t="str">
        <f t="shared" si="110"/>
        <v/>
      </c>
      <c r="J653" s="99" t="str">
        <f t="shared" si="111"/>
        <v/>
      </c>
      <c r="K653" s="99" t="str">
        <f t="shared" si="112"/>
        <v>MISSING</v>
      </c>
      <c r="L653" s="99" t="str">
        <f t="shared" si="113"/>
        <v/>
      </c>
      <c r="M653" s="106" t="str">
        <f>IF(D653="","",ABS(D653-G$5))</f>
        <v/>
      </c>
    </row>
    <row r="654" spans="2:13" ht="13.5" customHeight="1" x14ac:dyDescent="0.55000000000000004">
      <c r="B654" s="94">
        <v>45845</v>
      </c>
      <c r="C654" s="99">
        <v>3.41</v>
      </c>
      <c r="D654" s="99" t="str">
        <f t="shared" si="105"/>
        <v/>
      </c>
      <c r="E654" s="99" t="str">
        <f t="shared" si="106"/>
        <v/>
      </c>
      <c r="F654" s="99" t="str">
        <f t="shared" si="107"/>
        <v/>
      </c>
      <c r="G654" s="99" t="str">
        <f t="shared" si="108"/>
        <v/>
      </c>
      <c r="H654" s="99" t="str">
        <f t="shared" si="109"/>
        <v/>
      </c>
      <c r="I654" s="99" t="str">
        <f t="shared" si="110"/>
        <v/>
      </c>
      <c r="J654" s="99" t="str">
        <f t="shared" si="111"/>
        <v/>
      </c>
      <c r="K654" s="99" t="str">
        <f t="shared" si="112"/>
        <v/>
      </c>
      <c r="L654" s="99" t="str">
        <f t="shared" si="113"/>
        <v/>
      </c>
      <c r="M654" s="106" t="str">
        <f>IF(D654="","",ABS(D654-G$5))</f>
        <v/>
      </c>
    </row>
    <row r="655" spans="2:13" ht="13.5" customHeight="1" x14ac:dyDescent="0.55000000000000004">
      <c r="B655" s="94">
        <v>45846</v>
      </c>
      <c r="C655" s="99">
        <v>3.41</v>
      </c>
      <c r="D655" s="99">
        <f t="shared" si="105"/>
        <v>0</v>
      </c>
      <c r="E655" s="99">
        <f t="shared" si="106"/>
        <v>2.1587520159630759E-2</v>
      </c>
      <c r="F655" s="99">
        <f t="shared" si="107"/>
        <v>0</v>
      </c>
      <c r="G655" s="99">
        <f t="shared" si="108"/>
        <v>2.2754655134718329E-2</v>
      </c>
      <c r="H655" s="99" t="str">
        <f t="shared" si="109"/>
        <v/>
      </c>
      <c r="I655" s="99" t="str">
        <f t="shared" si="110"/>
        <v/>
      </c>
      <c r="J655" s="99" t="str">
        <f t="shared" si="111"/>
        <v/>
      </c>
      <c r="K655" s="99" t="str">
        <f t="shared" si="112"/>
        <v/>
      </c>
      <c r="L655" s="99" t="str">
        <f t="shared" si="113"/>
        <v>STALE</v>
      </c>
      <c r="M655" s="106">
        <f>IF(D655="","",ABS(D655-G$5))</f>
        <v>0</v>
      </c>
    </row>
    <row r="656" spans="2:13" ht="13.5" customHeight="1" x14ac:dyDescent="0.55000000000000004">
      <c r="B656" s="94">
        <v>45847</v>
      </c>
      <c r="C656" s="99">
        <v>3.41</v>
      </c>
      <c r="D656" s="99">
        <f t="shared" si="105"/>
        <v>0</v>
      </c>
      <c r="E656" s="99">
        <f t="shared" si="106"/>
        <v>2.1587520159630759E-2</v>
      </c>
      <c r="F656" s="99">
        <f t="shared" si="107"/>
        <v>0</v>
      </c>
      <c r="G656" s="99">
        <f t="shared" si="108"/>
        <v>2.398482261318198E-2</v>
      </c>
      <c r="H656" s="99" t="str">
        <f t="shared" si="109"/>
        <v/>
      </c>
      <c r="I656" s="99" t="str">
        <f t="shared" si="110"/>
        <v/>
      </c>
      <c r="J656" s="99" t="str">
        <f t="shared" si="111"/>
        <v/>
      </c>
      <c r="K656" s="99" t="str">
        <f t="shared" si="112"/>
        <v/>
      </c>
      <c r="L656" s="99" t="str">
        <f t="shared" si="113"/>
        <v>STALE</v>
      </c>
      <c r="M656" s="106">
        <f>IF(D656="","",ABS(D656-G$5))</f>
        <v>0</v>
      </c>
    </row>
    <row r="657" spans="2:13" ht="13.5" customHeight="1" x14ac:dyDescent="0.55000000000000004">
      <c r="B657" s="94">
        <v>45848</v>
      </c>
      <c r="C657" s="99">
        <v>3.38</v>
      </c>
      <c r="D657" s="99">
        <f t="shared" si="105"/>
        <v>-3.0000000000000249</v>
      </c>
      <c r="E657" s="99">
        <f t="shared" si="106"/>
        <v>0.30422412669405774</v>
      </c>
      <c r="F657" s="99">
        <f t="shared" si="107"/>
        <v>1.0117500000000075</v>
      </c>
      <c r="G657" s="99">
        <f t="shared" si="108"/>
        <v>0.35405191527145391</v>
      </c>
      <c r="H657" s="99" t="str">
        <f t="shared" si="109"/>
        <v/>
      </c>
      <c r="I657" s="99" t="str">
        <f t="shared" si="110"/>
        <v/>
      </c>
      <c r="J657" s="99" t="str">
        <f t="shared" si="111"/>
        <v/>
      </c>
      <c r="K657" s="99" t="str">
        <f t="shared" si="112"/>
        <v/>
      </c>
      <c r="L657" s="99" t="str">
        <f t="shared" si="113"/>
        <v/>
      </c>
      <c r="M657" s="106">
        <f>IF(D657="","",ABS(D657-G$5))</f>
        <v>3.0000000000000249</v>
      </c>
    </row>
    <row r="658" spans="2:13" ht="13.5" customHeight="1" x14ac:dyDescent="0.55000000000000004">
      <c r="B658" s="94">
        <v>45849</v>
      </c>
      <c r="C658" s="99">
        <v>3.38</v>
      </c>
      <c r="D658" s="99">
        <f t="shared" si="105"/>
        <v>0</v>
      </c>
      <c r="E658" s="99">
        <f t="shared" si="106"/>
        <v>2.1587520159630759E-2</v>
      </c>
      <c r="F658" s="99">
        <f t="shared" si="107"/>
        <v>0</v>
      </c>
      <c r="G658" s="99">
        <f t="shared" si="108"/>
        <v>2.6481316271903931E-2</v>
      </c>
      <c r="H658" s="99" t="str">
        <f t="shared" si="109"/>
        <v/>
      </c>
      <c r="I658" s="99" t="str">
        <f t="shared" si="110"/>
        <v/>
      </c>
      <c r="J658" s="99" t="str">
        <f t="shared" si="111"/>
        <v/>
      </c>
      <c r="K658" s="99" t="str">
        <f t="shared" si="112"/>
        <v/>
      </c>
      <c r="L658" s="99" t="str">
        <f t="shared" si="113"/>
        <v>STALE</v>
      </c>
      <c r="M658" s="106">
        <f>IF(D658="","",ABS(D658-G$5))</f>
        <v>0</v>
      </c>
    </row>
    <row r="659" spans="2:13" ht="13.5" customHeight="1" x14ac:dyDescent="0.55000000000000004">
      <c r="B659" s="94">
        <v>45852</v>
      </c>
      <c r="C659" s="99">
        <v>3.37</v>
      </c>
      <c r="D659" s="99">
        <f t="shared" si="105"/>
        <v>-0.99999999999997868</v>
      </c>
      <c r="E659" s="99">
        <f t="shared" si="106"/>
        <v>0.11579972233777029</v>
      </c>
      <c r="F659" s="99">
        <f t="shared" si="107"/>
        <v>0.3372499999999925</v>
      </c>
      <c r="G659" s="99">
        <f t="shared" si="108"/>
        <v>0.14956733809522996</v>
      </c>
      <c r="H659" s="99" t="str">
        <f t="shared" si="109"/>
        <v/>
      </c>
      <c r="I659" s="99" t="str">
        <f t="shared" si="110"/>
        <v/>
      </c>
      <c r="J659" s="99" t="str">
        <f t="shared" si="111"/>
        <v/>
      </c>
      <c r="K659" s="99" t="str">
        <f t="shared" si="112"/>
        <v/>
      </c>
      <c r="L659" s="99" t="str">
        <f t="shared" si="113"/>
        <v/>
      </c>
      <c r="M659" s="106">
        <f>IF(D659="","",ABS(D659-G$5))</f>
        <v>0.99999999999997868</v>
      </c>
    </row>
    <row r="660" spans="2:13" ht="13.5" customHeight="1" x14ac:dyDescent="0.55000000000000004">
      <c r="B660" s="94">
        <v>45853</v>
      </c>
      <c r="C660" s="99">
        <v>3.35</v>
      </c>
      <c r="D660" s="99">
        <f t="shared" si="105"/>
        <v>-2.0000000000000018</v>
      </c>
      <c r="E660" s="99">
        <f t="shared" si="106"/>
        <v>0.21001192451591399</v>
      </c>
      <c r="F660" s="99">
        <f t="shared" si="107"/>
        <v>0.67449999999999999</v>
      </c>
      <c r="G660" s="99">
        <f t="shared" si="108"/>
        <v>0.28476323567918854</v>
      </c>
      <c r="H660" s="99" t="str">
        <f t="shared" si="109"/>
        <v/>
      </c>
      <c r="I660" s="99" t="str">
        <f t="shared" si="110"/>
        <v/>
      </c>
      <c r="J660" s="99" t="str">
        <f t="shared" si="111"/>
        <v/>
      </c>
      <c r="K660" s="99" t="str">
        <f t="shared" si="112"/>
        <v/>
      </c>
      <c r="L660" s="99" t="str">
        <f t="shared" si="113"/>
        <v/>
      </c>
      <c r="M660" s="106">
        <f>IF(D660="","",ABS(D660-G$5))</f>
        <v>2.0000000000000018</v>
      </c>
    </row>
    <row r="661" spans="2:13" ht="13.5" customHeight="1" x14ac:dyDescent="0.55000000000000004">
      <c r="B661" s="94">
        <v>45854</v>
      </c>
      <c r="C661" s="99">
        <v>3.36</v>
      </c>
      <c r="D661" s="99">
        <f t="shared" si="105"/>
        <v>0.99999999999997868</v>
      </c>
      <c r="E661" s="99">
        <f t="shared" si="106"/>
        <v>7.2624682018508774E-2</v>
      </c>
      <c r="F661" s="99">
        <f t="shared" si="107"/>
        <v>0.3372499999999925</v>
      </c>
      <c r="G661" s="99">
        <f t="shared" si="108"/>
        <v>0.10374546208447027</v>
      </c>
      <c r="H661" s="99" t="str">
        <f t="shared" si="109"/>
        <v/>
      </c>
      <c r="I661" s="99" t="str">
        <f t="shared" si="110"/>
        <v/>
      </c>
      <c r="J661" s="99" t="str">
        <f t="shared" si="111"/>
        <v/>
      </c>
      <c r="K661" s="99" t="str">
        <f t="shared" si="112"/>
        <v/>
      </c>
      <c r="L661" s="99" t="str">
        <f t="shared" si="113"/>
        <v/>
      </c>
      <c r="M661" s="106">
        <f>IF(D661="","",ABS(D661-G$5))</f>
        <v>0.99999999999997868</v>
      </c>
    </row>
    <row r="662" spans="2:13" ht="13.5" customHeight="1" x14ac:dyDescent="0.55000000000000004">
      <c r="B662" s="94">
        <v>45855</v>
      </c>
      <c r="C662" s="99">
        <v>3.37</v>
      </c>
      <c r="D662" s="99">
        <f t="shared" si="105"/>
        <v>1.0000000000000231</v>
      </c>
      <c r="E662" s="99">
        <f t="shared" si="106"/>
        <v>7.2624682018512965E-2</v>
      </c>
      <c r="F662" s="99">
        <f t="shared" si="107"/>
        <v>0.33725000000000749</v>
      </c>
      <c r="G662" s="99">
        <f t="shared" si="108"/>
        <v>0.10929198728723725</v>
      </c>
      <c r="H662" s="99" t="str">
        <f t="shared" si="109"/>
        <v/>
      </c>
      <c r="I662" s="99" t="str">
        <f t="shared" si="110"/>
        <v/>
      </c>
      <c r="J662" s="99" t="str">
        <f t="shared" si="111"/>
        <v/>
      </c>
      <c r="K662" s="99" t="str">
        <f t="shared" si="112"/>
        <v/>
      </c>
      <c r="L662" s="99" t="str">
        <f t="shared" si="113"/>
        <v/>
      </c>
      <c r="M662" s="106">
        <f>IF(D662="","",ABS(D662-G$5))</f>
        <v>1.0000000000000231</v>
      </c>
    </row>
    <row r="663" spans="2:13" ht="13.5" customHeight="1" x14ac:dyDescent="0.55000000000000004">
      <c r="B663" s="94">
        <v>45856</v>
      </c>
      <c r="C663" s="99">
        <v>3.37</v>
      </c>
      <c r="D663" s="99">
        <f t="shared" si="105"/>
        <v>0</v>
      </c>
      <c r="E663" s="99">
        <f t="shared" si="106"/>
        <v>2.1587520159630759E-2</v>
      </c>
      <c r="F663" s="99">
        <f t="shared" si="107"/>
        <v>0</v>
      </c>
      <c r="G663" s="99">
        <f t="shared" si="108"/>
        <v>3.4242078459438566E-2</v>
      </c>
      <c r="H663" s="99" t="str">
        <f t="shared" si="109"/>
        <v/>
      </c>
      <c r="I663" s="99" t="str">
        <f t="shared" si="110"/>
        <v/>
      </c>
      <c r="J663" s="99" t="str">
        <f t="shared" si="111"/>
        <v/>
      </c>
      <c r="K663" s="99" t="str">
        <f t="shared" si="112"/>
        <v/>
      </c>
      <c r="L663" s="99" t="str">
        <f t="shared" si="113"/>
        <v>STALE</v>
      </c>
      <c r="M663" s="106">
        <f>IF(D663="","",ABS(D663-G$5))</f>
        <v>0</v>
      </c>
    </row>
    <row r="664" spans="2:13" ht="13.5" customHeight="1" x14ac:dyDescent="0.55000000000000004">
      <c r="B664" s="94">
        <v>45859</v>
      </c>
      <c r="C664" s="99">
        <v>3.36</v>
      </c>
      <c r="D664" s="99">
        <f t="shared" si="105"/>
        <v>-1.0000000000000231</v>
      </c>
      <c r="E664" s="99">
        <f t="shared" si="106"/>
        <v>0.11579972233777447</v>
      </c>
      <c r="F664" s="99">
        <f t="shared" si="107"/>
        <v>0.33725000000000749</v>
      </c>
      <c r="G664" s="99">
        <f t="shared" si="108"/>
        <v>0.19325516732363665</v>
      </c>
      <c r="H664" s="99" t="str">
        <f t="shared" si="109"/>
        <v/>
      </c>
      <c r="I664" s="99" t="str">
        <f t="shared" si="110"/>
        <v/>
      </c>
      <c r="J664" s="99" t="str">
        <f t="shared" si="111"/>
        <v/>
      </c>
      <c r="K664" s="99" t="str">
        <f t="shared" si="112"/>
        <v/>
      </c>
      <c r="L664" s="99" t="str">
        <f t="shared" si="113"/>
        <v/>
      </c>
      <c r="M664" s="106">
        <f>IF(D664="","",ABS(D664-G$5))</f>
        <v>1.0000000000000231</v>
      </c>
    </row>
    <row r="665" spans="2:13" ht="13.5" customHeight="1" x14ac:dyDescent="0.55000000000000004">
      <c r="B665" s="94">
        <v>45860</v>
      </c>
      <c r="C665" s="99">
        <v>3.33</v>
      </c>
      <c r="D665" s="99">
        <f t="shared" si="105"/>
        <v>-2.9999999999999805</v>
      </c>
      <c r="E665" s="99">
        <f t="shared" si="106"/>
        <v>0.30422412669405352</v>
      </c>
      <c r="F665" s="99">
        <f t="shared" si="107"/>
        <v>1.0117499999999926</v>
      </c>
      <c r="G665" s="99">
        <f t="shared" si="108"/>
        <v>0.5276719723933464</v>
      </c>
      <c r="H665" s="99" t="str">
        <f t="shared" si="109"/>
        <v/>
      </c>
      <c r="I665" s="99" t="str">
        <f t="shared" si="110"/>
        <v/>
      </c>
      <c r="J665" s="99" t="str">
        <f t="shared" si="111"/>
        <v/>
      </c>
      <c r="K665" s="99" t="str">
        <f t="shared" si="112"/>
        <v/>
      </c>
      <c r="L665" s="99" t="str">
        <f t="shared" si="113"/>
        <v/>
      </c>
      <c r="M665" s="106">
        <f>IF(D665="","",ABS(D665-G$5))</f>
        <v>2.9999999999999805</v>
      </c>
    </row>
    <row r="666" spans="2:13" ht="13.5" customHeight="1" x14ac:dyDescent="0.55000000000000004">
      <c r="B666" s="94">
        <v>45861</v>
      </c>
      <c r="C666" s="99">
        <v>3.34</v>
      </c>
      <c r="D666" s="99">
        <f t="shared" si="105"/>
        <v>0.99999999999997868</v>
      </c>
      <c r="E666" s="99">
        <f t="shared" si="106"/>
        <v>7.2624682018508774E-2</v>
      </c>
      <c r="F666" s="99">
        <f t="shared" si="107"/>
        <v>0.3372499999999925</v>
      </c>
      <c r="G666" s="99">
        <f t="shared" si="108"/>
        <v>0.13266331853472588</v>
      </c>
      <c r="H666" s="99" t="str">
        <f t="shared" si="109"/>
        <v/>
      </c>
      <c r="I666" s="99" t="str">
        <f t="shared" si="110"/>
        <v/>
      </c>
      <c r="J666" s="99" t="str">
        <f t="shared" si="111"/>
        <v/>
      </c>
      <c r="K666" s="99" t="str">
        <f t="shared" si="112"/>
        <v/>
      </c>
      <c r="L666" s="99" t="str">
        <f t="shared" si="113"/>
        <v/>
      </c>
      <c r="M666" s="106">
        <f>IF(D666="","",ABS(D666-G$5))</f>
        <v>0.99999999999997868</v>
      </c>
    </row>
    <row r="667" spans="2:13" ht="13.5" customHeight="1" x14ac:dyDescent="0.55000000000000004">
      <c r="B667" s="94">
        <v>45862</v>
      </c>
      <c r="C667" s="99">
        <v>3.37</v>
      </c>
      <c r="D667" s="99">
        <f t="shared" si="105"/>
        <v>3.0000000000000249</v>
      </c>
      <c r="E667" s="99">
        <f t="shared" si="106"/>
        <v>0.26104908637479624</v>
      </c>
      <c r="F667" s="99">
        <f t="shared" si="107"/>
        <v>1.0117500000000075</v>
      </c>
      <c r="G667" s="99">
        <f t="shared" si="108"/>
        <v>0.49642000613427528</v>
      </c>
      <c r="H667" s="99" t="str">
        <f t="shared" si="109"/>
        <v/>
      </c>
      <c r="I667" s="99" t="str">
        <f t="shared" si="110"/>
        <v/>
      </c>
      <c r="J667" s="99" t="str">
        <f t="shared" si="111"/>
        <v/>
      </c>
      <c r="K667" s="99" t="str">
        <f t="shared" si="112"/>
        <v/>
      </c>
      <c r="L667" s="99" t="str">
        <f t="shared" si="113"/>
        <v/>
      </c>
      <c r="M667" s="106">
        <f>IF(D667="","",ABS(D667-G$5))</f>
        <v>3.0000000000000249</v>
      </c>
    </row>
    <row r="668" spans="2:13" ht="13.5" customHeight="1" x14ac:dyDescent="0.55000000000000004">
      <c r="B668" s="94">
        <v>45863</v>
      </c>
      <c r="C668" s="99">
        <v>3.37</v>
      </c>
      <c r="D668" s="99">
        <f t="shared" si="105"/>
        <v>0</v>
      </c>
      <c r="E668" s="99">
        <f t="shared" si="106"/>
        <v>2.1587520159630759E-2</v>
      </c>
      <c r="F668" s="99">
        <f t="shared" si="107"/>
        <v>0</v>
      </c>
      <c r="G668" s="99">
        <f t="shared" si="108"/>
        <v>4.3268111764639898E-2</v>
      </c>
      <c r="H668" s="99" t="str">
        <f t="shared" si="109"/>
        <v/>
      </c>
      <c r="I668" s="99" t="str">
        <f t="shared" si="110"/>
        <v/>
      </c>
      <c r="J668" s="99" t="str">
        <f t="shared" si="111"/>
        <v/>
      </c>
      <c r="K668" s="99" t="str">
        <f t="shared" si="112"/>
        <v/>
      </c>
      <c r="L668" s="99" t="str">
        <f t="shared" si="113"/>
        <v>STALE</v>
      </c>
      <c r="M668" s="106">
        <f>IF(D668="","",ABS(D668-G$5))</f>
        <v>0</v>
      </c>
    </row>
    <row r="669" spans="2:13" ht="13.5" customHeight="1" x14ac:dyDescent="0.55000000000000004">
      <c r="B669" s="94">
        <v>45866</v>
      </c>
      <c r="C669" s="99">
        <v>3.36</v>
      </c>
      <c r="D669" s="99">
        <f t="shared" si="105"/>
        <v>-1.0000000000000231</v>
      </c>
      <c r="E669" s="99">
        <f t="shared" si="106"/>
        <v>0.11579972233777447</v>
      </c>
      <c r="F669" s="99">
        <f t="shared" si="107"/>
        <v>0.33725000000000749</v>
      </c>
      <c r="G669" s="99">
        <f t="shared" si="108"/>
        <v>0.243924589181548</v>
      </c>
      <c r="H669" s="99" t="str">
        <f t="shared" si="109"/>
        <v/>
      </c>
      <c r="I669" s="99" t="str">
        <f t="shared" si="110"/>
        <v/>
      </c>
      <c r="J669" s="99" t="str">
        <f t="shared" si="111"/>
        <v/>
      </c>
      <c r="K669" s="99" t="str">
        <f t="shared" si="112"/>
        <v/>
      </c>
      <c r="L669" s="99" t="str">
        <f t="shared" si="113"/>
        <v/>
      </c>
      <c r="M669" s="106">
        <f>IF(D669="","",ABS(D669-G$5))</f>
        <v>1.0000000000000231</v>
      </c>
    </row>
    <row r="670" spans="2:13" ht="13.5" customHeight="1" x14ac:dyDescent="0.55000000000000004">
      <c r="B670" s="94">
        <v>45867</v>
      </c>
      <c r="C670" s="99">
        <v>3.34</v>
      </c>
      <c r="D670" s="99">
        <f t="shared" si="105"/>
        <v>-2.0000000000000018</v>
      </c>
      <c r="E670" s="99">
        <f t="shared" si="106"/>
        <v>0.21001192451591399</v>
      </c>
      <c r="F670" s="99">
        <f t="shared" si="107"/>
        <v>0.67449999999999999</v>
      </c>
      <c r="G670" s="99">
        <f t="shared" si="108"/>
        <v>0.46131724945667002</v>
      </c>
      <c r="H670" s="99" t="str">
        <f t="shared" si="109"/>
        <v/>
      </c>
      <c r="I670" s="99" t="str">
        <f t="shared" si="110"/>
        <v/>
      </c>
      <c r="J670" s="99" t="str">
        <f t="shared" si="111"/>
        <v/>
      </c>
      <c r="K670" s="99" t="str">
        <f t="shared" si="112"/>
        <v/>
      </c>
      <c r="L670" s="99" t="str">
        <f t="shared" si="113"/>
        <v/>
      </c>
      <c r="M670" s="106">
        <f>IF(D670="","",ABS(D670-G$5))</f>
        <v>2.0000000000000018</v>
      </c>
    </row>
    <row r="671" spans="2:13" ht="13.5" customHeight="1" x14ac:dyDescent="0.55000000000000004">
      <c r="B671" s="94">
        <v>45868</v>
      </c>
      <c r="C671" s="99">
        <v>3.32</v>
      </c>
      <c r="D671" s="99">
        <f t="shared" si="105"/>
        <v>-2.0000000000000018</v>
      </c>
      <c r="E671" s="99">
        <f t="shared" si="106"/>
        <v>0.21001192451591399</v>
      </c>
      <c r="F671" s="99">
        <f t="shared" si="107"/>
        <v>0.67449999999999999</v>
      </c>
      <c r="G671" s="99">
        <f t="shared" si="108"/>
        <v>0.48062189525489379</v>
      </c>
      <c r="H671" s="99" t="str">
        <f t="shared" si="109"/>
        <v/>
      </c>
      <c r="I671" s="99" t="str">
        <f t="shared" si="110"/>
        <v/>
      </c>
      <c r="J671" s="99" t="str">
        <f t="shared" si="111"/>
        <v/>
      </c>
      <c r="K671" s="99" t="str">
        <f t="shared" si="112"/>
        <v/>
      </c>
      <c r="L671" s="99" t="str">
        <f t="shared" si="113"/>
        <v/>
      </c>
      <c r="M671" s="106">
        <f>IF(D671="","",ABS(D671-G$5))</f>
        <v>2.0000000000000018</v>
      </c>
    </row>
    <row r="672" spans="2:13" ht="13.5" customHeight="1" x14ac:dyDescent="0.55000000000000004">
      <c r="B672" s="94">
        <v>45869</v>
      </c>
      <c r="C672" s="99">
        <v>3.34</v>
      </c>
      <c r="D672" s="99">
        <f t="shared" si="105"/>
        <v>2.0000000000000018</v>
      </c>
      <c r="E672" s="99">
        <f t="shared" si="106"/>
        <v>0.16683688419665252</v>
      </c>
      <c r="F672" s="99">
        <f t="shared" si="107"/>
        <v>0.67449999999999999</v>
      </c>
      <c r="G672" s="99">
        <f t="shared" si="108"/>
        <v>0.39924662109155834</v>
      </c>
      <c r="H672" s="99" t="str">
        <f t="shared" si="109"/>
        <v/>
      </c>
      <c r="I672" s="99" t="str">
        <f t="shared" si="110"/>
        <v/>
      </c>
      <c r="J672" s="99" t="str">
        <f t="shared" si="111"/>
        <v/>
      </c>
      <c r="K672" s="99" t="str">
        <f t="shared" si="112"/>
        <v/>
      </c>
      <c r="L672" s="99" t="str">
        <f t="shared" si="113"/>
        <v/>
      </c>
      <c r="M672" s="106">
        <f>IF(D672="","",ABS(D672-G$5))</f>
        <v>2.0000000000000018</v>
      </c>
    </row>
    <row r="673" spans="2:13" ht="13.5" customHeight="1" x14ac:dyDescent="0.55000000000000004">
      <c r="B673" s="94">
        <v>45870</v>
      </c>
      <c r="C673" s="99">
        <v>3.36</v>
      </c>
      <c r="D673" s="99">
        <f t="shared" si="105"/>
        <v>2.0000000000000018</v>
      </c>
      <c r="E673" s="99">
        <f t="shared" si="106"/>
        <v>0.16683688419665252</v>
      </c>
      <c r="F673" s="99">
        <f t="shared" si="107"/>
        <v>0.67449999999999999</v>
      </c>
      <c r="G673" s="99">
        <f t="shared" si="108"/>
        <v>0.4171649260888094</v>
      </c>
      <c r="H673" s="99" t="str">
        <f t="shared" si="109"/>
        <v/>
      </c>
      <c r="I673" s="99" t="str">
        <f t="shared" si="110"/>
        <v/>
      </c>
      <c r="J673" s="99" t="str">
        <f t="shared" si="111"/>
        <v/>
      </c>
      <c r="K673" s="99" t="str">
        <f t="shared" si="112"/>
        <v/>
      </c>
      <c r="L673" s="99" t="str">
        <f t="shared" si="113"/>
        <v/>
      </c>
      <c r="M673" s="106">
        <f>IF(D673="","",ABS(D673-G$5))</f>
        <v>2.0000000000000018</v>
      </c>
    </row>
    <row r="674" spans="2:13" ht="13.5" customHeight="1" x14ac:dyDescent="0.55000000000000004">
      <c r="B674" s="94">
        <v>45873</v>
      </c>
      <c r="C674" s="99">
        <v>3.4</v>
      </c>
      <c r="D674" s="99">
        <f t="shared" si="105"/>
        <v>4.0000000000000036</v>
      </c>
      <c r="E674" s="99">
        <f t="shared" si="106"/>
        <v>0.35526128855293576</v>
      </c>
      <c r="F674" s="99">
        <f t="shared" si="107"/>
        <v>1.349</v>
      </c>
      <c r="G674" s="99">
        <f t="shared" si="108"/>
        <v>0.89782649179238783</v>
      </c>
      <c r="H674" s="99" t="str">
        <f t="shared" si="109"/>
        <v/>
      </c>
      <c r="I674" s="99" t="str">
        <f t="shared" si="110"/>
        <v/>
      </c>
      <c r="J674" s="99" t="str">
        <f t="shared" si="111"/>
        <v/>
      </c>
      <c r="K674" s="99" t="str">
        <f t="shared" si="112"/>
        <v/>
      </c>
      <c r="L674" s="99" t="str">
        <f t="shared" si="113"/>
        <v/>
      </c>
      <c r="M674" s="106">
        <f>IF(D674="","",ABS(D674-G$5))</f>
        <v>4.0000000000000036</v>
      </c>
    </row>
    <row r="675" spans="2:13" ht="13.5" customHeight="1" x14ac:dyDescent="0.55000000000000004">
      <c r="B675" s="94">
        <v>45874</v>
      </c>
      <c r="C675" s="99">
        <v>3.4</v>
      </c>
      <c r="D675" s="99">
        <f t="shared" si="105"/>
        <v>0</v>
      </c>
      <c r="E675" s="99">
        <f t="shared" si="106"/>
        <v>2.1587520159630759E-2</v>
      </c>
      <c r="F675" s="99">
        <f t="shared" si="107"/>
        <v>0</v>
      </c>
      <c r="G675" s="99">
        <f t="shared" si="108"/>
        <v>5.7498197312438215E-2</v>
      </c>
      <c r="H675" s="99" t="str">
        <f t="shared" si="109"/>
        <v/>
      </c>
      <c r="I675" s="99" t="str">
        <f t="shared" si="110"/>
        <v/>
      </c>
      <c r="J675" s="99" t="str">
        <f t="shared" si="111"/>
        <v/>
      </c>
      <c r="K675" s="99" t="str">
        <f t="shared" si="112"/>
        <v/>
      </c>
      <c r="L675" s="99" t="str">
        <f t="shared" si="113"/>
        <v>STALE</v>
      </c>
      <c r="M675" s="106">
        <f>IF(D675="","",ABS(D675-G$5))</f>
        <v>0</v>
      </c>
    </row>
    <row r="676" spans="2:13" ht="13.5" customHeight="1" x14ac:dyDescent="0.55000000000000004">
      <c r="B676" s="94">
        <v>45875</v>
      </c>
      <c r="C676" s="99">
        <v>3.37</v>
      </c>
      <c r="D676" s="99">
        <f t="shared" si="105"/>
        <v>-2.9999999999999805</v>
      </c>
      <c r="E676" s="99">
        <f t="shared" si="106"/>
        <v>0.30422412669405352</v>
      </c>
      <c r="F676" s="99">
        <f t="shared" si="107"/>
        <v>1.0117499999999926</v>
      </c>
      <c r="G676" s="99">
        <f t="shared" si="108"/>
        <v>0.82458108053070245</v>
      </c>
      <c r="H676" s="99" t="str">
        <f t="shared" si="109"/>
        <v/>
      </c>
      <c r="I676" s="99" t="str">
        <f t="shared" si="110"/>
        <v/>
      </c>
      <c r="J676" s="99" t="str">
        <f t="shared" si="111"/>
        <v/>
      </c>
      <c r="K676" s="99" t="str">
        <f t="shared" si="112"/>
        <v/>
      </c>
      <c r="L676" s="99" t="str">
        <f t="shared" si="113"/>
        <v/>
      </c>
      <c r="M676" s="106">
        <f>IF(D676="","",ABS(D676-G$5))</f>
        <v>2.9999999999999805</v>
      </c>
    </row>
    <row r="677" spans="2:13" ht="13.5" customHeight="1" x14ac:dyDescent="0.55000000000000004">
      <c r="B677" s="94">
        <v>45876</v>
      </c>
      <c r="C677" s="99">
        <v>3.36</v>
      </c>
      <c r="D677" s="99">
        <f t="shared" si="105"/>
        <v>-1.0000000000000231</v>
      </c>
      <c r="E677" s="99">
        <f t="shared" si="106"/>
        <v>0.11579972233777447</v>
      </c>
      <c r="F677" s="99">
        <f t="shared" si="107"/>
        <v>0.33725000000000749</v>
      </c>
      <c r="G677" s="99">
        <f t="shared" si="108"/>
        <v>0.32905009157629084</v>
      </c>
      <c r="H677" s="99" t="str">
        <f t="shared" si="109"/>
        <v/>
      </c>
      <c r="I677" s="99" t="str">
        <f t="shared" si="110"/>
        <v/>
      </c>
      <c r="J677" s="99" t="str">
        <f t="shared" si="111"/>
        <v/>
      </c>
      <c r="K677" s="99" t="str">
        <f t="shared" si="112"/>
        <v/>
      </c>
      <c r="L677" s="99" t="str">
        <f t="shared" si="113"/>
        <v/>
      </c>
      <c r="M677" s="106">
        <f>IF(D677="","",ABS(D677-G$5))</f>
        <v>1.0000000000000231</v>
      </c>
    </row>
    <row r="678" spans="2:13" ht="13.5" customHeight="1" x14ac:dyDescent="0.55000000000000004">
      <c r="B678" s="94">
        <v>45877</v>
      </c>
      <c r="C678" s="99">
        <v>3.34</v>
      </c>
      <c r="D678" s="99">
        <f t="shared" si="105"/>
        <v>-2.0000000000000018</v>
      </c>
      <c r="E678" s="99">
        <f t="shared" si="106"/>
        <v>0.21001192451591399</v>
      </c>
      <c r="F678" s="99">
        <f t="shared" si="107"/>
        <v>0.67449999999999999</v>
      </c>
      <c r="G678" s="99">
        <f t="shared" si="108"/>
        <v>0.61695082702235593</v>
      </c>
      <c r="H678" s="99" t="str">
        <f t="shared" si="109"/>
        <v/>
      </c>
      <c r="I678" s="99" t="str">
        <f t="shared" si="110"/>
        <v/>
      </c>
      <c r="J678" s="99" t="str">
        <f t="shared" si="111"/>
        <v/>
      </c>
      <c r="K678" s="99" t="str">
        <f t="shared" si="112"/>
        <v/>
      </c>
      <c r="L678" s="99" t="str">
        <f t="shared" si="113"/>
        <v/>
      </c>
      <c r="M678" s="106">
        <f>IF(D678="","",ABS(D678-G$5))</f>
        <v>2.0000000000000018</v>
      </c>
    </row>
    <row r="679" spans="2:13" ht="13.5" customHeight="1" x14ac:dyDescent="0.55000000000000004">
      <c r="B679" s="94">
        <v>45880</v>
      </c>
      <c r="C679" s="99">
        <v>3.32</v>
      </c>
      <c r="D679" s="99">
        <f t="shared" si="105"/>
        <v>-2.0000000000000018</v>
      </c>
      <c r="E679" s="99">
        <f t="shared" si="106"/>
        <v>0.21001192451591399</v>
      </c>
      <c r="F679" s="99">
        <f t="shared" si="107"/>
        <v>0.67449999999999999</v>
      </c>
      <c r="G679" s="99">
        <f t="shared" si="108"/>
        <v>0.63699289219445898</v>
      </c>
      <c r="H679" s="99" t="str">
        <f t="shared" si="109"/>
        <v/>
      </c>
      <c r="I679" s="99" t="str">
        <f t="shared" si="110"/>
        <v/>
      </c>
      <c r="J679" s="99" t="str">
        <f t="shared" si="111"/>
        <v/>
      </c>
      <c r="K679" s="99" t="str">
        <f t="shared" si="112"/>
        <v/>
      </c>
      <c r="L679" s="99" t="str">
        <f t="shared" si="113"/>
        <v/>
      </c>
      <c r="M679" s="106">
        <f>IF(D679="","",ABS(D679-G$5))</f>
        <v>2.0000000000000018</v>
      </c>
    </row>
    <row r="680" spans="2:13" ht="13.5" customHeight="1" x14ac:dyDescent="0.55000000000000004">
      <c r="B680" s="94">
        <v>45881</v>
      </c>
      <c r="C680" s="99">
        <v>3.31</v>
      </c>
      <c r="D680" s="99">
        <f t="shared" si="105"/>
        <v>-0.99999999999997868</v>
      </c>
      <c r="E680" s="99">
        <f t="shared" si="106"/>
        <v>0.11579972233777029</v>
      </c>
      <c r="F680" s="99">
        <f t="shared" si="107"/>
        <v>0.3372499999999925</v>
      </c>
      <c r="G680" s="99">
        <f t="shared" si="108"/>
        <v>0.36772283124816502</v>
      </c>
      <c r="H680" s="99" t="str">
        <f t="shared" si="109"/>
        <v/>
      </c>
      <c r="I680" s="99" t="str">
        <f t="shared" si="110"/>
        <v/>
      </c>
      <c r="J680" s="99" t="str">
        <f t="shared" si="111"/>
        <v/>
      </c>
      <c r="K680" s="99" t="str">
        <f t="shared" si="112"/>
        <v/>
      </c>
      <c r="L680" s="99" t="str">
        <f t="shared" si="113"/>
        <v/>
      </c>
      <c r="M680" s="106">
        <f>IF(D680="","",ABS(D680-G$5))</f>
        <v>0.99999999999997868</v>
      </c>
    </row>
    <row r="681" spans="2:13" ht="13.5" customHeight="1" x14ac:dyDescent="0.55000000000000004">
      <c r="B681" s="94">
        <v>45882</v>
      </c>
      <c r="C681" s="99">
        <v>3.3</v>
      </c>
      <c r="D681" s="99">
        <f t="shared" si="105"/>
        <v>-1.0000000000000231</v>
      </c>
      <c r="E681" s="99">
        <f t="shared" si="106"/>
        <v>0.11579972233777447</v>
      </c>
      <c r="F681" s="99">
        <f t="shared" si="107"/>
        <v>0.33725000000000749</v>
      </c>
      <c r="G681" s="99">
        <f t="shared" si="108"/>
        <v>0.38473446081169971</v>
      </c>
      <c r="H681" s="99" t="str">
        <f t="shared" si="109"/>
        <v/>
      </c>
      <c r="I681" s="99" t="str">
        <f t="shared" si="110"/>
        <v/>
      </c>
      <c r="J681" s="99" t="str">
        <f t="shared" si="111"/>
        <v/>
      </c>
      <c r="K681" s="99" t="str">
        <f t="shared" si="112"/>
        <v/>
      </c>
      <c r="L681" s="99" t="str">
        <f t="shared" si="113"/>
        <v/>
      </c>
      <c r="M681" s="106">
        <f>IF(D681="","",ABS(D681-G$5))</f>
        <v>1.0000000000000231</v>
      </c>
    </row>
    <row r="682" spans="2:13" ht="13.5" customHeight="1" x14ac:dyDescent="0.55000000000000004">
      <c r="B682" s="94">
        <v>45883</v>
      </c>
      <c r="C682" s="99">
        <v>3.31</v>
      </c>
      <c r="D682" s="99">
        <f t="shared" si="105"/>
        <v>1.0000000000000231</v>
      </c>
      <c r="E682" s="99">
        <f t="shared" si="106"/>
        <v>7.2624682018512965E-2</v>
      </c>
      <c r="F682" s="99">
        <f t="shared" si="107"/>
        <v>0.33725000000000749</v>
      </c>
      <c r="G682" s="99">
        <f t="shared" si="108"/>
        <v>0.25352241933411118</v>
      </c>
      <c r="H682" s="99" t="str">
        <f t="shared" si="109"/>
        <v/>
      </c>
      <c r="I682" s="99" t="str">
        <f t="shared" si="110"/>
        <v/>
      </c>
      <c r="J682" s="99" t="str">
        <f t="shared" si="111"/>
        <v/>
      </c>
      <c r="K682" s="99" t="str">
        <f t="shared" si="112"/>
        <v/>
      </c>
      <c r="L682" s="99" t="str">
        <f t="shared" si="113"/>
        <v/>
      </c>
      <c r="M682" s="106">
        <f>IF(D682="","",ABS(D682-G$5))</f>
        <v>1.0000000000000231</v>
      </c>
    </row>
    <row r="683" spans="2:13" ht="13.5" customHeight="1" x14ac:dyDescent="0.55000000000000004">
      <c r="B683" s="94">
        <v>45884</v>
      </c>
      <c r="C683" s="99">
        <v>3.31</v>
      </c>
      <c r="D683" s="99">
        <f t="shared" si="105"/>
        <v>0</v>
      </c>
      <c r="E683" s="99">
        <f t="shared" si="106"/>
        <v>2.1587520159630759E-2</v>
      </c>
      <c r="F683" s="99">
        <f t="shared" si="107"/>
        <v>0</v>
      </c>
      <c r="G683" s="99">
        <f t="shared" si="108"/>
        <v>7.9410266248244862E-2</v>
      </c>
      <c r="H683" s="99" t="str">
        <f t="shared" si="109"/>
        <v/>
      </c>
      <c r="I683" s="99" t="str">
        <f t="shared" si="110"/>
        <v/>
      </c>
      <c r="J683" s="99" t="str">
        <f t="shared" si="111"/>
        <v/>
      </c>
      <c r="K683" s="99" t="str">
        <f t="shared" si="112"/>
        <v/>
      </c>
      <c r="L683" s="99" t="str">
        <f t="shared" si="113"/>
        <v>STALE</v>
      </c>
      <c r="M683" s="106">
        <f>IF(D683="","",ABS(D683-G$5))</f>
        <v>0</v>
      </c>
    </row>
    <row r="684" spans="2:13" ht="13.5" customHeight="1" x14ac:dyDescent="0.55000000000000004">
      <c r="B684" s="94">
        <v>45887</v>
      </c>
      <c r="C684" s="99">
        <v>3.3</v>
      </c>
      <c r="D684" s="99">
        <f t="shared" si="105"/>
        <v>-1.0000000000000231</v>
      </c>
      <c r="E684" s="99">
        <f t="shared" si="106"/>
        <v>0.11579972233777447</v>
      </c>
      <c r="F684" s="99">
        <f t="shared" si="107"/>
        <v>0.33725000000000749</v>
      </c>
      <c r="G684" s="99">
        <f t="shared" si="108"/>
        <v>0.44455522542711084</v>
      </c>
      <c r="H684" s="99" t="str">
        <f t="shared" si="109"/>
        <v/>
      </c>
      <c r="I684" s="99" t="str">
        <f t="shared" si="110"/>
        <v/>
      </c>
      <c r="J684" s="99" t="str">
        <f t="shared" si="111"/>
        <v/>
      </c>
      <c r="K684" s="99" t="str">
        <f t="shared" si="112"/>
        <v/>
      </c>
      <c r="L684" s="99" t="str">
        <f t="shared" si="113"/>
        <v/>
      </c>
      <c r="M684" s="106">
        <f>IF(D684="","",ABS(D684-G$5))</f>
        <v>1.0000000000000231</v>
      </c>
    </row>
    <row r="685" spans="2:13" ht="13.5" customHeight="1" x14ac:dyDescent="0.55000000000000004">
      <c r="B685" s="94">
        <v>45888</v>
      </c>
      <c r="C685" s="99">
        <v>3.31</v>
      </c>
      <c r="D685" s="99">
        <f t="shared" ref="D685:D748" si="114">IF(OR(C685="",C684=""),"",(C685-C684)*100)</f>
        <v>1.0000000000000231</v>
      </c>
      <c r="E685" s="99">
        <f t="shared" ref="E685:E748" si="115">IF(D685="","",ABS(D685-$E$5)/$F$5)</f>
        <v>7.2624682018512965E-2</v>
      </c>
      <c r="F685" s="99">
        <f t="shared" ref="F685:F748" si="116">IF(D685="","",ABS(D685-$G$5)/$H$5)</f>
        <v>0.33725000000000749</v>
      </c>
      <c r="G685" s="99">
        <f t="shared" ref="G685:G748" si="117">IF(D685="","",ABS(D685-$E$5)/SQRT(0.9*(IF(G684="",($F$5)^2,(ABS(D684-$E$5)/MAX(G684,0.0000000001))^2))+0.1*(D685-$E$5)^2))</f>
        <v>0.29262656215104277</v>
      </c>
      <c r="H685" s="99" t="str">
        <f t="shared" ref="H685:H748" si="118">IF(E685="","",IF(E685&gt;$I$5,"OUTLIER",""))</f>
        <v/>
      </c>
      <c r="I685" s="99" t="str">
        <f t="shared" ref="I685:I748" si="119">IF(F685="","",IF(F685&gt;$I$5,"OUTLIER",""))</f>
        <v/>
      </c>
      <c r="J685" s="99" t="str">
        <f t="shared" ref="J685:J748" si="120">IF(G685="","",IF(G685&gt;$I$5,"OUTLIER",""))</f>
        <v/>
      </c>
      <c r="K685" s="99" t="str">
        <f t="shared" ref="K685:K748" si="121">IF(C685="","MISSING","")</f>
        <v/>
      </c>
      <c r="L685" s="99" t="str">
        <f t="shared" ref="L685:L748" si="122">IF(AND(C685&lt;&gt;"",C684&lt;&gt;"",C685=C684),"STALE","")</f>
        <v/>
      </c>
      <c r="M685" s="106">
        <f>IF(D685="","",ABS(D685-G$5))</f>
        <v>1.0000000000000231</v>
      </c>
    </row>
    <row r="686" spans="2:13" ht="13.5" customHeight="1" x14ac:dyDescent="0.55000000000000004">
      <c r="B686" s="94">
        <v>45889</v>
      </c>
      <c r="C686" s="99">
        <v>3.32</v>
      </c>
      <c r="D686" s="99">
        <f t="shared" si="114"/>
        <v>0.99999999999997868</v>
      </c>
      <c r="E686" s="99">
        <f t="shared" si="115"/>
        <v>7.2624682018508774E-2</v>
      </c>
      <c r="F686" s="99">
        <f t="shared" si="116"/>
        <v>0.3372499999999925</v>
      </c>
      <c r="G686" s="99">
        <f t="shared" si="117"/>
        <v>0.30699847239498568</v>
      </c>
      <c r="H686" s="99" t="str">
        <f t="shared" si="118"/>
        <v/>
      </c>
      <c r="I686" s="99" t="str">
        <f t="shared" si="119"/>
        <v/>
      </c>
      <c r="J686" s="99" t="str">
        <f t="shared" si="120"/>
        <v/>
      </c>
      <c r="K686" s="99" t="str">
        <f t="shared" si="121"/>
        <v/>
      </c>
      <c r="L686" s="99" t="str">
        <f t="shared" si="122"/>
        <v/>
      </c>
      <c r="M686" s="106">
        <f>IF(D686="","",ABS(D686-G$5))</f>
        <v>0.99999999999997868</v>
      </c>
    </row>
    <row r="687" spans="2:13" ht="13.5" customHeight="1" x14ac:dyDescent="0.55000000000000004">
      <c r="B687" s="94">
        <v>45890</v>
      </c>
      <c r="C687" s="99">
        <v>3.32</v>
      </c>
      <c r="D687" s="99">
        <f t="shared" si="114"/>
        <v>0</v>
      </c>
      <c r="E687" s="99">
        <f t="shared" si="115"/>
        <v>2.1587520159630759E-2</v>
      </c>
      <c r="F687" s="99">
        <f t="shared" si="116"/>
        <v>0</v>
      </c>
      <c r="G687" s="99">
        <f t="shared" si="117"/>
        <v>9.6146315464266621E-2</v>
      </c>
      <c r="H687" s="99" t="str">
        <f t="shared" si="118"/>
        <v/>
      </c>
      <c r="I687" s="99" t="str">
        <f t="shared" si="119"/>
        <v/>
      </c>
      <c r="J687" s="99" t="str">
        <f t="shared" si="120"/>
        <v/>
      </c>
      <c r="K687" s="99" t="str">
        <f t="shared" si="121"/>
        <v/>
      </c>
      <c r="L687" s="99" t="str">
        <f t="shared" si="122"/>
        <v>STALE</v>
      </c>
      <c r="M687" s="106">
        <f>IF(D687="","",ABS(D687-G$5))</f>
        <v>0</v>
      </c>
    </row>
    <row r="688" spans="2:13" ht="13.5" customHeight="1" x14ac:dyDescent="0.55000000000000004">
      <c r="B688" s="94">
        <v>45891</v>
      </c>
      <c r="C688" s="99">
        <v>3.34</v>
      </c>
      <c r="D688" s="99">
        <f t="shared" si="114"/>
        <v>2.0000000000000018</v>
      </c>
      <c r="E688" s="99">
        <f t="shared" si="115"/>
        <v>0.16683688419665252</v>
      </c>
      <c r="F688" s="99">
        <f t="shared" si="116"/>
        <v>0.67449999999999999</v>
      </c>
      <c r="G688" s="99">
        <f t="shared" si="117"/>
        <v>0.76027686198124789</v>
      </c>
      <c r="H688" s="99" t="str">
        <f t="shared" si="118"/>
        <v/>
      </c>
      <c r="I688" s="99" t="str">
        <f t="shared" si="119"/>
        <v/>
      </c>
      <c r="J688" s="99" t="str">
        <f t="shared" si="120"/>
        <v/>
      </c>
      <c r="K688" s="99" t="str">
        <f t="shared" si="121"/>
        <v/>
      </c>
      <c r="L688" s="99" t="str">
        <f t="shared" si="122"/>
        <v/>
      </c>
      <c r="M688" s="106">
        <f>IF(D688="","",ABS(D688-G$5))</f>
        <v>2.0000000000000018</v>
      </c>
    </row>
    <row r="689" spans="2:13" ht="13.5" customHeight="1" x14ac:dyDescent="0.55000000000000004">
      <c r="B689" s="94">
        <v>45894</v>
      </c>
      <c r="C689" s="99">
        <v>3.34</v>
      </c>
      <c r="D689" s="99">
        <f t="shared" si="114"/>
        <v>0</v>
      </c>
      <c r="E689" s="99">
        <f t="shared" si="115"/>
        <v>2.1587520159630759E-2</v>
      </c>
      <c r="F689" s="99">
        <f t="shared" si="116"/>
        <v>0</v>
      </c>
      <c r="G689" s="99">
        <f t="shared" si="117"/>
        <v>0.10364010286689491</v>
      </c>
      <c r="H689" s="99" t="str">
        <f t="shared" si="118"/>
        <v/>
      </c>
      <c r="I689" s="99" t="str">
        <f t="shared" si="119"/>
        <v/>
      </c>
      <c r="J689" s="99" t="str">
        <f t="shared" si="120"/>
        <v/>
      </c>
      <c r="K689" s="99" t="str">
        <f t="shared" si="121"/>
        <v/>
      </c>
      <c r="L689" s="99" t="str">
        <f t="shared" si="122"/>
        <v>STALE</v>
      </c>
      <c r="M689" s="106">
        <f>IF(D689="","",ABS(D689-G$5))</f>
        <v>0</v>
      </c>
    </row>
    <row r="690" spans="2:13" ht="13.5" customHeight="1" x14ac:dyDescent="0.55000000000000004">
      <c r="B690" s="94">
        <v>45895</v>
      </c>
      <c r="C690" s="99">
        <v>3.33</v>
      </c>
      <c r="D690" s="99">
        <f t="shared" si="114"/>
        <v>-0.99999999999997868</v>
      </c>
      <c r="E690" s="99">
        <f t="shared" si="115"/>
        <v>0.11579972233777029</v>
      </c>
      <c r="F690" s="99">
        <f t="shared" si="116"/>
        <v>0.3372499999999925</v>
      </c>
      <c r="G690" s="99">
        <f t="shared" si="117"/>
        <v>0.57620803595733217</v>
      </c>
      <c r="H690" s="99" t="str">
        <f t="shared" si="118"/>
        <v/>
      </c>
      <c r="I690" s="99" t="str">
        <f t="shared" si="119"/>
        <v/>
      </c>
      <c r="J690" s="99" t="str">
        <f t="shared" si="120"/>
        <v/>
      </c>
      <c r="K690" s="99" t="str">
        <f t="shared" si="121"/>
        <v/>
      </c>
      <c r="L690" s="99" t="str">
        <f t="shared" si="122"/>
        <v/>
      </c>
      <c r="M690" s="106">
        <f>IF(D690="","",ABS(D690-G$5))</f>
        <v>0.99999999999997868</v>
      </c>
    </row>
    <row r="691" spans="2:13" ht="13.5" customHeight="1" x14ac:dyDescent="0.55000000000000004">
      <c r="B691" s="94">
        <v>45896</v>
      </c>
      <c r="C691" s="99">
        <v>3.32</v>
      </c>
      <c r="D691" s="99">
        <f t="shared" si="114"/>
        <v>-1.0000000000000231</v>
      </c>
      <c r="E691" s="99">
        <f t="shared" si="115"/>
        <v>0.11579972233777447</v>
      </c>
      <c r="F691" s="99">
        <f t="shared" si="116"/>
        <v>0.33725000000000749</v>
      </c>
      <c r="G691" s="99">
        <f t="shared" si="117"/>
        <v>0.59647408602392393</v>
      </c>
      <c r="H691" s="99" t="str">
        <f t="shared" si="118"/>
        <v/>
      </c>
      <c r="I691" s="99" t="str">
        <f t="shared" si="119"/>
        <v/>
      </c>
      <c r="J691" s="99" t="str">
        <f t="shared" si="120"/>
        <v/>
      </c>
      <c r="K691" s="99" t="str">
        <f t="shared" si="121"/>
        <v/>
      </c>
      <c r="L691" s="99" t="str">
        <f t="shared" si="122"/>
        <v/>
      </c>
      <c r="M691" s="106">
        <f>IF(D691="","",ABS(D691-G$5))</f>
        <v>1.0000000000000231</v>
      </c>
    </row>
    <row r="692" spans="2:13" ht="13.5" customHeight="1" x14ac:dyDescent="0.55000000000000004">
      <c r="B692" s="94">
        <v>45897</v>
      </c>
      <c r="C692" s="99">
        <v>3.33</v>
      </c>
      <c r="D692" s="99">
        <f t="shared" si="114"/>
        <v>1.0000000000000231</v>
      </c>
      <c r="E692" s="99">
        <f t="shared" si="115"/>
        <v>7.2624682018512965E-2</v>
      </c>
      <c r="F692" s="99">
        <f t="shared" si="116"/>
        <v>0.33725000000000749</v>
      </c>
      <c r="G692" s="99">
        <f t="shared" si="117"/>
        <v>0.39128813053089806</v>
      </c>
      <c r="H692" s="99" t="str">
        <f t="shared" si="118"/>
        <v/>
      </c>
      <c r="I692" s="99" t="str">
        <f t="shared" si="119"/>
        <v/>
      </c>
      <c r="J692" s="99" t="str">
        <f t="shared" si="120"/>
        <v/>
      </c>
      <c r="K692" s="99" t="str">
        <f t="shared" si="121"/>
        <v/>
      </c>
      <c r="L692" s="99" t="str">
        <f t="shared" si="122"/>
        <v/>
      </c>
      <c r="M692" s="106">
        <f>IF(D692="","",ABS(D692-G$5))</f>
        <v>1.0000000000000231</v>
      </c>
    </row>
    <row r="693" spans="2:13" ht="13.5" customHeight="1" x14ac:dyDescent="0.55000000000000004">
      <c r="B693" s="94">
        <v>45898</v>
      </c>
      <c r="C693" s="99">
        <v>3.32</v>
      </c>
      <c r="D693" s="99">
        <f t="shared" si="114"/>
        <v>-1.0000000000000231</v>
      </c>
      <c r="E693" s="99">
        <f t="shared" si="115"/>
        <v>0.11579972233777447</v>
      </c>
      <c r="F693" s="99">
        <f t="shared" si="116"/>
        <v>0.33725000000000749</v>
      </c>
      <c r="G693" s="99">
        <f t="shared" si="117"/>
        <v>0.64387900328511949</v>
      </c>
      <c r="H693" s="99" t="str">
        <f t="shared" si="118"/>
        <v/>
      </c>
      <c r="I693" s="99" t="str">
        <f t="shared" si="119"/>
        <v/>
      </c>
      <c r="J693" s="99" t="str">
        <f t="shared" si="120"/>
        <v/>
      </c>
      <c r="K693" s="99" t="str">
        <f t="shared" si="121"/>
        <v/>
      </c>
      <c r="L693" s="99" t="str">
        <f t="shared" si="122"/>
        <v/>
      </c>
      <c r="M693" s="106">
        <f>IF(D693="","",ABS(D693-G$5))</f>
        <v>1.0000000000000231</v>
      </c>
    </row>
    <row r="694" spans="2:13" ht="13.5" customHeight="1" x14ac:dyDescent="0.55000000000000004">
      <c r="B694" s="94">
        <v>45901</v>
      </c>
      <c r="C694" s="99"/>
      <c r="D694" s="99" t="str">
        <f t="shared" si="114"/>
        <v/>
      </c>
      <c r="E694" s="99" t="str">
        <f t="shared" si="115"/>
        <v/>
      </c>
      <c r="F694" s="99" t="str">
        <f t="shared" si="116"/>
        <v/>
      </c>
      <c r="G694" s="99" t="str">
        <f t="shared" si="117"/>
        <v/>
      </c>
      <c r="H694" s="99" t="str">
        <f t="shared" si="118"/>
        <v/>
      </c>
      <c r="I694" s="99" t="str">
        <f t="shared" si="119"/>
        <v/>
      </c>
      <c r="J694" s="99" t="str">
        <f t="shared" si="120"/>
        <v/>
      </c>
      <c r="K694" s="99" t="str">
        <f t="shared" si="121"/>
        <v>MISSING</v>
      </c>
      <c r="L694" s="99" t="str">
        <f t="shared" si="122"/>
        <v/>
      </c>
      <c r="M694" s="106" t="str">
        <f>IF(D694="","",ABS(D694-G$5))</f>
        <v/>
      </c>
    </row>
    <row r="695" spans="2:13" ht="13.5" customHeight="1" x14ac:dyDescent="0.55000000000000004">
      <c r="B695" s="94">
        <v>45902</v>
      </c>
      <c r="C695" s="99">
        <v>3.32</v>
      </c>
      <c r="D695" s="99" t="str">
        <f t="shared" si="114"/>
        <v/>
      </c>
      <c r="E695" s="99" t="str">
        <f t="shared" si="115"/>
        <v/>
      </c>
      <c r="F695" s="99" t="str">
        <f t="shared" si="116"/>
        <v/>
      </c>
      <c r="G695" s="99" t="str">
        <f t="shared" si="117"/>
        <v/>
      </c>
      <c r="H695" s="99" t="str">
        <f t="shared" si="118"/>
        <v/>
      </c>
      <c r="I695" s="99" t="str">
        <f t="shared" si="119"/>
        <v/>
      </c>
      <c r="J695" s="99" t="str">
        <f t="shared" si="120"/>
        <v/>
      </c>
      <c r="K695" s="99" t="str">
        <f t="shared" si="121"/>
        <v/>
      </c>
      <c r="L695" s="99" t="str">
        <f t="shared" si="122"/>
        <v/>
      </c>
      <c r="M695" s="106" t="str">
        <f>IF(D695="","",ABS(D695-G$5))</f>
        <v/>
      </c>
    </row>
    <row r="696" spans="2:13" ht="13.5" customHeight="1" x14ac:dyDescent="0.55000000000000004">
      <c r="B696" s="94">
        <v>45903</v>
      </c>
      <c r="C696" s="99">
        <v>3.33</v>
      </c>
      <c r="D696" s="99">
        <f t="shared" si="114"/>
        <v>1.0000000000000231</v>
      </c>
      <c r="E696" s="99">
        <f t="shared" si="115"/>
        <v>7.2624682018512965E-2</v>
      </c>
      <c r="F696" s="99">
        <f t="shared" si="116"/>
        <v>0.33725000000000749</v>
      </c>
      <c r="G696" s="99">
        <f t="shared" si="117"/>
        <v>7.6530714828606058E-2</v>
      </c>
      <c r="H696" s="99" t="str">
        <f t="shared" si="118"/>
        <v/>
      </c>
      <c r="I696" s="99" t="str">
        <f t="shared" si="119"/>
        <v/>
      </c>
      <c r="J696" s="99" t="str">
        <f t="shared" si="120"/>
        <v/>
      </c>
      <c r="K696" s="99" t="str">
        <f t="shared" si="121"/>
        <v/>
      </c>
      <c r="L696" s="99" t="str">
        <f t="shared" si="122"/>
        <v/>
      </c>
      <c r="M696" s="106">
        <f>IF(D696="","",ABS(D696-G$5))</f>
        <v>1.0000000000000231</v>
      </c>
    </row>
    <row r="697" spans="2:13" ht="13.5" customHeight="1" x14ac:dyDescent="0.55000000000000004">
      <c r="B697" s="94">
        <v>45904</v>
      </c>
      <c r="C697" s="99">
        <v>3.33</v>
      </c>
      <c r="D697" s="99">
        <f t="shared" si="114"/>
        <v>0</v>
      </c>
      <c r="E697" s="99">
        <f t="shared" si="115"/>
        <v>2.1587520159630759E-2</v>
      </c>
      <c r="F697" s="99">
        <f t="shared" si="116"/>
        <v>0</v>
      </c>
      <c r="G697" s="99">
        <f t="shared" si="117"/>
        <v>2.3978418835479621E-2</v>
      </c>
      <c r="H697" s="99" t="str">
        <f t="shared" si="118"/>
        <v/>
      </c>
      <c r="I697" s="99" t="str">
        <f t="shared" si="119"/>
        <v/>
      </c>
      <c r="J697" s="99" t="str">
        <f t="shared" si="120"/>
        <v/>
      </c>
      <c r="K697" s="99" t="str">
        <f t="shared" si="121"/>
        <v/>
      </c>
      <c r="L697" s="99" t="str">
        <f t="shared" si="122"/>
        <v>STALE</v>
      </c>
      <c r="M697" s="106">
        <f>IF(D697="","",ABS(D697-G$5))</f>
        <v>0</v>
      </c>
    </row>
    <row r="698" spans="2:13" ht="13.5" customHeight="1" x14ac:dyDescent="0.55000000000000004">
      <c r="B698" s="94">
        <v>45905</v>
      </c>
      <c r="C698" s="99">
        <v>3.32</v>
      </c>
      <c r="D698" s="99">
        <f t="shared" si="114"/>
        <v>-1.0000000000000231</v>
      </c>
      <c r="E698" s="99">
        <f t="shared" si="115"/>
        <v>0.11579972233777447</v>
      </c>
      <c r="F698" s="99">
        <f t="shared" si="116"/>
        <v>0.33725000000000749</v>
      </c>
      <c r="G698" s="99">
        <f t="shared" si="117"/>
        <v>0.13545818159879808</v>
      </c>
      <c r="H698" s="99" t="str">
        <f t="shared" si="118"/>
        <v/>
      </c>
      <c r="I698" s="99" t="str">
        <f t="shared" si="119"/>
        <v/>
      </c>
      <c r="J698" s="99" t="str">
        <f t="shared" si="120"/>
        <v/>
      </c>
      <c r="K698" s="99" t="str">
        <f t="shared" si="121"/>
        <v/>
      </c>
      <c r="L698" s="99" t="str">
        <f t="shared" si="122"/>
        <v/>
      </c>
      <c r="M698" s="106">
        <f>IF(D698="","",ABS(D698-G$5))</f>
        <v>1.0000000000000231</v>
      </c>
    </row>
    <row r="699" spans="2:13" ht="13.5" customHeight="1" x14ac:dyDescent="0.55000000000000004">
      <c r="B699" s="94">
        <v>45908</v>
      </c>
      <c r="C699" s="99">
        <v>3.32</v>
      </c>
      <c r="D699" s="99">
        <f t="shared" si="114"/>
        <v>0</v>
      </c>
      <c r="E699" s="99">
        <f t="shared" si="115"/>
        <v>2.1587520159630759E-2</v>
      </c>
      <c r="F699" s="99">
        <f t="shared" si="116"/>
        <v>0</v>
      </c>
      <c r="G699" s="99">
        <f t="shared" si="117"/>
        <v>2.6617290205052602E-2</v>
      </c>
      <c r="H699" s="99" t="str">
        <f t="shared" si="118"/>
        <v/>
      </c>
      <c r="I699" s="99" t="str">
        <f t="shared" si="119"/>
        <v/>
      </c>
      <c r="J699" s="99" t="str">
        <f t="shared" si="120"/>
        <v/>
      </c>
      <c r="K699" s="99" t="str">
        <f t="shared" si="121"/>
        <v/>
      </c>
      <c r="L699" s="99" t="str">
        <f t="shared" si="122"/>
        <v>STALE</v>
      </c>
      <c r="M699" s="106">
        <f>IF(D699="","",ABS(D699-G$5))</f>
        <v>0</v>
      </c>
    </row>
    <row r="700" spans="2:13" ht="13.5" customHeight="1" x14ac:dyDescent="0.55000000000000004">
      <c r="B700" s="94">
        <v>45909</v>
      </c>
      <c r="C700" s="99">
        <v>3.33</v>
      </c>
      <c r="D700" s="99">
        <f t="shared" si="114"/>
        <v>1.0000000000000231</v>
      </c>
      <c r="E700" s="99">
        <f t="shared" si="115"/>
        <v>7.2624682018512965E-2</v>
      </c>
      <c r="F700" s="99">
        <f t="shared" si="116"/>
        <v>0.33725000000000749</v>
      </c>
      <c r="G700" s="99">
        <f t="shared" si="117"/>
        <v>9.4347564520524133E-2</v>
      </c>
      <c r="H700" s="99" t="str">
        <f t="shared" si="118"/>
        <v/>
      </c>
      <c r="I700" s="99" t="str">
        <f t="shared" si="119"/>
        <v/>
      </c>
      <c r="J700" s="99" t="str">
        <f t="shared" si="120"/>
        <v/>
      </c>
      <c r="K700" s="99" t="str">
        <f t="shared" si="121"/>
        <v/>
      </c>
      <c r="L700" s="99" t="str">
        <f t="shared" si="122"/>
        <v/>
      </c>
      <c r="M700" s="106">
        <f>IF(D700="","",ABS(D700-G$5))</f>
        <v>1.0000000000000231</v>
      </c>
    </row>
    <row r="701" spans="2:13" ht="13.5" customHeight="1" x14ac:dyDescent="0.55000000000000004">
      <c r="B701" s="94">
        <v>45910</v>
      </c>
      <c r="C701" s="99">
        <v>3.33</v>
      </c>
      <c r="D701" s="99">
        <f t="shared" si="114"/>
        <v>0</v>
      </c>
      <c r="E701" s="99">
        <f t="shared" si="115"/>
        <v>2.1587520159630759E-2</v>
      </c>
      <c r="F701" s="99">
        <f t="shared" si="116"/>
        <v>0</v>
      </c>
      <c r="G701" s="99">
        <f t="shared" si="117"/>
        <v>2.9560309437258809E-2</v>
      </c>
      <c r="H701" s="99" t="str">
        <f t="shared" si="118"/>
        <v/>
      </c>
      <c r="I701" s="99" t="str">
        <f t="shared" si="119"/>
        <v/>
      </c>
      <c r="J701" s="99" t="str">
        <f t="shared" si="120"/>
        <v/>
      </c>
      <c r="K701" s="99" t="str">
        <f t="shared" si="121"/>
        <v/>
      </c>
      <c r="L701" s="99" t="str">
        <f t="shared" si="122"/>
        <v>STALE</v>
      </c>
      <c r="M701" s="106">
        <f>IF(D701="","",ABS(D701-G$5))</f>
        <v>0</v>
      </c>
    </row>
    <row r="702" spans="2:13" ht="13.5" customHeight="1" x14ac:dyDescent="0.55000000000000004">
      <c r="B702" s="94">
        <v>45911</v>
      </c>
      <c r="C702" s="99">
        <v>3.34</v>
      </c>
      <c r="D702" s="99">
        <f t="shared" si="114"/>
        <v>0.99999999999997868</v>
      </c>
      <c r="E702" s="99">
        <f t="shared" si="115"/>
        <v>7.2624682018508774E-2</v>
      </c>
      <c r="F702" s="99">
        <f t="shared" si="116"/>
        <v>0.3372499999999925</v>
      </c>
      <c r="G702" s="99">
        <f t="shared" si="117"/>
        <v>0.10476850040290471</v>
      </c>
      <c r="H702" s="99" t="str">
        <f t="shared" si="118"/>
        <v/>
      </c>
      <c r="I702" s="99" t="str">
        <f t="shared" si="119"/>
        <v/>
      </c>
      <c r="J702" s="99" t="str">
        <f t="shared" si="120"/>
        <v/>
      </c>
      <c r="K702" s="99" t="str">
        <f t="shared" si="121"/>
        <v/>
      </c>
      <c r="L702" s="99" t="str">
        <f t="shared" si="122"/>
        <v/>
      </c>
      <c r="M702" s="106">
        <f>IF(D702="","",ABS(D702-G$5))</f>
        <v>0.99999999999997868</v>
      </c>
    </row>
    <row r="703" spans="2:13" ht="13.5" customHeight="1" x14ac:dyDescent="0.55000000000000004">
      <c r="B703" s="94">
        <v>45912</v>
      </c>
      <c r="C703" s="99">
        <v>3.34</v>
      </c>
      <c r="D703" s="99">
        <f t="shared" si="114"/>
        <v>0</v>
      </c>
      <c r="E703" s="99">
        <f t="shared" si="115"/>
        <v>2.1587520159630759E-2</v>
      </c>
      <c r="F703" s="99">
        <f t="shared" si="116"/>
        <v>0</v>
      </c>
      <c r="G703" s="99">
        <f t="shared" si="117"/>
        <v>3.2824988817988808E-2</v>
      </c>
      <c r="H703" s="99" t="str">
        <f t="shared" si="118"/>
        <v/>
      </c>
      <c r="I703" s="99" t="str">
        <f t="shared" si="119"/>
        <v/>
      </c>
      <c r="J703" s="99" t="str">
        <f t="shared" si="120"/>
        <v/>
      </c>
      <c r="K703" s="99" t="str">
        <f t="shared" si="121"/>
        <v/>
      </c>
      <c r="L703" s="99" t="str">
        <f t="shared" si="122"/>
        <v>STALE</v>
      </c>
      <c r="M703" s="106">
        <f>IF(D703="","",ABS(D703-G$5))</f>
        <v>0</v>
      </c>
    </row>
    <row r="704" spans="2:13" ht="13.5" customHeight="1" x14ac:dyDescent="0.55000000000000004">
      <c r="B704" s="94">
        <v>45915</v>
      </c>
      <c r="C704" s="99">
        <v>3.34</v>
      </c>
      <c r="D704" s="99">
        <f t="shared" si="114"/>
        <v>0</v>
      </c>
      <c r="E704" s="99">
        <f t="shared" si="115"/>
        <v>2.1587520159630759E-2</v>
      </c>
      <c r="F704" s="99">
        <f t="shared" si="116"/>
        <v>0</v>
      </c>
      <c r="G704" s="99">
        <f t="shared" si="117"/>
        <v>3.4598505273801601E-2</v>
      </c>
      <c r="H704" s="99" t="str">
        <f t="shared" si="118"/>
        <v/>
      </c>
      <c r="I704" s="99" t="str">
        <f t="shared" si="119"/>
        <v/>
      </c>
      <c r="J704" s="99" t="str">
        <f t="shared" si="120"/>
        <v/>
      </c>
      <c r="K704" s="99" t="str">
        <f t="shared" si="121"/>
        <v/>
      </c>
      <c r="L704" s="99" t="str">
        <f t="shared" si="122"/>
        <v>STALE</v>
      </c>
      <c r="M704" s="106">
        <f>IF(D704="","",ABS(D704-G$5))</f>
        <v>0</v>
      </c>
    </row>
    <row r="705" spans="2:13" ht="13.5" customHeight="1" x14ac:dyDescent="0.55000000000000004">
      <c r="B705" s="94">
        <v>45916</v>
      </c>
      <c r="C705" s="99">
        <v>3.33</v>
      </c>
      <c r="D705" s="99">
        <f t="shared" si="114"/>
        <v>-0.99999999999997868</v>
      </c>
      <c r="E705" s="99">
        <f t="shared" si="115"/>
        <v>0.11579972233777029</v>
      </c>
      <c r="F705" s="99">
        <f t="shared" si="116"/>
        <v>0.3372499999999925</v>
      </c>
      <c r="G705" s="99">
        <f t="shared" si="117"/>
        <v>0.1952591360228895</v>
      </c>
      <c r="H705" s="99" t="str">
        <f t="shared" si="118"/>
        <v/>
      </c>
      <c r="I705" s="99" t="str">
        <f t="shared" si="119"/>
        <v/>
      </c>
      <c r="J705" s="99" t="str">
        <f t="shared" si="120"/>
        <v/>
      </c>
      <c r="K705" s="99" t="str">
        <f t="shared" si="121"/>
        <v/>
      </c>
      <c r="L705" s="99" t="str">
        <f t="shared" si="122"/>
        <v/>
      </c>
      <c r="M705" s="106">
        <f>IF(D705="","",ABS(D705-G$5))</f>
        <v>0.99999999999997868</v>
      </c>
    </row>
    <row r="706" spans="2:13" ht="13.5" customHeight="1" x14ac:dyDescent="0.55000000000000004">
      <c r="B706" s="94">
        <v>45917</v>
      </c>
      <c r="C706" s="99">
        <v>3.33</v>
      </c>
      <c r="D706" s="99">
        <f t="shared" si="114"/>
        <v>0</v>
      </c>
      <c r="E706" s="99">
        <f t="shared" si="115"/>
        <v>2.1587520159630759E-2</v>
      </c>
      <c r="F706" s="99">
        <f t="shared" si="116"/>
        <v>0</v>
      </c>
      <c r="G706" s="99">
        <f t="shared" si="117"/>
        <v>3.8366605837596955E-2</v>
      </c>
      <c r="H706" s="99" t="str">
        <f t="shared" si="118"/>
        <v/>
      </c>
      <c r="I706" s="99" t="str">
        <f t="shared" si="119"/>
        <v/>
      </c>
      <c r="J706" s="99" t="str">
        <f t="shared" si="120"/>
        <v/>
      </c>
      <c r="K706" s="99" t="str">
        <f t="shared" si="121"/>
        <v/>
      </c>
      <c r="L706" s="99" t="str">
        <f t="shared" si="122"/>
        <v>STALE</v>
      </c>
      <c r="M706" s="106">
        <f>IF(D706="","",ABS(D706-G$5))</f>
        <v>0</v>
      </c>
    </row>
    <row r="707" spans="2:13" ht="13.5" customHeight="1" x14ac:dyDescent="0.55000000000000004">
      <c r="B707" s="94">
        <v>45918</v>
      </c>
      <c r="C707" s="99">
        <v>3.3</v>
      </c>
      <c r="D707" s="99">
        <f t="shared" si="114"/>
        <v>-3.0000000000000249</v>
      </c>
      <c r="E707" s="99">
        <f t="shared" si="115"/>
        <v>0.30422412669405774</v>
      </c>
      <c r="F707" s="99">
        <f t="shared" si="116"/>
        <v>1.0117500000000075</v>
      </c>
      <c r="G707" s="99">
        <f t="shared" si="117"/>
        <v>0.56089520384610136</v>
      </c>
      <c r="H707" s="99" t="str">
        <f t="shared" si="118"/>
        <v/>
      </c>
      <c r="I707" s="99" t="str">
        <f t="shared" si="119"/>
        <v/>
      </c>
      <c r="J707" s="99" t="str">
        <f t="shared" si="120"/>
        <v/>
      </c>
      <c r="K707" s="99" t="str">
        <f t="shared" si="121"/>
        <v/>
      </c>
      <c r="L707" s="99" t="str">
        <f t="shared" si="122"/>
        <v/>
      </c>
      <c r="M707" s="106">
        <f>IF(D707="","",ABS(D707-G$5))</f>
        <v>3.0000000000000249</v>
      </c>
    </row>
    <row r="708" spans="2:13" ht="13.5" customHeight="1" x14ac:dyDescent="0.55000000000000004">
      <c r="B708" s="94">
        <v>45919</v>
      </c>
      <c r="C708" s="99">
        <v>3.3</v>
      </c>
      <c r="D708" s="99">
        <f t="shared" si="114"/>
        <v>0</v>
      </c>
      <c r="E708" s="99">
        <f t="shared" si="115"/>
        <v>2.1587520159630759E-2</v>
      </c>
      <c r="F708" s="99">
        <f t="shared" si="116"/>
        <v>0</v>
      </c>
      <c r="G708" s="99">
        <f t="shared" si="117"/>
        <v>4.1949941339502618E-2</v>
      </c>
      <c r="H708" s="99" t="str">
        <f t="shared" si="118"/>
        <v/>
      </c>
      <c r="I708" s="99" t="str">
        <f t="shared" si="119"/>
        <v/>
      </c>
      <c r="J708" s="99" t="str">
        <f t="shared" si="120"/>
        <v/>
      </c>
      <c r="K708" s="99" t="str">
        <f t="shared" si="121"/>
        <v/>
      </c>
      <c r="L708" s="99" t="str">
        <f t="shared" si="122"/>
        <v>STALE</v>
      </c>
      <c r="M708" s="106">
        <f>IF(D708="","",ABS(D708-G$5))</f>
        <v>0</v>
      </c>
    </row>
    <row r="709" spans="2:13" ht="13.5" customHeight="1" x14ac:dyDescent="0.55000000000000004">
      <c r="B709" s="94">
        <v>45922</v>
      </c>
      <c r="C709" s="99">
        <v>3.31</v>
      </c>
      <c r="D709" s="99">
        <f t="shared" si="114"/>
        <v>1.0000000000000231</v>
      </c>
      <c r="E709" s="99">
        <f t="shared" si="115"/>
        <v>7.2624682018512965E-2</v>
      </c>
      <c r="F709" s="99">
        <f t="shared" si="116"/>
        <v>0.33725000000000749</v>
      </c>
      <c r="G709" s="99">
        <f t="shared" si="117"/>
        <v>0.14859752398648896</v>
      </c>
      <c r="H709" s="99" t="str">
        <f t="shared" si="118"/>
        <v/>
      </c>
      <c r="I709" s="99" t="str">
        <f t="shared" si="119"/>
        <v/>
      </c>
      <c r="J709" s="99" t="str">
        <f t="shared" si="120"/>
        <v/>
      </c>
      <c r="K709" s="99" t="str">
        <f t="shared" si="121"/>
        <v/>
      </c>
      <c r="L709" s="99" t="str">
        <f t="shared" si="122"/>
        <v/>
      </c>
      <c r="M709" s="106">
        <f>IF(D709="","",ABS(D709-G$5))</f>
        <v>1.0000000000000231</v>
      </c>
    </row>
    <row r="710" spans="2:13" ht="13.5" customHeight="1" x14ac:dyDescent="0.55000000000000004">
      <c r="B710" s="94">
        <v>45923</v>
      </c>
      <c r="C710" s="99">
        <v>3.32</v>
      </c>
      <c r="D710" s="99">
        <f t="shared" si="114"/>
        <v>0.99999999999997868</v>
      </c>
      <c r="E710" s="99">
        <f t="shared" si="115"/>
        <v>7.2624682018508774E-2</v>
      </c>
      <c r="F710" s="99">
        <f t="shared" si="116"/>
        <v>0.3372499999999925</v>
      </c>
      <c r="G710" s="99">
        <f t="shared" si="117"/>
        <v>0.15644374608856754</v>
      </c>
      <c r="H710" s="99" t="str">
        <f t="shared" si="118"/>
        <v/>
      </c>
      <c r="I710" s="99" t="str">
        <f t="shared" si="119"/>
        <v/>
      </c>
      <c r="J710" s="99" t="str">
        <f t="shared" si="120"/>
        <v/>
      </c>
      <c r="K710" s="99" t="str">
        <f t="shared" si="121"/>
        <v/>
      </c>
      <c r="L710" s="99" t="str">
        <f t="shared" si="122"/>
        <v/>
      </c>
      <c r="M710" s="106">
        <f>IF(D710="","",ABS(D710-G$5))</f>
        <v>0.99999999999997868</v>
      </c>
    </row>
    <row r="711" spans="2:13" ht="13.5" customHeight="1" x14ac:dyDescent="0.55000000000000004">
      <c r="B711" s="94">
        <v>45924</v>
      </c>
      <c r="C711" s="99">
        <v>3.31</v>
      </c>
      <c r="D711" s="99">
        <f t="shared" si="114"/>
        <v>-0.99999999999997868</v>
      </c>
      <c r="E711" s="99">
        <f t="shared" si="115"/>
        <v>0.11579972233777029</v>
      </c>
      <c r="F711" s="99">
        <f t="shared" si="116"/>
        <v>0.3372499999999925</v>
      </c>
      <c r="G711" s="99">
        <f t="shared" si="117"/>
        <v>0.26203787397392586</v>
      </c>
      <c r="H711" s="99" t="str">
        <f t="shared" si="118"/>
        <v/>
      </c>
      <c r="I711" s="99" t="str">
        <f t="shared" si="119"/>
        <v/>
      </c>
      <c r="J711" s="99" t="str">
        <f t="shared" si="120"/>
        <v/>
      </c>
      <c r="K711" s="99" t="str">
        <f t="shared" si="121"/>
        <v/>
      </c>
      <c r="L711" s="99" t="str">
        <f t="shared" si="122"/>
        <v/>
      </c>
      <c r="M711" s="106">
        <f>IF(D711="","",ABS(D711-G$5))</f>
        <v>0.99999999999997868</v>
      </c>
    </row>
    <row r="712" spans="2:13" ht="13.5" customHeight="1" x14ac:dyDescent="0.55000000000000004">
      <c r="B712" s="94">
        <v>45925</v>
      </c>
      <c r="C712" s="99">
        <v>3.31</v>
      </c>
      <c r="D712" s="99">
        <f t="shared" si="114"/>
        <v>0</v>
      </c>
      <c r="E712" s="99">
        <f t="shared" si="115"/>
        <v>2.1587520159630759E-2</v>
      </c>
      <c r="F712" s="99">
        <f t="shared" si="116"/>
        <v>0</v>
      </c>
      <c r="G712" s="99">
        <f t="shared" si="117"/>
        <v>5.1484972325063709E-2</v>
      </c>
      <c r="H712" s="99" t="str">
        <f t="shared" si="118"/>
        <v/>
      </c>
      <c r="I712" s="99" t="str">
        <f t="shared" si="119"/>
        <v/>
      </c>
      <c r="J712" s="99" t="str">
        <f t="shared" si="120"/>
        <v/>
      </c>
      <c r="K712" s="99" t="str">
        <f t="shared" si="121"/>
        <v/>
      </c>
      <c r="L712" s="99" t="str">
        <f t="shared" si="122"/>
        <v>STALE</v>
      </c>
      <c r="M712" s="106">
        <f>IF(D712="","",ABS(D712-G$5))</f>
        <v>0</v>
      </c>
    </row>
    <row r="713" spans="2:13" ht="13.5" customHeight="1" x14ac:dyDescent="0.55000000000000004">
      <c r="B713" s="94">
        <v>45926</v>
      </c>
      <c r="C713" s="99">
        <v>3.32</v>
      </c>
      <c r="D713" s="99">
        <f t="shared" si="114"/>
        <v>0.99999999999997868</v>
      </c>
      <c r="E713" s="99">
        <f t="shared" si="115"/>
        <v>7.2624682018508774E-2</v>
      </c>
      <c r="F713" s="99">
        <f t="shared" si="116"/>
        <v>0.3372499999999925</v>
      </c>
      <c r="G713" s="99">
        <f t="shared" si="117"/>
        <v>0.18227121634094418</v>
      </c>
      <c r="H713" s="99" t="str">
        <f t="shared" si="118"/>
        <v/>
      </c>
      <c r="I713" s="99" t="str">
        <f t="shared" si="119"/>
        <v/>
      </c>
      <c r="J713" s="99" t="str">
        <f t="shared" si="120"/>
        <v/>
      </c>
      <c r="K713" s="99" t="str">
        <f t="shared" si="121"/>
        <v/>
      </c>
      <c r="L713" s="99" t="str">
        <f t="shared" si="122"/>
        <v/>
      </c>
      <c r="M713" s="106">
        <f>IF(D713="","",ABS(D713-G$5))</f>
        <v>0.99999999999997868</v>
      </c>
    </row>
    <row r="714" spans="2:13" ht="13.5" customHeight="1" x14ac:dyDescent="0.55000000000000004">
      <c r="B714" s="94">
        <v>45929</v>
      </c>
      <c r="C714" s="99">
        <v>3.33</v>
      </c>
      <c r="D714" s="99">
        <f t="shared" si="114"/>
        <v>1.0000000000000231</v>
      </c>
      <c r="E714" s="99">
        <f t="shared" si="115"/>
        <v>7.2624682018512965E-2</v>
      </c>
      <c r="F714" s="99">
        <f t="shared" si="116"/>
        <v>0.33725000000000749</v>
      </c>
      <c r="G714" s="99">
        <f t="shared" si="117"/>
        <v>0.19177709282757036</v>
      </c>
      <c r="H714" s="99" t="str">
        <f t="shared" si="118"/>
        <v/>
      </c>
      <c r="I714" s="99" t="str">
        <f t="shared" si="119"/>
        <v/>
      </c>
      <c r="J714" s="99" t="str">
        <f t="shared" si="120"/>
        <v/>
      </c>
      <c r="K714" s="99" t="str">
        <f t="shared" si="121"/>
        <v/>
      </c>
      <c r="L714" s="99" t="str">
        <f t="shared" si="122"/>
        <v/>
      </c>
      <c r="M714" s="106">
        <f>IF(D714="","",ABS(D714-G$5))</f>
        <v>1.0000000000000231</v>
      </c>
    </row>
    <row r="715" spans="2:13" ht="13.5" customHeight="1" x14ac:dyDescent="0.55000000000000004">
      <c r="B715" s="94">
        <v>45930</v>
      </c>
      <c r="C715" s="99">
        <v>3.36</v>
      </c>
      <c r="D715" s="99">
        <f t="shared" si="114"/>
        <v>2.9999999999999805</v>
      </c>
      <c r="E715" s="99">
        <f t="shared" si="115"/>
        <v>0.26104908637479202</v>
      </c>
      <c r="F715" s="99">
        <f t="shared" si="116"/>
        <v>1.0117499999999926</v>
      </c>
      <c r="G715" s="99">
        <f t="shared" si="117"/>
        <v>0.70817509550228908</v>
      </c>
      <c r="H715" s="99" t="str">
        <f t="shared" si="118"/>
        <v/>
      </c>
      <c r="I715" s="99" t="str">
        <f t="shared" si="119"/>
        <v/>
      </c>
      <c r="J715" s="99" t="str">
        <f t="shared" si="120"/>
        <v/>
      </c>
      <c r="K715" s="99" t="str">
        <f t="shared" si="121"/>
        <v/>
      </c>
      <c r="L715" s="99" t="str">
        <f t="shared" si="122"/>
        <v/>
      </c>
      <c r="M715" s="106">
        <f>IF(D715="","",ABS(D715-G$5))</f>
        <v>2.9999999999999805</v>
      </c>
    </row>
    <row r="716" spans="2:13" ht="13.5" customHeight="1" x14ac:dyDescent="0.55000000000000004">
      <c r="B716" s="94">
        <v>45931</v>
      </c>
      <c r="C716" s="99">
        <v>3.36</v>
      </c>
      <c r="D716" s="99">
        <f t="shared" si="114"/>
        <v>0</v>
      </c>
      <c r="E716" s="99">
        <f t="shared" si="115"/>
        <v>2.1587520159630759E-2</v>
      </c>
      <c r="F716" s="99">
        <f t="shared" si="116"/>
        <v>0</v>
      </c>
      <c r="G716" s="99">
        <f t="shared" si="117"/>
        <v>6.1718767104452621E-2</v>
      </c>
      <c r="H716" s="99" t="str">
        <f t="shared" si="118"/>
        <v/>
      </c>
      <c r="I716" s="99" t="str">
        <f t="shared" si="119"/>
        <v/>
      </c>
      <c r="J716" s="99" t="str">
        <f t="shared" si="120"/>
        <v/>
      </c>
      <c r="K716" s="99" t="str">
        <f t="shared" si="121"/>
        <v/>
      </c>
      <c r="L716" s="99" t="str">
        <f t="shared" si="122"/>
        <v>STALE</v>
      </c>
      <c r="M716" s="106">
        <f>IF(D716="","",ABS(D716-G$5))</f>
        <v>0</v>
      </c>
    </row>
    <row r="717" spans="2:13" ht="13.5" customHeight="1" x14ac:dyDescent="0.55000000000000004">
      <c r="B717" s="94">
        <v>45932</v>
      </c>
      <c r="C717" s="99">
        <v>3.38</v>
      </c>
      <c r="D717" s="99">
        <f t="shared" si="114"/>
        <v>2.0000000000000018</v>
      </c>
      <c r="E717" s="99">
        <f t="shared" si="115"/>
        <v>0.16683688419665252</v>
      </c>
      <c r="F717" s="99">
        <f t="shared" si="116"/>
        <v>0.67449999999999999</v>
      </c>
      <c r="G717" s="99">
        <f t="shared" si="117"/>
        <v>0.49655131741318531</v>
      </c>
      <c r="H717" s="99" t="str">
        <f t="shared" si="118"/>
        <v/>
      </c>
      <c r="I717" s="99" t="str">
        <f t="shared" si="119"/>
        <v/>
      </c>
      <c r="J717" s="99" t="str">
        <f t="shared" si="120"/>
        <v/>
      </c>
      <c r="K717" s="99" t="str">
        <f t="shared" si="121"/>
        <v/>
      </c>
      <c r="L717" s="99" t="str">
        <f t="shared" si="122"/>
        <v/>
      </c>
      <c r="M717" s="106">
        <f>IF(D717="","",ABS(D717-G$5))</f>
        <v>2.0000000000000018</v>
      </c>
    </row>
    <row r="718" spans="2:13" ht="13.5" customHeight="1" x14ac:dyDescent="0.55000000000000004">
      <c r="B718" s="94">
        <v>45933</v>
      </c>
      <c r="C718" s="99">
        <v>3.43</v>
      </c>
      <c r="D718" s="99">
        <f t="shared" si="114"/>
        <v>5.0000000000000266</v>
      </c>
      <c r="E718" s="99">
        <f t="shared" si="115"/>
        <v>0.44947349073107945</v>
      </c>
      <c r="F718" s="99">
        <f t="shared" si="116"/>
        <v>1.6862500000000074</v>
      </c>
      <c r="G718" s="99">
        <f t="shared" si="117"/>
        <v>1.2878752076344251</v>
      </c>
      <c r="H718" s="99" t="str">
        <f t="shared" si="118"/>
        <v/>
      </c>
      <c r="I718" s="99" t="str">
        <f t="shared" si="119"/>
        <v/>
      </c>
      <c r="J718" s="99" t="str">
        <f t="shared" si="120"/>
        <v/>
      </c>
      <c r="K718" s="99" t="str">
        <f t="shared" si="121"/>
        <v/>
      </c>
      <c r="L718" s="99" t="str">
        <f t="shared" si="122"/>
        <v/>
      </c>
      <c r="M718" s="106">
        <f>IF(D718="","",ABS(D718-G$5))</f>
        <v>5.0000000000000266</v>
      </c>
    </row>
    <row r="719" spans="2:13" ht="13.5" customHeight="1" x14ac:dyDescent="0.55000000000000004">
      <c r="B719" s="94">
        <v>45936</v>
      </c>
      <c r="C719" s="99">
        <v>3.4</v>
      </c>
      <c r="D719" s="99">
        <f t="shared" si="114"/>
        <v>-3.0000000000000249</v>
      </c>
      <c r="E719" s="99">
        <f t="shared" si="115"/>
        <v>0.30422412669405774</v>
      </c>
      <c r="F719" s="99">
        <f t="shared" si="116"/>
        <v>1.0117500000000075</v>
      </c>
      <c r="G719" s="99">
        <f t="shared" si="117"/>
        <v>0.88235190335940505</v>
      </c>
      <c r="H719" s="99" t="str">
        <f t="shared" si="118"/>
        <v/>
      </c>
      <c r="I719" s="99" t="str">
        <f t="shared" si="119"/>
        <v/>
      </c>
      <c r="J719" s="99" t="str">
        <f t="shared" si="120"/>
        <v/>
      </c>
      <c r="K719" s="99" t="str">
        <f t="shared" si="121"/>
        <v/>
      </c>
      <c r="L719" s="99" t="str">
        <f t="shared" si="122"/>
        <v/>
      </c>
      <c r="M719" s="106">
        <f>IF(D719="","",ABS(D719-G$5))</f>
        <v>3.0000000000000249</v>
      </c>
    </row>
    <row r="720" spans="2:13" ht="13.5" customHeight="1" x14ac:dyDescent="0.55000000000000004">
      <c r="B720" s="94">
        <v>45937</v>
      </c>
      <c r="C720" s="99">
        <v>3.42</v>
      </c>
      <c r="D720" s="99">
        <f t="shared" si="114"/>
        <v>2.0000000000000018</v>
      </c>
      <c r="E720" s="99">
        <f t="shared" si="115"/>
        <v>0.16683688419665252</v>
      </c>
      <c r="F720" s="99">
        <f t="shared" si="116"/>
        <v>0.67449999999999999</v>
      </c>
      <c r="G720" s="99">
        <f t="shared" si="117"/>
        <v>0.50354925192971245</v>
      </c>
      <c r="H720" s="99" t="str">
        <f t="shared" si="118"/>
        <v/>
      </c>
      <c r="I720" s="99" t="str">
        <f t="shared" si="119"/>
        <v/>
      </c>
      <c r="J720" s="99" t="str">
        <f t="shared" si="120"/>
        <v/>
      </c>
      <c r="K720" s="99" t="str">
        <f t="shared" si="121"/>
        <v/>
      </c>
      <c r="L720" s="99" t="str">
        <f t="shared" si="122"/>
        <v/>
      </c>
      <c r="M720" s="106">
        <f>IF(D720="","",ABS(D720-G$5))</f>
        <v>2.0000000000000018</v>
      </c>
    </row>
    <row r="721" spans="2:13" ht="13.5" customHeight="1" x14ac:dyDescent="0.55000000000000004">
      <c r="B721" s="94">
        <v>45938</v>
      </c>
      <c r="C721" s="99">
        <v>3.42</v>
      </c>
      <c r="D721" s="99">
        <f t="shared" si="114"/>
        <v>0</v>
      </c>
      <c r="E721" s="99">
        <f t="shared" si="115"/>
        <v>2.1587520159630759E-2</v>
      </c>
      <c r="F721" s="99">
        <f t="shared" si="116"/>
        <v>0</v>
      </c>
      <c r="G721" s="99">
        <f t="shared" si="117"/>
        <v>6.8663981514156008E-2</v>
      </c>
      <c r="H721" s="99" t="str">
        <f t="shared" si="118"/>
        <v/>
      </c>
      <c r="I721" s="99" t="str">
        <f t="shared" si="119"/>
        <v/>
      </c>
      <c r="J721" s="99" t="str">
        <f t="shared" si="120"/>
        <v/>
      </c>
      <c r="K721" s="99" t="str">
        <f t="shared" si="121"/>
        <v/>
      </c>
      <c r="L721" s="99" t="str">
        <f t="shared" si="122"/>
        <v>STALE</v>
      </c>
      <c r="M721" s="106">
        <f>IF(D721="","",ABS(D721-G$5))</f>
        <v>0</v>
      </c>
    </row>
    <row r="722" spans="2:13" ht="13.5" customHeight="1" x14ac:dyDescent="0.55000000000000004">
      <c r="B722" s="94">
        <v>45939</v>
      </c>
      <c r="C722" s="99">
        <v>3.42</v>
      </c>
      <c r="D722" s="99">
        <f t="shared" si="114"/>
        <v>0</v>
      </c>
      <c r="E722" s="99">
        <f t="shared" si="115"/>
        <v>2.1587520159630759E-2</v>
      </c>
      <c r="F722" s="99">
        <f t="shared" si="116"/>
        <v>0</v>
      </c>
      <c r="G722" s="99">
        <f t="shared" si="117"/>
        <v>7.2359241016206957E-2</v>
      </c>
      <c r="H722" s="99" t="str">
        <f t="shared" si="118"/>
        <v/>
      </c>
      <c r="I722" s="99" t="str">
        <f t="shared" si="119"/>
        <v/>
      </c>
      <c r="J722" s="99" t="str">
        <f t="shared" si="120"/>
        <v/>
      </c>
      <c r="K722" s="99" t="str">
        <f t="shared" si="121"/>
        <v/>
      </c>
      <c r="L722" s="99" t="str">
        <f t="shared" si="122"/>
        <v>STALE</v>
      </c>
      <c r="M722" s="106">
        <f>IF(D722="","",ABS(D722-G$5))</f>
        <v>0</v>
      </c>
    </row>
    <row r="723" spans="2:13" ht="13.5" customHeight="1" x14ac:dyDescent="0.55000000000000004">
      <c r="B723" s="94">
        <v>45940</v>
      </c>
      <c r="C723" s="99">
        <v>3.42</v>
      </c>
      <c r="D723" s="99">
        <f t="shared" si="114"/>
        <v>0</v>
      </c>
      <c r="E723" s="99">
        <f t="shared" si="115"/>
        <v>2.1587520159630759E-2</v>
      </c>
      <c r="F723" s="99">
        <f t="shared" si="116"/>
        <v>0</v>
      </c>
      <c r="G723" s="99">
        <f t="shared" si="117"/>
        <v>7.6251160327808515E-2</v>
      </c>
      <c r="H723" s="99" t="str">
        <f t="shared" si="118"/>
        <v/>
      </c>
      <c r="I723" s="99" t="str">
        <f t="shared" si="119"/>
        <v/>
      </c>
      <c r="J723" s="99" t="str">
        <f t="shared" si="120"/>
        <v/>
      </c>
      <c r="K723" s="99" t="str">
        <f t="shared" si="121"/>
        <v/>
      </c>
      <c r="L723" s="99" t="str">
        <f t="shared" si="122"/>
        <v>STALE</v>
      </c>
      <c r="M723" s="106">
        <f>IF(D723="","",ABS(D723-G$5))</f>
        <v>0</v>
      </c>
    </row>
    <row r="724" spans="2:13" ht="13.5" customHeight="1" x14ac:dyDescent="0.55000000000000004">
      <c r="B724" s="94">
        <v>45943</v>
      </c>
      <c r="C724" s="99">
        <v>3.42</v>
      </c>
      <c r="D724" s="99">
        <f t="shared" si="114"/>
        <v>0</v>
      </c>
      <c r="E724" s="99">
        <f t="shared" si="115"/>
        <v>2.1587520159630759E-2</v>
      </c>
      <c r="F724" s="99">
        <f t="shared" si="116"/>
        <v>0</v>
      </c>
      <c r="G724" s="99">
        <f t="shared" si="117"/>
        <v>8.0349830415143292E-2</v>
      </c>
      <c r="H724" s="99" t="str">
        <f t="shared" si="118"/>
        <v/>
      </c>
      <c r="I724" s="99" t="str">
        <f t="shared" si="119"/>
        <v/>
      </c>
      <c r="J724" s="99" t="str">
        <f t="shared" si="120"/>
        <v/>
      </c>
      <c r="K724" s="99" t="str">
        <f t="shared" si="121"/>
        <v/>
      </c>
      <c r="L724" s="99" t="str">
        <f t="shared" si="122"/>
        <v>STALE</v>
      </c>
      <c r="M724" s="106">
        <f>IF(D724="","",ABS(D724-G$5))</f>
        <v>0</v>
      </c>
    </row>
    <row r="725" spans="2:13" ht="13.5" customHeight="1" x14ac:dyDescent="0.55000000000000004">
      <c r="B725" s="94">
        <v>45944</v>
      </c>
      <c r="C725" s="99">
        <v>3.42</v>
      </c>
      <c r="D725" s="99">
        <f t="shared" si="114"/>
        <v>0</v>
      </c>
      <c r="E725" s="99">
        <f t="shared" si="115"/>
        <v>2.1587520159630759E-2</v>
      </c>
      <c r="F725" s="99">
        <f t="shared" si="116"/>
        <v>0</v>
      </c>
      <c r="G725" s="99">
        <f t="shared" si="117"/>
        <v>8.4665796103814195E-2</v>
      </c>
      <c r="H725" s="99" t="str">
        <f t="shared" si="118"/>
        <v/>
      </c>
      <c r="I725" s="99" t="str">
        <f t="shared" si="119"/>
        <v/>
      </c>
      <c r="J725" s="99" t="str">
        <f t="shared" si="120"/>
        <v/>
      </c>
      <c r="K725" s="99" t="str">
        <f t="shared" si="121"/>
        <v/>
      </c>
      <c r="L725" s="99" t="str">
        <f t="shared" si="122"/>
        <v>STALE</v>
      </c>
      <c r="M725" s="106">
        <f>IF(D725="","",ABS(D725-G$5))</f>
        <v>0</v>
      </c>
    </row>
    <row r="726" spans="2:13" ht="13.5" customHeight="1" x14ac:dyDescent="0.55000000000000004">
      <c r="B726" s="94">
        <v>45945</v>
      </c>
      <c r="C726" s="99">
        <v>3.43</v>
      </c>
      <c r="D726" s="99">
        <f t="shared" si="114"/>
        <v>1.0000000000000231</v>
      </c>
      <c r="E726" s="99">
        <f t="shared" si="115"/>
        <v>7.2624682018512965E-2</v>
      </c>
      <c r="F726" s="99">
        <f t="shared" si="116"/>
        <v>0.33725000000000749</v>
      </c>
      <c r="G726" s="99">
        <f t="shared" si="117"/>
        <v>0.29889561857253905</v>
      </c>
      <c r="H726" s="99" t="str">
        <f t="shared" si="118"/>
        <v/>
      </c>
      <c r="I726" s="99" t="str">
        <f t="shared" si="119"/>
        <v/>
      </c>
      <c r="J726" s="99" t="str">
        <f t="shared" si="120"/>
        <v/>
      </c>
      <c r="K726" s="99" t="str">
        <f t="shared" si="121"/>
        <v/>
      </c>
      <c r="L726" s="99" t="str">
        <f t="shared" si="122"/>
        <v/>
      </c>
      <c r="M726" s="106">
        <f>IF(D726="","",ABS(D726-G$5))</f>
        <v>1.0000000000000231</v>
      </c>
    </row>
    <row r="727" spans="2:13" ht="13.5" customHeight="1" x14ac:dyDescent="0.55000000000000004">
      <c r="B727" s="94">
        <v>45946</v>
      </c>
      <c r="C727" s="99">
        <v>3.43</v>
      </c>
      <c r="D727" s="99">
        <f t="shared" si="114"/>
        <v>0</v>
      </c>
      <c r="E727" s="99">
        <f t="shared" si="115"/>
        <v>2.1587520159630759E-2</v>
      </c>
      <c r="F727" s="99">
        <f t="shared" si="116"/>
        <v>0</v>
      </c>
      <c r="G727" s="99">
        <f t="shared" si="117"/>
        <v>9.3610903485066232E-2</v>
      </c>
      <c r="H727" s="99" t="str">
        <f t="shared" si="118"/>
        <v/>
      </c>
      <c r="I727" s="99" t="str">
        <f t="shared" si="119"/>
        <v/>
      </c>
      <c r="J727" s="99" t="str">
        <f t="shared" si="120"/>
        <v/>
      </c>
      <c r="K727" s="99" t="str">
        <f t="shared" si="121"/>
        <v/>
      </c>
      <c r="L727" s="99" t="str">
        <f t="shared" si="122"/>
        <v>STALE</v>
      </c>
      <c r="M727" s="106">
        <f>IF(D727="","",ABS(D727-G$5))</f>
        <v>0</v>
      </c>
    </row>
    <row r="728" spans="2:13" ht="13.5" customHeight="1" x14ac:dyDescent="0.55000000000000004">
      <c r="B728" s="94">
        <v>45947</v>
      </c>
      <c r="C728" s="99">
        <v>3.44</v>
      </c>
      <c r="D728" s="99">
        <f t="shared" si="114"/>
        <v>0.99999999999997868</v>
      </c>
      <c r="E728" s="99">
        <f t="shared" si="115"/>
        <v>7.2624682018508774E-2</v>
      </c>
      <c r="F728" s="99">
        <f t="shared" si="116"/>
        <v>0.3372499999999925</v>
      </c>
      <c r="G728" s="99">
        <f t="shared" si="117"/>
        <v>0.33014660938121348</v>
      </c>
      <c r="H728" s="99" t="str">
        <f t="shared" si="118"/>
        <v/>
      </c>
      <c r="I728" s="99" t="str">
        <f t="shared" si="119"/>
        <v/>
      </c>
      <c r="J728" s="99" t="str">
        <f t="shared" si="120"/>
        <v/>
      </c>
      <c r="K728" s="99" t="str">
        <f t="shared" si="121"/>
        <v/>
      </c>
      <c r="L728" s="99" t="str">
        <f t="shared" si="122"/>
        <v/>
      </c>
      <c r="M728" s="106">
        <f>IF(D728="","",ABS(D728-G$5))</f>
        <v>0.99999999999997868</v>
      </c>
    </row>
    <row r="729" spans="2:13" ht="13.5" customHeight="1" x14ac:dyDescent="0.55000000000000004">
      <c r="B729" s="94">
        <v>45950</v>
      </c>
      <c r="C729" s="99">
        <v>3.43</v>
      </c>
      <c r="D729" s="99">
        <f t="shared" si="114"/>
        <v>-0.99999999999997868</v>
      </c>
      <c r="E729" s="99">
        <f t="shared" si="115"/>
        <v>0.11579972233777029</v>
      </c>
      <c r="F729" s="99">
        <f t="shared" si="116"/>
        <v>0.3372499999999925</v>
      </c>
      <c r="G729" s="99">
        <f t="shared" si="117"/>
        <v>0.54654212690832016</v>
      </c>
      <c r="H729" s="99" t="str">
        <f t="shared" si="118"/>
        <v/>
      </c>
      <c r="I729" s="99" t="str">
        <f t="shared" si="119"/>
        <v/>
      </c>
      <c r="J729" s="99" t="str">
        <f t="shared" si="120"/>
        <v/>
      </c>
      <c r="K729" s="99" t="str">
        <f t="shared" si="121"/>
        <v/>
      </c>
      <c r="L729" s="99" t="str">
        <f t="shared" si="122"/>
        <v/>
      </c>
      <c r="M729" s="106">
        <f>IF(D729="","",ABS(D729-G$5))</f>
        <v>0.99999999999997868</v>
      </c>
    </row>
    <row r="730" spans="2:13" ht="13.5" customHeight="1" x14ac:dyDescent="0.55000000000000004">
      <c r="B730" s="94">
        <v>45951</v>
      </c>
      <c r="C730" s="99">
        <v>3.44</v>
      </c>
      <c r="D730" s="99">
        <f t="shared" si="114"/>
        <v>0.99999999999997868</v>
      </c>
      <c r="E730" s="99">
        <f t="shared" si="115"/>
        <v>7.2624682018508774E-2</v>
      </c>
      <c r="F730" s="99">
        <f t="shared" si="116"/>
        <v>0.3372499999999925</v>
      </c>
      <c r="G730" s="99">
        <f t="shared" si="117"/>
        <v>0.35897377457036628</v>
      </c>
      <c r="H730" s="99" t="str">
        <f t="shared" si="118"/>
        <v/>
      </c>
      <c r="I730" s="99" t="str">
        <f t="shared" si="119"/>
        <v/>
      </c>
      <c r="J730" s="99" t="str">
        <f t="shared" si="120"/>
        <v/>
      </c>
      <c r="K730" s="99" t="str">
        <f t="shared" si="121"/>
        <v/>
      </c>
      <c r="L730" s="99" t="str">
        <f t="shared" si="122"/>
        <v/>
      </c>
      <c r="M730" s="106">
        <f>IF(D730="","",ABS(D730-G$5))</f>
        <v>0.99999999999997868</v>
      </c>
    </row>
    <row r="731" spans="2:13" ht="13.5" customHeight="1" x14ac:dyDescent="0.55000000000000004">
      <c r="B731" s="94">
        <v>45952</v>
      </c>
      <c r="C731" s="99">
        <v>3.44</v>
      </c>
      <c r="D731" s="99">
        <f t="shared" si="114"/>
        <v>0</v>
      </c>
      <c r="E731" s="99">
        <f t="shared" si="115"/>
        <v>2.1587520159630759E-2</v>
      </c>
      <c r="F731" s="99">
        <f t="shared" si="116"/>
        <v>0</v>
      </c>
      <c r="G731" s="99">
        <f t="shared" si="117"/>
        <v>0.11240495159081174</v>
      </c>
      <c r="H731" s="99" t="str">
        <f t="shared" si="118"/>
        <v/>
      </c>
      <c r="I731" s="99" t="str">
        <f t="shared" si="119"/>
        <v/>
      </c>
      <c r="J731" s="99" t="str">
        <f t="shared" si="120"/>
        <v/>
      </c>
      <c r="K731" s="99" t="str">
        <f t="shared" si="121"/>
        <v/>
      </c>
      <c r="L731" s="99" t="str">
        <f t="shared" si="122"/>
        <v>STALE</v>
      </c>
      <c r="M731" s="106">
        <f>IF(D731="","",ABS(D731-G$5))</f>
        <v>0</v>
      </c>
    </row>
    <row r="732" spans="2:13" ht="13.5" customHeight="1" x14ac:dyDescent="0.55000000000000004">
      <c r="B732" s="94">
        <v>45953</v>
      </c>
      <c r="C732" s="99">
        <v>3.45</v>
      </c>
      <c r="D732" s="99">
        <f t="shared" si="114"/>
        <v>1.0000000000000231</v>
      </c>
      <c r="E732" s="99">
        <f t="shared" si="115"/>
        <v>7.2624682018512965E-2</v>
      </c>
      <c r="F732" s="99">
        <f t="shared" si="116"/>
        <v>0.33725000000000749</v>
      </c>
      <c r="G732" s="99">
        <f t="shared" si="117"/>
        <v>0.3954782354834982</v>
      </c>
      <c r="H732" s="99" t="str">
        <f t="shared" si="118"/>
        <v/>
      </c>
      <c r="I732" s="99" t="str">
        <f t="shared" si="119"/>
        <v/>
      </c>
      <c r="J732" s="99" t="str">
        <f t="shared" si="120"/>
        <v/>
      </c>
      <c r="K732" s="99" t="str">
        <f t="shared" si="121"/>
        <v/>
      </c>
      <c r="L732" s="99" t="str">
        <f t="shared" si="122"/>
        <v/>
      </c>
      <c r="M732" s="106">
        <f>IF(D732="","",ABS(D732-G$5))</f>
        <v>1.0000000000000231</v>
      </c>
    </row>
    <row r="733" spans="2:13" ht="13.5" customHeight="1" x14ac:dyDescent="0.55000000000000004">
      <c r="B733" s="94">
        <v>45954</v>
      </c>
      <c r="C733" s="99">
        <v>3.45</v>
      </c>
      <c r="D733" s="99">
        <f t="shared" si="114"/>
        <v>0</v>
      </c>
      <c r="E733" s="99">
        <f t="shared" si="115"/>
        <v>2.1587520159630759E-2</v>
      </c>
      <c r="F733" s="99">
        <f t="shared" si="116"/>
        <v>0</v>
      </c>
      <c r="G733" s="99">
        <f t="shared" si="117"/>
        <v>0.12381882524291471</v>
      </c>
      <c r="H733" s="99" t="str">
        <f t="shared" si="118"/>
        <v/>
      </c>
      <c r="I733" s="99" t="str">
        <f t="shared" si="119"/>
        <v/>
      </c>
      <c r="J733" s="99" t="str">
        <f t="shared" si="120"/>
        <v/>
      </c>
      <c r="K733" s="99" t="str">
        <f t="shared" si="121"/>
        <v/>
      </c>
      <c r="L733" s="99" t="str">
        <f t="shared" si="122"/>
        <v>STALE</v>
      </c>
      <c r="M733" s="106">
        <f>IF(D733="","",ABS(D733-G$5))</f>
        <v>0</v>
      </c>
    </row>
    <row r="734" spans="2:13" ht="13.5" customHeight="1" x14ac:dyDescent="0.55000000000000004">
      <c r="B734" s="94">
        <v>45957</v>
      </c>
      <c r="C734" s="99">
        <v>3.44</v>
      </c>
      <c r="D734" s="99">
        <f t="shared" si="114"/>
        <v>-1.0000000000000231</v>
      </c>
      <c r="E734" s="99">
        <f t="shared" si="115"/>
        <v>0.11579972233777447</v>
      </c>
      <c r="F734" s="99">
        <f t="shared" si="116"/>
        <v>0.33725000000000749</v>
      </c>
      <c r="G734" s="99">
        <f t="shared" si="117"/>
        <v>0.6835638257354153</v>
      </c>
      <c r="H734" s="99" t="str">
        <f t="shared" si="118"/>
        <v/>
      </c>
      <c r="I734" s="99" t="str">
        <f t="shared" si="119"/>
        <v/>
      </c>
      <c r="J734" s="99" t="str">
        <f t="shared" si="120"/>
        <v/>
      </c>
      <c r="K734" s="99" t="str">
        <f t="shared" si="121"/>
        <v/>
      </c>
      <c r="L734" s="99" t="str">
        <f t="shared" si="122"/>
        <v/>
      </c>
      <c r="M734" s="106">
        <f>IF(D734="","",ABS(D734-G$5))</f>
        <v>1.0000000000000231</v>
      </c>
    </row>
    <row r="735" spans="2:13" ht="13.5" customHeight="1" x14ac:dyDescent="0.55000000000000004">
      <c r="B735" s="94">
        <v>45958</v>
      </c>
      <c r="C735" s="99">
        <v>3.42</v>
      </c>
      <c r="D735" s="99">
        <f t="shared" si="114"/>
        <v>-2.0000000000000018</v>
      </c>
      <c r="E735" s="99">
        <f t="shared" si="115"/>
        <v>0.21001192451591399</v>
      </c>
      <c r="F735" s="99">
        <f t="shared" si="116"/>
        <v>0.67449999999999999</v>
      </c>
      <c r="G735" s="99">
        <f t="shared" si="117"/>
        <v>1.2077029956265599</v>
      </c>
      <c r="H735" s="99" t="str">
        <f t="shared" si="118"/>
        <v/>
      </c>
      <c r="I735" s="99" t="str">
        <f t="shared" si="119"/>
        <v/>
      </c>
      <c r="J735" s="99" t="str">
        <f t="shared" si="120"/>
        <v/>
      </c>
      <c r="K735" s="99" t="str">
        <f t="shared" si="121"/>
        <v/>
      </c>
      <c r="L735" s="99" t="str">
        <f t="shared" si="122"/>
        <v/>
      </c>
      <c r="M735" s="106">
        <f>IF(D735="","",ABS(D735-G$5))</f>
        <v>2.0000000000000018</v>
      </c>
    </row>
    <row r="736" spans="2:13" ht="13.5" customHeight="1" x14ac:dyDescent="0.55000000000000004">
      <c r="B736" s="94">
        <v>45959</v>
      </c>
      <c r="C736" s="99">
        <v>3.43</v>
      </c>
      <c r="D736" s="99">
        <f t="shared" si="114"/>
        <v>1.0000000000000231</v>
      </c>
      <c r="E736" s="99">
        <f t="shared" si="115"/>
        <v>7.2624682018512965E-2</v>
      </c>
      <c r="F736" s="99">
        <f t="shared" si="116"/>
        <v>0.33725000000000749</v>
      </c>
      <c r="G736" s="99">
        <f t="shared" si="117"/>
        <v>0.43602468808837563</v>
      </c>
      <c r="H736" s="99" t="str">
        <f t="shared" si="118"/>
        <v/>
      </c>
      <c r="I736" s="99" t="str">
        <f t="shared" si="119"/>
        <v/>
      </c>
      <c r="J736" s="99" t="str">
        <f t="shared" si="120"/>
        <v/>
      </c>
      <c r="K736" s="99" t="str">
        <f t="shared" si="121"/>
        <v/>
      </c>
      <c r="L736" s="99" t="str">
        <f t="shared" si="122"/>
        <v/>
      </c>
      <c r="M736" s="106">
        <f>IF(D736="","",ABS(D736-G$5))</f>
        <v>1.0000000000000231</v>
      </c>
    </row>
    <row r="737" spans="2:13" ht="13.5" customHeight="1" x14ac:dyDescent="0.55000000000000004">
      <c r="B737" s="94">
        <v>45960</v>
      </c>
      <c r="C737" s="99">
        <v>3.45</v>
      </c>
      <c r="D737" s="99">
        <f t="shared" si="114"/>
        <v>2.0000000000000018</v>
      </c>
      <c r="E737" s="99">
        <f t="shared" si="115"/>
        <v>0.16683688419665252</v>
      </c>
      <c r="F737" s="99">
        <f t="shared" si="116"/>
        <v>0.67449999999999999</v>
      </c>
      <c r="G737" s="99">
        <f t="shared" si="117"/>
        <v>1.0014906725517518</v>
      </c>
      <c r="H737" s="99" t="str">
        <f t="shared" si="118"/>
        <v/>
      </c>
      <c r="I737" s="99" t="str">
        <f t="shared" si="119"/>
        <v/>
      </c>
      <c r="J737" s="99" t="str">
        <f t="shared" si="120"/>
        <v/>
      </c>
      <c r="K737" s="99" t="str">
        <f t="shared" si="121"/>
        <v/>
      </c>
      <c r="L737" s="99" t="str">
        <f t="shared" si="122"/>
        <v/>
      </c>
      <c r="M737" s="106">
        <f>IF(D737="","",ABS(D737-G$5))</f>
        <v>2.0000000000000018</v>
      </c>
    </row>
    <row r="738" spans="2:13" ht="13.5" customHeight="1" x14ac:dyDescent="0.55000000000000004">
      <c r="B738" s="94">
        <v>45961</v>
      </c>
      <c r="C738" s="99">
        <v>3.49</v>
      </c>
      <c r="D738" s="99">
        <f t="shared" si="114"/>
        <v>4.0000000000000036</v>
      </c>
      <c r="E738" s="99">
        <f t="shared" si="115"/>
        <v>0.35526128855293576</v>
      </c>
      <c r="F738" s="99">
        <f t="shared" si="116"/>
        <v>1.349</v>
      </c>
      <c r="G738" s="99">
        <f t="shared" si="117"/>
        <v>1.8321779397030011</v>
      </c>
      <c r="H738" s="99" t="str">
        <f t="shared" si="118"/>
        <v/>
      </c>
      <c r="I738" s="99" t="str">
        <f t="shared" si="119"/>
        <v/>
      </c>
      <c r="J738" s="99" t="str">
        <f t="shared" si="120"/>
        <v/>
      </c>
      <c r="K738" s="99" t="str">
        <f t="shared" si="121"/>
        <v/>
      </c>
      <c r="L738" s="99" t="str">
        <f t="shared" si="122"/>
        <v/>
      </c>
      <c r="M738" s="106">
        <f>IF(D738="","",ABS(D738-G$5))</f>
        <v>4.0000000000000036</v>
      </c>
    </row>
    <row r="739" spans="2:13" ht="13.5" customHeight="1" x14ac:dyDescent="0.55000000000000004">
      <c r="B739" s="94">
        <v>45964</v>
      </c>
      <c r="C739" s="99">
        <v>3.5</v>
      </c>
      <c r="D739" s="99">
        <f t="shared" si="114"/>
        <v>0.99999999999997868</v>
      </c>
      <c r="E739" s="99">
        <f t="shared" si="115"/>
        <v>7.2624682018508774E-2</v>
      </c>
      <c r="F739" s="99">
        <f t="shared" si="116"/>
        <v>0.3372499999999925</v>
      </c>
      <c r="G739" s="99">
        <f t="shared" si="117"/>
        <v>0.39176367309951132</v>
      </c>
      <c r="H739" s="99" t="str">
        <f t="shared" si="118"/>
        <v/>
      </c>
      <c r="I739" s="99" t="str">
        <f t="shared" si="119"/>
        <v/>
      </c>
      <c r="J739" s="99" t="str">
        <f t="shared" si="120"/>
        <v/>
      </c>
      <c r="K739" s="99" t="str">
        <f t="shared" si="121"/>
        <v/>
      </c>
      <c r="L739" s="99" t="str">
        <f t="shared" si="122"/>
        <v/>
      </c>
      <c r="M739" s="106">
        <f>IF(D739="","",ABS(D739-G$5))</f>
        <v>0.99999999999997868</v>
      </c>
    </row>
    <row r="740" spans="2:13" ht="13.5" customHeight="1" x14ac:dyDescent="0.55000000000000004">
      <c r="B740" s="94">
        <v>45965</v>
      </c>
      <c r="C740" s="99">
        <v>3.5</v>
      </c>
      <c r="D740" s="99">
        <f t="shared" si="114"/>
        <v>0</v>
      </c>
      <c r="E740" s="99">
        <f t="shared" si="115"/>
        <v>2.1587520159630759E-2</v>
      </c>
      <c r="F740" s="99">
        <f t="shared" si="116"/>
        <v>0</v>
      </c>
      <c r="G740" s="99">
        <f t="shared" si="117"/>
        <v>0.12265760454780018</v>
      </c>
      <c r="H740" s="99" t="str">
        <f t="shared" si="118"/>
        <v/>
      </c>
      <c r="I740" s="99" t="str">
        <f t="shared" si="119"/>
        <v/>
      </c>
      <c r="J740" s="99" t="str">
        <f t="shared" si="120"/>
        <v/>
      </c>
      <c r="K740" s="99" t="str">
        <f t="shared" si="121"/>
        <v/>
      </c>
      <c r="L740" s="99" t="str">
        <f t="shared" si="122"/>
        <v>STALE</v>
      </c>
      <c r="M740" s="106">
        <f>IF(D740="","",ABS(D740-G$5))</f>
        <v>0</v>
      </c>
    </row>
    <row r="741" spans="2:13" ht="13.5" customHeight="1" x14ac:dyDescent="0.55000000000000004">
      <c r="B741" s="94">
        <v>45966</v>
      </c>
      <c r="C741" s="99">
        <v>3.49</v>
      </c>
      <c r="D741" s="99">
        <f t="shared" si="114"/>
        <v>-0.99999999999997868</v>
      </c>
      <c r="E741" s="99">
        <f t="shared" si="115"/>
        <v>0.11579972233777029</v>
      </c>
      <c r="F741" s="99">
        <f t="shared" si="116"/>
        <v>0.3372499999999925</v>
      </c>
      <c r="G741" s="99">
        <f t="shared" si="117"/>
        <v>0.67744864041781516</v>
      </c>
      <c r="H741" s="99" t="str">
        <f t="shared" si="118"/>
        <v/>
      </c>
      <c r="I741" s="99" t="str">
        <f t="shared" si="119"/>
        <v/>
      </c>
      <c r="J741" s="99" t="str">
        <f t="shared" si="120"/>
        <v/>
      </c>
      <c r="K741" s="99" t="str">
        <f t="shared" si="121"/>
        <v/>
      </c>
      <c r="L741" s="99" t="str">
        <f t="shared" si="122"/>
        <v/>
      </c>
      <c r="M741" s="106">
        <f>IF(D741="","",ABS(D741-G$5))</f>
        <v>0.99999999999997868</v>
      </c>
    </row>
    <row r="742" spans="2:13" ht="13.5" customHeight="1" x14ac:dyDescent="0.55000000000000004">
      <c r="B742" s="94">
        <v>45967</v>
      </c>
      <c r="C742" s="99">
        <v>3.48</v>
      </c>
      <c r="D742" s="99">
        <f t="shared" si="114"/>
        <v>-1.0000000000000231</v>
      </c>
      <c r="E742" s="99">
        <f t="shared" si="115"/>
        <v>0.11579972233777447</v>
      </c>
      <c r="F742" s="99">
        <f t="shared" si="116"/>
        <v>0.33725000000000749</v>
      </c>
      <c r="G742" s="99">
        <f t="shared" si="117"/>
        <v>0.69655468377965746</v>
      </c>
      <c r="H742" s="99" t="str">
        <f t="shared" si="118"/>
        <v/>
      </c>
      <c r="I742" s="99" t="str">
        <f t="shared" si="119"/>
        <v/>
      </c>
      <c r="J742" s="99" t="str">
        <f t="shared" si="120"/>
        <v/>
      </c>
      <c r="K742" s="99" t="str">
        <f t="shared" si="121"/>
        <v/>
      </c>
      <c r="L742" s="99" t="str">
        <f t="shared" si="122"/>
        <v/>
      </c>
      <c r="M742" s="106">
        <f>IF(D742="","",ABS(D742-G$5))</f>
        <v>1.0000000000000231</v>
      </c>
    </row>
    <row r="743" spans="2:13" ht="13.5" customHeight="1" x14ac:dyDescent="0.55000000000000004">
      <c r="B743" s="94">
        <v>45968</v>
      </c>
      <c r="C743" s="99">
        <v>3.45</v>
      </c>
      <c r="D743" s="99">
        <f t="shared" si="114"/>
        <v>-2.9999999999999805</v>
      </c>
      <c r="E743" s="99">
        <f t="shared" si="115"/>
        <v>0.30422412669405352</v>
      </c>
      <c r="F743" s="99">
        <f t="shared" si="116"/>
        <v>1.0117499999999926</v>
      </c>
      <c r="G743" s="99">
        <f t="shared" si="117"/>
        <v>1.6467582799804548</v>
      </c>
      <c r="H743" s="99" t="str">
        <f t="shared" si="118"/>
        <v/>
      </c>
      <c r="I743" s="99" t="str">
        <f t="shared" si="119"/>
        <v/>
      </c>
      <c r="J743" s="99" t="str">
        <f t="shared" si="120"/>
        <v/>
      </c>
      <c r="K743" s="99" t="str">
        <f t="shared" si="121"/>
        <v/>
      </c>
      <c r="L743" s="99" t="str">
        <f t="shared" si="122"/>
        <v/>
      </c>
      <c r="M743" s="106">
        <f>IF(D743="","",ABS(D743-G$5))</f>
        <v>2.9999999999999805</v>
      </c>
    </row>
    <row r="744" spans="2:13" ht="13.5" customHeight="1" x14ac:dyDescent="0.55000000000000004">
      <c r="B744" s="94">
        <v>45971</v>
      </c>
      <c r="C744" s="99">
        <v>3.44</v>
      </c>
      <c r="D744" s="99">
        <f t="shared" si="114"/>
        <v>-1.0000000000000231</v>
      </c>
      <c r="E744" s="99">
        <f t="shared" si="115"/>
        <v>0.11579972233777447</v>
      </c>
      <c r="F744" s="99">
        <f t="shared" si="116"/>
        <v>0.33725000000000749</v>
      </c>
      <c r="G744" s="99">
        <f t="shared" si="117"/>
        <v>0.64676090217541371</v>
      </c>
      <c r="H744" s="99" t="str">
        <f t="shared" si="118"/>
        <v/>
      </c>
      <c r="I744" s="99" t="str">
        <f t="shared" si="119"/>
        <v/>
      </c>
      <c r="J744" s="99" t="str">
        <f t="shared" si="120"/>
        <v/>
      </c>
      <c r="K744" s="99" t="str">
        <f t="shared" si="121"/>
        <v/>
      </c>
      <c r="L744" s="99" t="str">
        <f t="shared" si="122"/>
        <v/>
      </c>
      <c r="M744" s="106">
        <f>IF(D744="","",ABS(D744-G$5))</f>
        <v>1.0000000000000231</v>
      </c>
    </row>
    <row r="745" spans="2:13" ht="13.5" customHeight="1" x14ac:dyDescent="0.55000000000000004">
      <c r="B745" s="94">
        <v>45972</v>
      </c>
      <c r="C745" s="99"/>
      <c r="D745" s="99" t="str">
        <f t="shared" si="114"/>
        <v/>
      </c>
      <c r="E745" s="99" t="str">
        <f t="shared" si="115"/>
        <v/>
      </c>
      <c r="F745" s="99" t="str">
        <f t="shared" si="116"/>
        <v/>
      </c>
      <c r="G745" s="99" t="str">
        <f t="shared" si="117"/>
        <v/>
      </c>
      <c r="H745" s="99" t="str">
        <f t="shared" si="118"/>
        <v/>
      </c>
      <c r="I745" s="99" t="str">
        <f t="shared" si="119"/>
        <v/>
      </c>
      <c r="J745" s="99" t="str">
        <f t="shared" si="120"/>
        <v/>
      </c>
      <c r="K745" s="99" t="str">
        <f t="shared" si="121"/>
        <v>MISSING</v>
      </c>
      <c r="L745" s="99" t="str">
        <f t="shared" si="122"/>
        <v/>
      </c>
      <c r="M745" s="106" t="str">
        <f>IF(D745="","",ABS(D745-G$5))</f>
        <v/>
      </c>
    </row>
    <row r="746" spans="2:13" ht="13.5" customHeight="1" x14ac:dyDescent="0.55000000000000004">
      <c r="B746" s="94">
        <v>45973</v>
      </c>
      <c r="C746" s="99">
        <v>3.45</v>
      </c>
      <c r="D746" s="99" t="str">
        <f t="shared" si="114"/>
        <v/>
      </c>
      <c r="E746" s="99" t="str">
        <f t="shared" si="115"/>
        <v/>
      </c>
      <c r="F746" s="99" t="str">
        <f t="shared" si="116"/>
        <v/>
      </c>
      <c r="G746" s="99" t="str">
        <f t="shared" si="117"/>
        <v/>
      </c>
      <c r="H746" s="99" t="str">
        <f t="shared" si="118"/>
        <v/>
      </c>
      <c r="I746" s="99" t="str">
        <f t="shared" si="119"/>
        <v/>
      </c>
      <c r="J746" s="99" t="str">
        <f t="shared" si="120"/>
        <v/>
      </c>
      <c r="K746" s="99" t="str">
        <f t="shared" si="121"/>
        <v/>
      </c>
      <c r="L746" s="99" t="str">
        <f t="shared" si="122"/>
        <v/>
      </c>
      <c r="M746" s="106" t="str">
        <f>IF(D746="","",ABS(D746-G$5))</f>
        <v/>
      </c>
    </row>
    <row r="747" spans="2:13" ht="13.5" customHeight="1" x14ac:dyDescent="0.55000000000000004">
      <c r="B747" s="94">
        <v>45974</v>
      </c>
      <c r="C747" s="99">
        <v>3.49</v>
      </c>
      <c r="D747" s="99">
        <f t="shared" si="114"/>
        <v>4.0000000000000036</v>
      </c>
      <c r="E747" s="99">
        <f t="shared" si="115"/>
        <v>0.35526128855293576</v>
      </c>
      <c r="F747" s="99">
        <f t="shared" si="116"/>
        <v>1.349</v>
      </c>
      <c r="G747" s="99">
        <f t="shared" si="117"/>
        <v>0.37187984718975309</v>
      </c>
      <c r="H747" s="99" t="str">
        <f t="shared" si="118"/>
        <v/>
      </c>
      <c r="I747" s="99" t="str">
        <f t="shared" si="119"/>
        <v/>
      </c>
      <c r="J747" s="99" t="str">
        <f t="shared" si="120"/>
        <v/>
      </c>
      <c r="K747" s="99" t="str">
        <f t="shared" si="121"/>
        <v/>
      </c>
      <c r="L747" s="99" t="str">
        <f t="shared" si="122"/>
        <v/>
      </c>
      <c r="M747" s="106">
        <f>IF(D747="","",ABS(D747-G$5))</f>
        <v>4.0000000000000036</v>
      </c>
    </row>
    <row r="748" spans="2:13" ht="13.5" customHeight="1" x14ac:dyDescent="0.55000000000000004">
      <c r="B748" s="94">
        <v>45975</v>
      </c>
      <c r="C748" s="99">
        <v>3.52</v>
      </c>
      <c r="D748" s="99">
        <f t="shared" si="114"/>
        <v>2.9999999999999805</v>
      </c>
      <c r="E748" s="99">
        <f t="shared" si="115"/>
        <v>0.26104908637479202</v>
      </c>
      <c r="F748" s="99">
        <f t="shared" si="116"/>
        <v>1.0117499999999926</v>
      </c>
      <c r="G748" s="99">
        <f t="shared" si="117"/>
        <v>0.28685437802015723</v>
      </c>
      <c r="H748" s="99" t="str">
        <f t="shared" si="118"/>
        <v/>
      </c>
      <c r="I748" s="99" t="str">
        <f t="shared" si="119"/>
        <v/>
      </c>
      <c r="J748" s="99" t="str">
        <f t="shared" si="120"/>
        <v/>
      </c>
      <c r="K748" s="99" t="str">
        <f t="shared" si="121"/>
        <v/>
      </c>
      <c r="L748" s="99" t="str">
        <f t="shared" si="122"/>
        <v/>
      </c>
      <c r="M748" s="106">
        <f>IF(D748="","",ABS(D748-G$5))</f>
        <v>2.9999999999999805</v>
      </c>
    </row>
    <row r="749" spans="2:13" ht="13.5" customHeight="1" x14ac:dyDescent="0.55000000000000004">
      <c r="B749" s="94">
        <v>45978</v>
      </c>
      <c r="C749" s="99">
        <v>3.52</v>
      </c>
      <c r="D749" s="99">
        <f t="shared" ref="D749:D786" si="123">IF(OR(C749="",C748=""),"",(C749-C748)*100)</f>
        <v>0</v>
      </c>
      <c r="E749" s="99">
        <f t="shared" ref="E749:E786" si="124">IF(D749="","",ABS(D749-$E$5)/$F$5)</f>
        <v>2.1587520159630759E-2</v>
      </c>
      <c r="F749" s="99">
        <f t="shared" ref="F749:F786" si="125">IF(D749="","",ABS(D749-$G$5)/$H$5)</f>
        <v>0</v>
      </c>
      <c r="G749" s="99">
        <f t="shared" ref="G749:G786" si="126">IF(D749="","",ABS(D749-$E$5)/SQRT(0.9*(IF(G748="",($F$5)^2,(ABS(D748-$E$5)/MAX(G748,0.0000000001))^2))+0.1*(D749-$E$5)^2))</f>
        <v>2.5003869872733304E-2</v>
      </c>
      <c r="H749" s="99" t="str">
        <f t="shared" ref="H749:H786" si="127">IF(E749="","",IF(E749&gt;$I$5,"OUTLIER",""))</f>
        <v/>
      </c>
      <c r="I749" s="99" t="str">
        <f t="shared" ref="I749:I786" si="128">IF(F749="","",IF(F749&gt;$I$5,"OUTLIER",""))</f>
        <v/>
      </c>
      <c r="J749" s="99" t="str">
        <f t="shared" ref="J749:J786" si="129">IF(G749="","",IF(G749&gt;$I$5,"OUTLIER",""))</f>
        <v/>
      </c>
      <c r="K749" s="99" t="str">
        <f t="shared" ref="K749:K786" si="130">IF(C749="","MISSING","")</f>
        <v/>
      </c>
      <c r="L749" s="99" t="str">
        <f t="shared" ref="L749:L786" si="131">IF(AND(C749&lt;&gt;"",C748&lt;&gt;"",C749=C748),"STALE","")</f>
        <v>STALE</v>
      </c>
      <c r="M749" s="106">
        <f>IF(D749="","",ABS(D749-G$5))</f>
        <v>0</v>
      </c>
    </row>
    <row r="750" spans="2:13" ht="13.5" customHeight="1" x14ac:dyDescent="0.55000000000000004">
      <c r="B750" s="94">
        <v>45979</v>
      </c>
      <c r="C750" s="99">
        <v>3.54</v>
      </c>
      <c r="D750" s="99">
        <f t="shared" si="123"/>
        <v>2.0000000000000018</v>
      </c>
      <c r="E750" s="99">
        <f t="shared" si="124"/>
        <v>0.16683688419665252</v>
      </c>
      <c r="F750" s="99">
        <f t="shared" si="125"/>
        <v>0.67449999999999999</v>
      </c>
      <c r="G750" s="99">
        <f t="shared" si="126"/>
        <v>0.2032713609339713</v>
      </c>
      <c r="H750" s="99" t="str">
        <f t="shared" si="127"/>
        <v/>
      </c>
      <c r="I750" s="99" t="str">
        <f t="shared" si="128"/>
        <v/>
      </c>
      <c r="J750" s="99" t="str">
        <f t="shared" si="129"/>
        <v/>
      </c>
      <c r="K750" s="99" t="str">
        <f t="shared" si="130"/>
        <v/>
      </c>
      <c r="L750" s="99" t="str">
        <f t="shared" si="131"/>
        <v/>
      </c>
      <c r="M750" s="106">
        <f>IF(D750="","",ABS(D750-G$5))</f>
        <v>2.0000000000000018</v>
      </c>
    </row>
    <row r="751" spans="2:13" ht="13.5" customHeight="1" x14ac:dyDescent="0.55000000000000004">
      <c r="B751" s="94">
        <v>45980</v>
      </c>
      <c r="C751" s="99">
        <v>3.59</v>
      </c>
      <c r="D751" s="99">
        <f t="shared" si="123"/>
        <v>4.9999999999999822</v>
      </c>
      <c r="E751" s="99">
        <f t="shared" si="124"/>
        <v>0.44947349073107523</v>
      </c>
      <c r="F751" s="99">
        <f t="shared" si="125"/>
        <v>1.6862499999999925</v>
      </c>
      <c r="G751" s="99">
        <f t="shared" si="126"/>
        <v>0.56787018658340993</v>
      </c>
      <c r="H751" s="99" t="str">
        <f t="shared" si="127"/>
        <v/>
      </c>
      <c r="I751" s="99" t="str">
        <f t="shared" si="128"/>
        <v/>
      </c>
      <c r="J751" s="99" t="str">
        <f t="shared" si="129"/>
        <v/>
      </c>
      <c r="K751" s="99" t="str">
        <f t="shared" si="130"/>
        <v/>
      </c>
      <c r="L751" s="99" t="str">
        <f t="shared" si="131"/>
        <v/>
      </c>
      <c r="M751" s="106">
        <f>IF(D751="","",ABS(D751-G$5))</f>
        <v>4.9999999999999822</v>
      </c>
    </row>
    <row r="752" spans="2:13" ht="13.5" customHeight="1" x14ac:dyDescent="0.55000000000000004">
      <c r="B752" s="94">
        <v>45981</v>
      </c>
      <c r="C752" s="99">
        <v>3.6</v>
      </c>
      <c r="D752" s="99">
        <f t="shared" si="123"/>
        <v>1.0000000000000231</v>
      </c>
      <c r="E752" s="99">
        <f t="shared" si="124"/>
        <v>7.2624682018512965E-2</v>
      </c>
      <c r="F752" s="99">
        <f t="shared" si="125"/>
        <v>0.33725000000000749</v>
      </c>
      <c r="G752" s="99">
        <f t="shared" si="126"/>
        <v>9.6672943396768393E-2</v>
      </c>
      <c r="H752" s="99" t="str">
        <f t="shared" si="127"/>
        <v/>
      </c>
      <c r="I752" s="99" t="str">
        <f t="shared" si="128"/>
        <v/>
      </c>
      <c r="J752" s="99" t="str">
        <f t="shared" si="129"/>
        <v/>
      </c>
      <c r="K752" s="99" t="str">
        <f t="shared" si="130"/>
        <v/>
      </c>
      <c r="L752" s="99" t="str">
        <f t="shared" si="131"/>
        <v/>
      </c>
      <c r="M752" s="106">
        <f>IF(D752="","",ABS(D752-G$5))</f>
        <v>1.0000000000000231</v>
      </c>
    </row>
    <row r="753" spans="2:13" ht="13.5" customHeight="1" x14ac:dyDescent="0.55000000000000004">
      <c r="B753" s="94">
        <v>45982</v>
      </c>
      <c r="C753" s="99">
        <v>3.58</v>
      </c>
      <c r="D753" s="99">
        <f t="shared" si="123"/>
        <v>-2.0000000000000018</v>
      </c>
      <c r="E753" s="99">
        <f t="shared" si="124"/>
        <v>0.21001192451591399</v>
      </c>
      <c r="F753" s="99">
        <f t="shared" si="125"/>
        <v>0.67449999999999999</v>
      </c>
      <c r="G753" s="99">
        <f t="shared" si="126"/>
        <v>0.29340396197045443</v>
      </c>
      <c r="H753" s="99" t="str">
        <f t="shared" si="127"/>
        <v/>
      </c>
      <c r="I753" s="99" t="str">
        <f t="shared" si="128"/>
        <v/>
      </c>
      <c r="J753" s="99" t="str">
        <f t="shared" si="129"/>
        <v/>
      </c>
      <c r="K753" s="99" t="str">
        <f t="shared" si="130"/>
        <v/>
      </c>
      <c r="L753" s="99" t="str">
        <f t="shared" si="131"/>
        <v/>
      </c>
      <c r="M753" s="106">
        <f>IF(D753="","",ABS(D753-G$5))</f>
        <v>2.0000000000000018</v>
      </c>
    </row>
    <row r="754" spans="2:13" ht="13.5" customHeight="1" x14ac:dyDescent="0.55000000000000004">
      <c r="B754" s="94">
        <v>45985</v>
      </c>
      <c r="C754" s="99">
        <v>3.56</v>
      </c>
      <c r="D754" s="99">
        <f t="shared" si="123"/>
        <v>-2.0000000000000018</v>
      </c>
      <c r="E754" s="99">
        <f t="shared" si="124"/>
        <v>0.21001192451591399</v>
      </c>
      <c r="F754" s="99">
        <f t="shared" si="125"/>
        <v>0.67449999999999999</v>
      </c>
      <c r="G754" s="99">
        <f t="shared" si="126"/>
        <v>0.30780633597137874</v>
      </c>
      <c r="H754" s="99" t="str">
        <f t="shared" si="127"/>
        <v/>
      </c>
      <c r="I754" s="99" t="str">
        <f t="shared" si="128"/>
        <v/>
      </c>
      <c r="J754" s="99" t="str">
        <f t="shared" si="129"/>
        <v/>
      </c>
      <c r="K754" s="99" t="str">
        <f t="shared" si="130"/>
        <v/>
      </c>
      <c r="L754" s="99" t="str">
        <f t="shared" si="131"/>
        <v/>
      </c>
      <c r="M754" s="106">
        <f>IF(D754="","",ABS(D754-G$5))</f>
        <v>2.0000000000000018</v>
      </c>
    </row>
    <row r="755" spans="2:13" ht="13.5" customHeight="1" x14ac:dyDescent="0.55000000000000004">
      <c r="B755" s="94">
        <v>45986</v>
      </c>
      <c r="C755" s="99">
        <v>3.58</v>
      </c>
      <c r="D755" s="99">
        <f t="shared" si="123"/>
        <v>2.0000000000000018</v>
      </c>
      <c r="E755" s="99">
        <f t="shared" si="124"/>
        <v>0.16683688419665252</v>
      </c>
      <c r="F755" s="99">
        <f t="shared" si="125"/>
        <v>0.67449999999999999</v>
      </c>
      <c r="G755" s="99">
        <f t="shared" si="126"/>
        <v>0.25690143501643375</v>
      </c>
      <c r="H755" s="99" t="str">
        <f t="shared" si="127"/>
        <v/>
      </c>
      <c r="I755" s="99" t="str">
        <f t="shared" si="128"/>
        <v/>
      </c>
      <c r="J755" s="99" t="str">
        <f t="shared" si="129"/>
        <v/>
      </c>
      <c r="K755" s="99" t="str">
        <f t="shared" si="130"/>
        <v/>
      </c>
      <c r="L755" s="99" t="str">
        <f t="shared" si="131"/>
        <v/>
      </c>
      <c r="M755" s="106">
        <f>IF(D755="","",ABS(D755-G$5))</f>
        <v>2.0000000000000018</v>
      </c>
    </row>
    <row r="756" spans="2:13" ht="13.5" customHeight="1" x14ac:dyDescent="0.55000000000000004">
      <c r="B756" s="94">
        <v>45987</v>
      </c>
      <c r="C756" s="99">
        <v>3.58</v>
      </c>
      <c r="D756" s="99">
        <f t="shared" si="123"/>
        <v>0</v>
      </c>
      <c r="E756" s="99">
        <f t="shared" si="124"/>
        <v>2.1587520159630759E-2</v>
      </c>
      <c r="F756" s="99">
        <f t="shared" si="125"/>
        <v>0</v>
      </c>
      <c r="G756" s="99">
        <f t="shared" si="126"/>
        <v>3.5037192753794612E-2</v>
      </c>
      <c r="H756" s="99" t="str">
        <f t="shared" si="127"/>
        <v/>
      </c>
      <c r="I756" s="99" t="str">
        <f t="shared" si="128"/>
        <v/>
      </c>
      <c r="J756" s="99" t="str">
        <f t="shared" si="129"/>
        <v/>
      </c>
      <c r="K756" s="99" t="str">
        <f t="shared" si="130"/>
        <v/>
      </c>
      <c r="L756" s="99" t="str">
        <f t="shared" si="131"/>
        <v>STALE</v>
      </c>
      <c r="M756" s="106">
        <f>IF(D756="","",ABS(D756-G$5))</f>
        <v>0</v>
      </c>
    </row>
    <row r="757" spans="2:13" ht="13.5" customHeight="1" x14ac:dyDescent="0.55000000000000004">
      <c r="B757" s="94">
        <v>45989</v>
      </c>
      <c r="C757" s="99"/>
      <c r="D757" s="99" t="str">
        <f t="shared" si="123"/>
        <v/>
      </c>
      <c r="E757" s="99" t="str">
        <f t="shared" si="124"/>
        <v/>
      </c>
      <c r="F757" s="99" t="str">
        <f t="shared" si="125"/>
        <v/>
      </c>
      <c r="G757" s="99" t="str">
        <f t="shared" si="126"/>
        <v/>
      </c>
      <c r="H757" s="99" t="str">
        <f t="shared" si="127"/>
        <v/>
      </c>
      <c r="I757" s="99" t="str">
        <f t="shared" si="128"/>
        <v/>
      </c>
      <c r="J757" s="99" t="str">
        <f t="shared" si="129"/>
        <v/>
      </c>
      <c r="K757" s="99" t="str">
        <f t="shared" si="130"/>
        <v>MISSING</v>
      </c>
      <c r="L757" s="99" t="str">
        <f t="shared" si="131"/>
        <v/>
      </c>
      <c r="M757" s="106" t="str">
        <f>IF(D757="","",ABS(D757-G$5))</f>
        <v/>
      </c>
    </row>
    <row r="758" spans="2:13" ht="13.5" customHeight="1" x14ac:dyDescent="0.55000000000000004">
      <c r="B758" s="94">
        <v>45992</v>
      </c>
      <c r="C758" s="99">
        <v>3.57</v>
      </c>
      <c r="D758" s="99" t="str">
        <f t="shared" si="123"/>
        <v/>
      </c>
      <c r="E758" s="99" t="str">
        <f t="shared" si="124"/>
        <v/>
      </c>
      <c r="F758" s="99" t="str">
        <f t="shared" si="125"/>
        <v/>
      </c>
      <c r="G758" s="99" t="str">
        <f t="shared" si="126"/>
        <v/>
      </c>
      <c r="H758" s="99" t="str">
        <f t="shared" si="127"/>
        <v/>
      </c>
      <c r="I758" s="99" t="str">
        <f t="shared" si="128"/>
        <v/>
      </c>
      <c r="J758" s="99" t="str">
        <f t="shared" si="129"/>
        <v/>
      </c>
      <c r="K758" s="99" t="str">
        <f t="shared" si="130"/>
        <v/>
      </c>
      <c r="L758" s="99" t="str">
        <f t="shared" si="131"/>
        <v/>
      </c>
      <c r="M758" s="106" t="str">
        <f>IF(D758="","",ABS(D758-G$5))</f>
        <v/>
      </c>
    </row>
    <row r="759" spans="2:13" ht="13.5" customHeight="1" x14ac:dyDescent="0.55000000000000004">
      <c r="B759" s="94">
        <v>45993</v>
      </c>
      <c r="C759" s="99">
        <v>3.58</v>
      </c>
      <c r="D759" s="99">
        <f t="shared" si="123"/>
        <v>1.0000000000000231</v>
      </c>
      <c r="E759" s="99">
        <f t="shared" si="124"/>
        <v>7.2624682018512965E-2</v>
      </c>
      <c r="F759" s="99">
        <f t="shared" si="125"/>
        <v>0.33725000000000749</v>
      </c>
      <c r="G759" s="99">
        <f t="shared" si="126"/>
        <v>7.6530714828606058E-2</v>
      </c>
      <c r="H759" s="99" t="str">
        <f t="shared" si="127"/>
        <v/>
      </c>
      <c r="I759" s="99" t="str">
        <f t="shared" si="128"/>
        <v/>
      </c>
      <c r="J759" s="99" t="str">
        <f t="shared" si="129"/>
        <v/>
      </c>
      <c r="K759" s="99" t="str">
        <f t="shared" si="130"/>
        <v/>
      </c>
      <c r="L759" s="99" t="str">
        <f t="shared" si="131"/>
        <v/>
      </c>
      <c r="M759" s="106">
        <f>IF(D759="","",ABS(D759-G$5))</f>
        <v>1.0000000000000231</v>
      </c>
    </row>
    <row r="760" spans="2:13" ht="13.5" customHeight="1" x14ac:dyDescent="0.55000000000000004">
      <c r="B760" s="94">
        <v>45994</v>
      </c>
      <c r="C760" s="99">
        <v>3.59</v>
      </c>
      <c r="D760" s="99">
        <f t="shared" si="123"/>
        <v>0.99999999999997868</v>
      </c>
      <c r="E760" s="99">
        <f t="shared" si="124"/>
        <v>7.2624682018508774E-2</v>
      </c>
      <c r="F760" s="99">
        <f t="shared" si="125"/>
        <v>0.3372499999999925</v>
      </c>
      <c r="G760" s="99">
        <f t="shared" si="126"/>
        <v>8.064422036351554E-2</v>
      </c>
      <c r="H760" s="99" t="str">
        <f t="shared" si="127"/>
        <v/>
      </c>
      <c r="I760" s="99" t="str">
        <f t="shared" si="128"/>
        <v/>
      </c>
      <c r="J760" s="99" t="str">
        <f t="shared" si="129"/>
        <v/>
      </c>
      <c r="K760" s="99" t="str">
        <f t="shared" si="130"/>
        <v/>
      </c>
      <c r="L760" s="99" t="str">
        <f t="shared" si="131"/>
        <v/>
      </c>
      <c r="M760" s="106">
        <f>IF(D760="","",ABS(D760-G$5))</f>
        <v>0.99999999999997868</v>
      </c>
    </row>
    <row r="761" spans="2:13" ht="13.5" customHeight="1" x14ac:dyDescent="0.55000000000000004">
      <c r="B761" s="94">
        <v>45995</v>
      </c>
      <c r="C761" s="99">
        <v>3.57</v>
      </c>
      <c r="D761" s="99">
        <f t="shared" si="123"/>
        <v>-2.0000000000000018</v>
      </c>
      <c r="E761" s="99">
        <f t="shared" si="124"/>
        <v>0.21001192451591399</v>
      </c>
      <c r="F761" s="99">
        <f t="shared" si="125"/>
        <v>0.67449999999999999</v>
      </c>
      <c r="G761" s="99">
        <f t="shared" si="126"/>
        <v>0.24507754411892238</v>
      </c>
      <c r="H761" s="99" t="str">
        <f t="shared" si="127"/>
        <v/>
      </c>
      <c r="I761" s="99" t="str">
        <f t="shared" si="128"/>
        <v/>
      </c>
      <c r="J761" s="99" t="str">
        <f t="shared" si="129"/>
        <v/>
      </c>
      <c r="K761" s="99" t="str">
        <f t="shared" si="130"/>
        <v/>
      </c>
      <c r="L761" s="99" t="str">
        <f t="shared" si="131"/>
        <v/>
      </c>
      <c r="M761" s="106">
        <f>IF(D761="","",ABS(D761-G$5))</f>
        <v>2.0000000000000018</v>
      </c>
    </row>
    <row r="762" spans="2:13" ht="13.5" customHeight="1" x14ac:dyDescent="0.55000000000000004">
      <c r="B762" s="94">
        <v>45996</v>
      </c>
      <c r="C762" s="99">
        <v>3.57</v>
      </c>
      <c r="D762" s="99">
        <f t="shared" si="123"/>
        <v>0</v>
      </c>
      <c r="E762" s="99">
        <f t="shared" si="124"/>
        <v>2.1587520159630759E-2</v>
      </c>
      <c r="F762" s="99">
        <f t="shared" si="125"/>
        <v>0</v>
      </c>
      <c r="G762" s="99">
        <f t="shared" si="126"/>
        <v>2.6553743434823571E-2</v>
      </c>
      <c r="H762" s="99" t="str">
        <f t="shared" si="127"/>
        <v/>
      </c>
      <c r="I762" s="99" t="str">
        <f t="shared" si="128"/>
        <v/>
      </c>
      <c r="J762" s="99" t="str">
        <f t="shared" si="129"/>
        <v/>
      </c>
      <c r="K762" s="99" t="str">
        <f t="shared" si="130"/>
        <v/>
      </c>
      <c r="L762" s="99" t="str">
        <f t="shared" si="131"/>
        <v>STALE</v>
      </c>
      <c r="M762" s="106">
        <f>IF(D762="","",ABS(D762-G$5))</f>
        <v>0</v>
      </c>
    </row>
    <row r="763" spans="2:13" ht="13.5" customHeight="1" x14ac:dyDescent="0.55000000000000004">
      <c r="B763" s="94">
        <v>45999</v>
      </c>
      <c r="C763" s="99">
        <v>3.57</v>
      </c>
      <c r="D763" s="99">
        <f t="shared" si="123"/>
        <v>0</v>
      </c>
      <c r="E763" s="99">
        <f t="shared" si="124"/>
        <v>2.1587520159630759E-2</v>
      </c>
      <c r="F763" s="99">
        <f t="shared" si="125"/>
        <v>0</v>
      </c>
      <c r="G763" s="99">
        <f t="shared" si="126"/>
        <v>2.7989006847132569E-2</v>
      </c>
      <c r="H763" s="99" t="str">
        <f t="shared" si="127"/>
        <v/>
      </c>
      <c r="I763" s="99" t="str">
        <f t="shared" si="128"/>
        <v/>
      </c>
      <c r="J763" s="99" t="str">
        <f t="shared" si="129"/>
        <v/>
      </c>
      <c r="K763" s="99" t="str">
        <f t="shared" si="130"/>
        <v/>
      </c>
      <c r="L763" s="99" t="str">
        <f t="shared" si="131"/>
        <v>STALE</v>
      </c>
      <c r="M763" s="106">
        <f>IF(D763="","",ABS(D763-G$5))</f>
        <v>0</v>
      </c>
    </row>
    <row r="764" spans="2:13" ht="13.5" customHeight="1" x14ac:dyDescent="0.55000000000000004">
      <c r="B764" s="94">
        <v>46000</v>
      </c>
      <c r="C764" s="99">
        <v>3.57</v>
      </c>
      <c r="D764" s="99">
        <f t="shared" si="123"/>
        <v>0</v>
      </c>
      <c r="E764" s="99">
        <f t="shared" si="124"/>
        <v>2.1587520159630759E-2</v>
      </c>
      <c r="F764" s="99">
        <f t="shared" si="125"/>
        <v>0</v>
      </c>
      <c r="G764" s="99">
        <f t="shared" si="126"/>
        <v>2.9501719767261143E-2</v>
      </c>
      <c r="H764" s="99" t="str">
        <f t="shared" si="127"/>
        <v/>
      </c>
      <c r="I764" s="99" t="str">
        <f t="shared" si="128"/>
        <v/>
      </c>
      <c r="J764" s="99" t="str">
        <f t="shared" si="129"/>
        <v/>
      </c>
      <c r="K764" s="99" t="str">
        <f t="shared" si="130"/>
        <v/>
      </c>
      <c r="L764" s="99" t="str">
        <f t="shared" si="131"/>
        <v>STALE</v>
      </c>
      <c r="M764" s="106">
        <f>IF(D764="","",ABS(D764-G$5))</f>
        <v>0</v>
      </c>
    </row>
    <row r="765" spans="2:13" ht="13.5" customHeight="1" x14ac:dyDescent="0.55000000000000004">
      <c r="B765" s="94">
        <v>46001</v>
      </c>
      <c r="C765" s="99">
        <v>3.59</v>
      </c>
      <c r="D765" s="99">
        <f t="shared" si="123"/>
        <v>2.0000000000000018</v>
      </c>
      <c r="E765" s="99">
        <f t="shared" si="124"/>
        <v>0.16683688419665252</v>
      </c>
      <c r="F765" s="99">
        <f t="shared" si="125"/>
        <v>0.67449999999999999</v>
      </c>
      <c r="G765" s="99">
        <f t="shared" si="126"/>
        <v>0.23964300046420017</v>
      </c>
      <c r="H765" s="99" t="str">
        <f t="shared" si="127"/>
        <v/>
      </c>
      <c r="I765" s="99" t="str">
        <f t="shared" si="128"/>
        <v/>
      </c>
      <c r="J765" s="99" t="str">
        <f t="shared" si="129"/>
        <v/>
      </c>
      <c r="K765" s="99" t="str">
        <f t="shared" si="130"/>
        <v/>
      </c>
      <c r="L765" s="99" t="str">
        <f t="shared" si="131"/>
        <v/>
      </c>
      <c r="M765" s="106">
        <f>IF(D765="","",ABS(D765-G$5))</f>
        <v>2.0000000000000018</v>
      </c>
    </row>
    <row r="766" spans="2:13" ht="13.5" customHeight="1" x14ac:dyDescent="0.55000000000000004">
      <c r="B766" s="94">
        <v>46002</v>
      </c>
      <c r="C766" s="99">
        <v>3.61</v>
      </c>
      <c r="D766" s="99">
        <f t="shared" si="123"/>
        <v>2.0000000000000018</v>
      </c>
      <c r="E766" s="99">
        <f t="shared" si="124"/>
        <v>0.16683688419665252</v>
      </c>
      <c r="F766" s="99">
        <f t="shared" si="125"/>
        <v>0.67449999999999999</v>
      </c>
      <c r="G766" s="99">
        <f t="shared" si="126"/>
        <v>0.25180380298685134</v>
      </c>
      <c r="H766" s="99" t="str">
        <f t="shared" si="127"/>
        <v/>
      </c>
      <c r="I766" s="99" t="str">
        <f t="shared" si="128"/>
        <v/>
      </c>
      <c r="J766" s="99" t="str">
        <f t="shared" si="129"/>
        <v/>
      </c>
      <c r="K766" s="99" t="str">
        <f t="shared" si="130"/>
        <v/>
      </c>
      <c r="L766" s="99" t="str">
        <f t="shared" si="131"/>
        <v/>
      </c>
      <c r="M766" s="106">
        <f>IF(D766="","",ABS(D766-G$5))</f>
        <v>2.0000000000000018</v>
      </c>
    </row>
    <row r="767" spans="2:13" ht="13.5" customHeight="1" x14ac:dyDescent="0.55000000000000004">
      <c r="B767" s="94">
        <v>46003</v>
      </c>
      <c r="C767" s="99">
        <v>3.6</v>
      </c>
      <c r="D767" s="99">
        <f t="shared" si="123"/>
        <v>-0.99999999999997868</v>
      </c>
      <c r="E767" s="99">
        <f t="shared" si="124"/>
        <v>0.11579972233777029</v>
      </c>
      <c r="F767" s="99">
        <f t="shared" si="125"/>
        <v>0.3372499999999925</v>
      </c>
      <c r="G767" s="99">
        <f t="shared" si="126"/>
        <v>0.18391651376266172</v>
      </c>
      <c r="H767" s="99" t="str">
        <f t="shared" si="127"/>
        <v/>
      </c>
      <c r="I767" s="99" t="str">
        <f t="shared" si="128"/>
        <v/>
      </c>
      <c r="J767" s="99" t="str">
        <f t="shared" si="129"/>
        <v/>
      </c>
      <c r="K767" s="99" t="str">
        <f t="shared" si="130"/>
        <v/>
      </c>
      <c r="L767" s="99" t="str">
        <f t="shared" si="131"/>
        <v/>
      </c>
      <c r="M767" s="106">
        <f>IF(D767="","",ABS(D767-G$5))</f>
        <v>0.99999999999997868</v>
      </c>
    </row>
    <row r="768" spans="2:13" ht="13.5" customHeight="1" x14ac:dyDescent="0.55000000000000004">
      <c r="B768" s="94">
        <v>46006</v>
      </c>
      <c r="C768" s="99">
        <v>3.59</v>
      </c>
      <c r="D768" s="99">
        <f t="shared" si="123"/>
        <v>-1.0000000000000231</v>
      </c>
      <c r="E768" s="99">
        <f t="shared" si="124"/>
        <v>0.11579972233777447</v>
      </c>
      <c r="F768" s="99">
        <f t="shared" si="125"/>
        <v>0.33725000000000749</v>
      </c>
      <c r="G768" s="99">
        <f t="shared" si="126"/>
        <v>0.193501743541173</v>
      </c>
      <c r="H768" s="99" t="str">
        <f t="shared" si="127"/>
        <v/>
      </c>
      <c r="I768" s="99" t="str">
        <f t="shared" si="128"/>
        <v/>
      </c>
      <c r="J768" s="99" t="str">
        <f t="shared" si="129"/>
        <v/>
      </c>
      <c r="K768" s="99" t="str">
        <f t="shared" si="130"/>
        <v/>
      </c>
      <c r="L768" s="99" t="str">
        <f t="shared" si="131"/>
        <v/>
      </c>
      <c r="M768" s="106">
        <f>IF(D768="","",ABS(D768-G$5))</f>
        <v>1.0000000000000231</v>
      </c>
    </row>
    <row r="769" spans="2:13" ht="13.5" customHeight="1" x14ac:dyDescent="0.55000000000000004">
      <c r="B769" s="94">
        <v>46007</v>
      </c>
      <c r="C769" s="99">
        <v>3.6</v>
      </c>
      <c r="D769" s="99">
        <f t="shared" si="123"/>
        <v>1.0000000000000231</v>
      </c>
      <c r="E769" s="99">
        <f t="shared" si="124"/>
        <v>7.2624682018512965E-2</v>
      </c>
      <c r="F769" s="99">
        <f t="shared" si="125"/>
        <v>0.33725000000000749</v>
      </c>
      <c r="G769" s="99">
        <f t="shared" si="126"/>
        <v>0.12781602628974428</v>
      </c>
      <c r="H769" s="99" t="str">
        <f t="shared" si="127"/>
        <v/>
      </c>
      <c r="I769" s="99" t="str">
        <f t="shared" si="128"/>
        <v/>
      </c>
      <c r="J769" s="99" t="str">
        <f t="shared" si="129"/>
        <v/>
      </c>
      <c r="K769" s="99" t="str">
        <f t="shared" si="130"/>
        <v/>
      </c>
      <c r="L769" s="99" t="str">
        <f t="shared" si="131"/>
        <v/>
      </c>
      <c r="M769" s="106">
        <f>IF(D769="","",ABS(D769-G$5))</f>
        <v>1.0000000000000231</v>
      </c>
    </row>
    <row r="770" spans="2:13" ht="13.5" customHeight="1" x14ac:dyDescent="0.55000000000000004">
      <c r="B770" s="94">
        <v>46008</v>
      </c>
      <c r="C770" s="99">
        <v>3.64</v>
      </c>
      <c r="D770" s="99">
        <f t="shared" si="123"/>
        <v>4.0000000000000036</v>
      </c>
      <c r="E770" s="99">
        <f t="shared" si="124"/>
        <v>0.35526128855293576</v>
      </c>
      <c r="F770" s="99">
        <f t="shared" si="125"/>
        <v>1.349</v>
      </c>
      <c r="G770" s="99">
        <f t="shared" si="126"/>
        <v>0.64520047040780315</v>
      </c>
      <c r="H770" s="99" t="str">
        <f t="shared" si="127"/>
        <v/>
      </c>
      <c r="I770" s="99" t="str">
        <f t="shared" si="128"/>
        <v/>
      </c>
      <c r="J770" s="99" t="str">
        <f t="shared" si="129"/>
        <v/>
      </c>
      <c r="K770" s="99" t="str">
        <f t="shared" si="130"/>
        <v/>
      </c>
      <c r="L770" s="99" t="str">
        <f t="shared" si="131"/>
        <v/>
      </c>
      <c r="M770" s="106">
        <f>IF(D770="","",ABS(D770-G$5))</f>
        <v>4.0000000000000036</v>
      </c>
    </row>
    <row r="771" spans="2:13" ht="13.5" customHeight="1" x14ac:dyDescent="0.55000000000000004">
      <c r="B771" s="94">
        <v>46009</v>
      </c>
      <c r="C771" s="99">
        <v>3.69</v>
      </c>
      <c r="D771" s="99">
        <f t="shared" si="123"/>
        <v>4.9999999999999822</v>
      </c>
      <c r="E771" s="99">
        <f t="shared" si="124"/>
        <v>0.44947349073107523</v>
      </c>
      <c r="F771" s="99">
        <f t="shared" si="125"/>
        <v>1.6862499999999925</v>
      </c>
      <c r="G771" s="99">
        <f t="shared" si="126"/>
        <v>0.83027055486368195</v>
      </c>
      <c r="H771" s="99" t="str">
        <f t="shared" si="127"/>
        <v/>
      </c>
      <c r="I771" s="99" t="str">
        <f t="shared" si="128"/>
        <v/>
      </c>
      <c r="J771" s="99" t="str">
        <f t="shared" si="129"/>
        <v/>
      </c>
      <c r="K771" s="99" t="str">
        <f t="shared" si="130"/>
        <v/>
      </c>
      <c r="L771" s="99" t="str">
        <f t="shared" si="131"/>
        <v/>
      </c>
      <c r="M771" s="106">
        <f>IF(D771="","",ABS(D771-G$5))</f>
        <v>4.9999999999999822</v>
      </c>
    </row>
    <row r="772" spans="2:13" ht="13.5" customHeight="1" x14ac:dyDescent="0.55000000000000004">
      <c r="B772" s="94">
        <v>46010</v>
      </c>
      <c r="C772" s="99">
        <v>3.75</v>
      </c>
      <c r="D772" s="99">
        <f t="shared" si="123"/>
        <v>6.0000000000000053</v>
      </c>
      <c r="E772" s="99">
        <f t="shared" si="124"/>
        <v>0.54368569290921898</v>
      </c>
      <c r="F772" s="99">
        <f t="shared" si="125"/>
        <v>2.0234999999999999</v>
      </c>
      <c r="G772" s="99">
        <f t="shared" si="126"/>
        <v>1.003867492430613</v>
      </c>
      <c r="H772" s="99" t="str">
        <f t="shared" si="127"/>
        <v/>
      </c>
      <c r="I772" s="99" t="str">
        <f t="shared" si="128"/>
        <v/>
      </c>
      <c r="J772" s="99" t="str">
        <f t="shared" si="129"/>
        <v/>
      </c>
      <c r="K772" s="99" t="str">
        <f t="shared" si="130"/>
        <v/>
      </c>
      <c r="L772" s="99" t="str">
        <f t="shared" si="131"/>
        <v/>
      </c>
      <c r="M772" s="106">
        <f>IF(D772="","",ABS(D772-G$5))</f>
        <v>6.0000000000000053</v>
      </c>
    </row>
    <row r="773" spans="2:13" ht="13.5" customHeight="1" x14ac:dyDescent="0.55000000000000004">
      <c r="B773" s="94">
        <v>46013</v>
      </c>
      <c r="C773" s="99">
        <v>3.79</v>
      </c>
      <c r="D773" s="99">
        <f t="shared" si="123"/>
        <v>4.0000000000000036</v>
      </c>
      <c r="E773" s="99">
        <f t="shared" si="124"/>
        <v>0.35526128855293576</v>
      </c>
      <c r="F773" s="99">
        <f t="shared" si="125"/>
        <v>1.349</v>
      </c>
      <c r="G773" s="99">
        <f t="shared" si="126"/>
        <v>0.67548240796391457</v>
      </c>
      <c r="H773" s="99" t="str">
        <f t="shared" si="127"/>
        <v/>
      </c>
      <c r="I773" s="99" t="str">
        <f t="shared" si="128"/>
        <v/>
      </c>
      <c r="J773" s="99" t="str">
        <f t="shared" si="129"/>
        <v/>
      </c>
      <c r="K773" s="99" t="str">
        <f t="shared" si="130"/>
        <v/>
      </c>
      <c r="L773" s="99" t="str">
        <f t="shared" si="131"/>
        <v/>
      </c>
      <c r="M773" s="106">
        <f>IF(D773="","",ABS(D773-G$5))</f>
        <v>4.0000000000000036</v>
      </c>
    </row>
    <row r="774" spans="2:13" ht="13.5" customHeight="1" x14ac:dyDescent="0.55000000000000004">
      <c r="B774" s="94">
        <v>46014</v>
      </c>
      <c r="C774" s="99">
        <v>3.82</v>
      </c>
      <c r="D774" s="99">
        <f t="shared" si="123"/>
        <v>2.9999999999999805</v>
      </c>
      <c r="E774" s="99">
        <f t="shared" si="124"/>
        <v>0.26104908637479202</v>
      </c>
      <c r="F774" s="99">
        <f t="shared" si="125"/>
        <v>1.0117499999999926</v>
      </c>
      <c r="G774" s="99">
        <f t="shared" si="126"/>
        <v>0.51618199096174822</v>
      </c>
      <c r="H774" s="99" t="str">
        <f t="shared" si="127"/>
        <v/>
      </c>
      <c r="I774" s="99" t="str">
        <f t="shared" si="128"/>
        <v/>
      </c>
      <c r="J774" s="99" t="str">
        <f t="shared" si="129"/>
        <v/>
      </c>
      <c r="K774" s="99" t="str">
        <f t="shared" si="130"/>
        <v/>
      </c>
      <c r="L774" s="99" t="str">
        <f t="shared" si="131"/>
        <v/>
      </c>
      <c r="M774" s="106">
        <f>IF(D774="","",ABS(D774-G$5))</f>
        <v>2.9999999999999805</v>
      </c>
    </row>
    <row r="775" spans="2:13" ht="13.5" customHeight="1" x14ac:dyDescent="0.55000000000000004">
      <c r="B775" s="94">
        <v>46015</v>
      </c>
      <c r="C775" s="99"/>
      <c r="D775" s="99" t="str">
        <f t="shared" si="123"/>
        <v/>
      </c>
      <c r="E775" s="99" t="str">
        <f t="shared" si="124"/>
        <v/>
      </c>
      <c r="F775" s="99" t="str">
        <f t="shared" si="125"/>
        <v/>
      </c>
      <c r="G775" s="99" t="str">
        <f t="shared" si="126"/>
        <v/>
      </c>
      <c r="H775" s="99" t="str">
        <f t="shared" si="127"/>
        <v/>
      </c>
      <c r="I775" s="99" t="str">
        <f t="shared" si="128"/>
        <v/>
      </c>
      <c r="J775" s="99" t="str">
        <f t="shared" si="129"/>
        <v/>
      </c>
      <c r="K775" s="99" t="str">
        <f t="shared" si="130"/>
        <v>MISSING</v>
      </c>
      <c r="L775" s="99" t="str">
        <f t="shared" si="131"/>
        <v/>
      </c>
      <c r="M775" s="106" t="str">
        <f>IF(D775="","",ABS(D775-G$5))</f>
        <v/>
      </c>
    </row>
    <row r="776" spans="2:13" ht="13.5" customHeight="1" x14ac:dyDescent="0.55000000000000004">
      <c r="B776" s="94">
        <v>46017</v>
      </c>
      <c r="C776" s="99">
        <v>3.84</v>
      </c>
      <c r="D776" s="99" t="str">
        <f t="shared" si="123"/>
        <v/>
      </c>
      <c r="E776" s="99" t="str">
        <f t="shared" si="124"/>
        <v/>
      </c>
      <c r="F776" s="99" t="str">
        <f t="shared" si="125"/>
        <v/>
      </c>
      <c r="G776" s="99" t="str">
        <f t="shared" si="126"/>
        <v/>
      </c>
      <c r="H776" s="99" t="str">
        <f t="shared" si="127"/>
        <v/>
      </c>
      <c r="I776" s="99" t="str">
        <f t="shared" si="128"/>
        <v/>
      </c>
      <c r="J776" s="99" t="str">
        <f t="shared" si="129"/>
        <v/>
      </c>
      <c r="K776" s="99" t="str">
        <f t="shared" si="130"/>
        <v/>
      </c>
      <c r="L776" s="99" t="str">
        <f t="shared" si="131"/>
        <v/>
      </c>
      <c r="M776" s="106" t="str">
        <f>IF(D776="","",ABS(D776-G$5))</f>
        <v/>
      </c>
    </row>
    <row r="777" spans="2:13" ht="13.5" customHeight="1" x14ac:dyDescent="0.55000000000000004">
      <c r="B777" s="94">
        <v>46020</v>
      </c>
      <c r="C777" s="99">
        <v>4.9800000000000004</v>
      </c>
      <c r="D777" s="99">
        <f t="shared" si="123"/>
        <v>114.00000000000006</v>
      </c>
      <c r="E777" s="99">
        <f t="shared" si="124"/>
        <v>10.71860352814851</v>
      </c>
      <c r="F777" s="99">
        <f t="shared" si="125"/>
        <v>38.446499999999986</v>
      </c>
      <c r="G777" s="99">
        <f t="shared" si="126"/>
        <v>3.0452487739628347</v>
      </c>
      <c r="H777" s="99" t="str">
        <f t="shared" si="127"/>
        <v>OUTLIER</v>
      </c>
      <c r="I777" s="99" t="str">
        <f t="shared" si="128"/>
        <v>OUTLIER</v>
      </c>
      <c r="J777" s="99" t="str">
        <f t="shared" si="129"/>
        <v>OUTLIER</v>
      </c>
      <c r="K777" s="99" t="str">
        <f t="shared" si="130"/>
        <v/>
      </c>
      <c r="L777" s="99" t="str">
        <f t="shared" si="131"/>
        <v/>
      </c>
      <c r="M777" s="106">
        <f>IF(D777="","",ABS(D777-G$5))</f>
        <v>114.00000000000006</v>
      </c>
    </row>
    <row r="778" spans="2:13" ht="13.5" customHeight="1" x14ac:dyDescent="0.55000000000000004">
      <c r="B778" s="94">
        <v>46021</v>
      </c>
      <c r="C778" s="99">
        <v>4.9800000000000004</v>
      </c>
      <c r="D778" s="99">
        <f t="shared" si="123"/>
        <v>0</v>
      </c>
      <c r="E778" s="99">
        <f t="shared" si="124"/>
        <v>2.1587520159630759E-2</v>
      </c>
      <c r="F778" s="99">
        <f t="shared" si="125"/>
        <v>0</v>
      </c>
      <c r="G778" s="99">
        <f t="shared" si="126"/>
        <v>6.464949902145389E-3</v>
      </c>
      <c r="H778" s="99" t="str">
        <f t="shared" si="127"/>
        <v/>
      </c>
      <c r="I778" s="99" t="str">
        <f t="shared" si="128"/>
        <v/>
      </c>
      <c r="J778" s="99" t="str">
        <f t="shared" si="129"/>
        <v/>
      </c>
      <c r="K778" s="99" t="str">
        <f t="shared" si="130"/>
        <v/>
      </c>
      <c r="L778" s="99" t="str">
        <f t="shared" si="131"/>
        <v>STALE</v>
      </c>
      <c r="M778" s="106">
        <f>IF(D778="","",ABS(D778-G$5))</f>
        <v>0</v>
      </c>
    </row>
    <row r="779" spans="2:13" ht="13.5" customHeight="1" x14ac:dyDescent="0.55000000000000004">
      <c r="B779" s="94">
        <v>46022</v>
      </c>
      <c r="C779" s="99">
        <v>5.04</v>
      </c>
      <c r="D779" s="99">
        <f t="shared" si="123"/>
        <v>5.9999999999999609</v>
      </c>
      <c r="E779" s="99">
        <f t="shared" si="124"/>
        <v>0.54368569290921476</v>
      </c>
      <c r="F779" s="99">
        <f t="shared" si="125"/>
        <v>2.0234999999999852</v>
      </c>
      <c r="G779" s="99">
        <f t="shared" si="126"/>
        <v>0.17137614228994208</v>
      </c>
      <c r="H779" s="99" t="str">
        <f t="shared" si="127"/>
        <v/>
      </c>
      <c r="I779" s="99" t="str">
        <f t="shared" si="128"/>
        <v/>
      </c>
      <c r="J779" s="99" t="str">
        <f t="shared" si="129"/>
        <v/>
      </c>
      <c r="K779" s="99" t="str">
        <f t="shared" si="130"/>
        <v/>
      </c>
      <c r="L779" s="99" t="str">
        <f t="shared" si="131"/>
        <v/>
      </c>
      <c r="M779" s="106">
        <f>IF(D779="","",ABS(D779-G$5))</f>
        <v>5.9999999999999609</v>
      </c>
    </row>
    <row r="780" spans="2:13" ht="13.5" customHeight="1" x14ac:dyDescent="0.55000000000000004">
      <c r="B780" s="94"/>
      <c r="C780" s="99"/>
      <c r="D780" s="99" t="str">
        <f t="shared" si="123"/>
        <v/>
      </c>
      <c r="E780" s="99" t="str">
        <f t="shared" si="124"/>
        <v/>
      </c>
      <c r="F780" s="99" t="str">
        <f t="shared" si="125"/>
        <v/>
      </c>
      <c r="G780" s="99" t="str">
        <f t="shared" si="126"/>
        <v/>
      </c>
      <c r="H780" s="99" t="str">
        <f t="shared" si="127"/>
        <v/>
      </c>
      <c r="I780" s="99" t="str">
        <f t="shared" si="128"/>
        <v/>
      </c>
      <c r="J780" s="99" t="str">
        <f t="shared" si="129"/>
        <v/>
      </c>
      <c r="K780" s="99" t="str">
        <f t="shared" si="130"/>
        <v>MISSING</v>
      </c>
      <c r="L780" s="99" t="str">
        <f t="shared" si="131"/>
        <v/>
      </c>
      <c r="M780" s="106" t="str">
        <f>IF(D780="","",ABS(D780-G$5))</f>
        <v/>
      </c>
    </row>
    <row r="781" spans="2:13" ht="13.5" customHeight="1" x14ac:dyDescent="0.55000000000000004">
      <c r="B781" s="94"/>
      <c r="C781" s="99"/>
      <c r="D781" s="99" t="str">
        <f t="shared" si="123"/>
        <v/>
      </c>
      <c r="E781" s="99" t="str">
        <f t="shared" si="124"/>
        <v/>
      </c>
      <c r="F781" s="99" t="str">
        <f t="shared" si="125"/>
        <v/>
      </c>
      <c r="G781" s="99" t="str">
        <f t="shared" si="126"/>
        <v/>
      </c>
      <c r="H781" s="99" t="str">
        <f t="shared" si="127"/>
        <v/>
      </c>
      <c r="I781" s="99" t="str">
        <f t="shared" si="128"/>
        <v/>
      </c>
      <c r="J781" s="99" t="str">
        <f t="shared" si="129"/>
        <v/>
      </c>
      <c r="K781" s="99" t="str">
        <f t="shared" si="130"/>
        <v>MISSING</v>
      </c>
      <c r="L781" s="99" t="str">
        <f t="shared" si="131"/>
        <v/>
      </c>
      <c r="M781" s="106" t="str">
        <f>IF(D781="","",ABS(D781-G$5))</f>
        <v/>
      </c>
    </row>
    <row r="782" spans="2:13" ht="13.5" customHeight="1" x14ac:dyDescent="0.55000000000000004">
      <c r="B782" s="94"/>
      <c r="C782" s="99"/>
      <c r="D782" s="99" t="str">
        <f t="shared" si="123"/>
        <v/>
      </c>
      <c r="E782" s="99" t="str">
        <f t="shared" si="124"/>
        <v/>
      </c>
      <c r="F782" s="99" t="str">
        <f t="shared" si="125"/>
        <v/>
      </c>
      <c r="G782" s="99" t="str">
        <f t="shared" si="126"/>
        <v/>
      </c>
      <c r="H782" s="99" t="str">
        <f t="shared" si="127"/>
        <v/>
      </c>
      <c r="I782" s="99" t="str">
        <f t="shared" si="128"/>
        <v/>
      </c>
      <c r="J782" s="99" t="str">
        <f t="shared" si="129"/>
        <v/>
      </c>
      <c r="K782" s="99" t="str">
        <f t="shared" si="130"/>
        <v>MISSING</v>
      </c>
      <c r="L782" s="99" t="str">
        <f t="shared" si="131"/>
        <v/>
      </c>
      <c r="M782" s="106" t="str">
        <f>IF(D782="","",ABS(D782-G$5))</f>
        <v/>
      </c>
    </row>
    <row r="783" spans="2:13" ht="13.5" customHeight="1" x14ac:dyDescent="0.55000000000000004">
      <c r="B783" s="94"/>
      <c r="C783" s="99"/>
      <c r="D783" s="99" t="str">
        <f t="shared" si="123"/>
        <v/>
      </c>
      <c r="E783" s="99" t="str">
        <f t="shared" si="124"/>
        <v/>
      </c>
      <c r="F783" s="99" t="str">
        <f t="shared" si="125"/>
        <v/>
      </c>
      <c r="G783" s="99" t="str">
        <f t="shared" si="126"/>
        <v/>
      </c>
      <c r="H783" s="99" t="str">
        <f t="shared" si="127"/>
        <v/>
      </c>
      <c r="I783" s="99" t="str">
        <f t="shared" si="128"/>
        <v/>
      </c>
      <c r="J783" s="99" t="str">
        <f t="shared" si="129"/>
        <v/>
      </c>
      <c r="K783" s="99" t="str">
        <f t="shared" si="130"/>
        <v>MISSING</v>
      </c>
      <c r="L783" s="99" t="str">
        <f t="shared" si="131"/>
        <v/>
      </c>
      <c r="M783" s="106" t="str">
        <f>IF(D783="","",ABS(D783-G$5))</f>
        <v/>
      </c>
    </row>
    <row r="784" spans="2:13" ht="13.5" customHeight="1" x14ac:dyDescent="0.55000000000000004">
      <c r="B784" s="94"/>
      <c r="C784" s="99"/>
      <c r="D784" s="99" t="str">
        <f t="shared" si="123"/>
        <v/>
      </c>
      <c r="E784" s="99" t="str">
        <f t="shared" si="124"/>
        <v/>
      </c>
      <c r="F784" s="99" t="str">
        <f t="shared" si="125"/>
        <v/>
      </c>
      <c r="G784" s="99" t="str">
        <f t="shared" si="126"/>
        <v/>
      </c>
      <c r="H784" s="99" t="str">
        <f t="shared" si="127"/>
        <v/>
      </c>
      <c r="I784" s="99" t="str">
        <f t="shared" si="128"/>
        <v/>
      </c>
      <c r="J784" s="99" t="str">
        <f t="shared" si="129"/>
        <v/>
      </c>
      <c r="K784" s="99" t="str">
        <f t="shared" si="130"/>
        <v>MISSING</v>
      </c>
      <c r="L784" s="99" t="str">
        <f t="shared" si="131"/>
        <v/>
      </c>
      <c r="M784" s="106" t="str">
        <f>IF(D784="","",ABS(D784-G$5))</f>
        <v/>
      </c>
    </row>
    <row r="785" spans="2:13" ht="13.5" customHeight="1" x14ac:dyDescent="0.55000000000000004">
      <c r="B785" s="94"/>
      <c r="C785" s="99"/>
      <c r="D785" s="99" t="str">
        <f t="shared" si="123"/>
        <v/>
      </c>
      <c r="E785" s="99" t="str">
        <f t="shared" si="124"/>
        <v/>
      </c>
      <c r="F785" s="99" t="str">
        <f t="shared" si="125"/>
        <v/>
      </c>
      <c r="G785" s="99" t="str">
        <f t="shared" si="126"/>
        <v/>
      </c>
      <c r="H785" s="99" t="str">
        <f t="shared" si="127"/>
        <v/>
      </c>
      <c r="I785" s="99" t="str">
        <f t="shared" si="128"/>
        <v/>
      </c>
      <c r="J785" s="99" t="str">
        <f t="shared" si="129"/>
        <v/>
      </c>
      <c r="K785" s="99" t="str">
        <f t="shared" si="130"/>
        <v>MISSING</v>
      </c>
      <c r="L785" s="99" t="str">
        <f t="shared" si="131"/>
        <v/>
      </c>
      <c r="M785" s="106" t="str">
        <f>IF(D785="","",ABS(D785-G$5))</f>
        <v/>
      </c>
    </row>
    <row r="786" spans="2:13" ht="13.5" customHeight="1" x14ac:dyDescent="0.55000000000000004">
      <c r="B786" s="94"/>
      <c r="C786" s="99"/>
      <c r="D786" s="99" t="str">
        <f t="shared" si="123"/>
        <v/>
      </c>
      <c r="E786" s="99" t="str">
        <f t="shared" si="124"/>
        <v/>
      </c>
      <c r="F786" s="99" t="str">
        <f t="shared" si="125"/>
        <v/>
      </c>
      <c r="G786" s="99" t="str">
        <f t="shared" si="126"/>
        <v/>
      </c>
      <c r="H786" s="99" t="str">
        <f t="shared" si="127"/>
        <v/>
      </c>
      <c r="I786" s="99" t="str">
        <f t="shared" si="128"/>
        <v/>
      </c>
      <c r="J786" s="99" t="str">
        <f t="shared" si="129"/>
        <v/>
      </c>
      <c r="K786" s="99" t="str">
        <f t="shared" si="130"/>
        <v>MISSING</v>
      </c>
      <c r="L786" s="99" t="str">
        <f t="shared" si="131"/>
        <v/>
      </c>
      <c r="M786" s="106" t="str">
        <f>IF(D786="","",ABS(D786-G$5))</f>
        <v/>
      </c>
    </row>
    <row r="787" spans="2:13" ht="13.5" customHeight="1" x14ac:dyDescent="0.55000000000000004">
      <c r="B787" s="94"/>
      <c r="C787" s="99"/>
      <c r="D787" s="99"/>
      <c r="E787" s="99"/>
      <c r="F787" s="99"/>
      <c r="G787" s="99"/>
      <c r="H787" s="99"/>
      <c r="I787" s="99"/>
      <c r="J787" s="99"/>
      <c r="K787" s="99"/>
      <c r="L787" s="99"/>
      <c r="M787" s="106"/>
    </row>
  </sheetData>
  <mergeCells count="26">
    <mergeCell ref="C272:E272"/>
    <mergeCell ref="F272:L272"/>
    <mergeCell ref="C273:E273"/>
    <mergeCell ref="F273:L273"/>
    <mergeCell ref="C274:E274"/>
    <mergeCell ref="F274:L274"/>
    <mergeCell ref="C269:E269"/>
    <mergeCell ref="F269:L269"/>
    <mergeCell ref="C270:E270"/>
    <mergeCell ref="F270:L270"/>
    <mergeCell ref="C271:E271"/>
    <mergeCell ref="F271:L271"/>
    <mergeCell ref="C266:E266"/>
    <mergeCell ref="F266:L266"/>
    <mergeCell ref="C267:E267"/>
    <mergeCell ref="F267:L267"/>
    <mergeCell ref="C268:E268"/>
    <mergeCell ref="F268:L268"/>
    <mergeCell ref="C263:E263"/>
    <mergeCell ref="F263:L263"/>
    <mergeCell ref="B264:L264"/>
    <mergeCell ref="B1:L1"/>
    <mergeCell ref="B2:L2"/>
    <mergeCell ref="B4:D4"/>
    <mergeCell ref="B7:L7"/>
    <mergeCell ref="B262:D26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30"/>
  <sheetViews>
    <sheetView showGridLines="0" tabSelected="1" topLeftCell="A765" zoomScale="124" zoomScaleNormal="100" workbookViewId="0">
      <selection activeCell="B789" sqref="B789"/>
    </sheetView>
  </sheetViews>
  <sheetFormatPr defaultColWidth="8.68359375" defaultRowHeight="14.4" x14ac:dyDescent="0.55000000000000004"/>
  <cols>
    <col min="1" max="1" width="2" customWidth="1"/>
    <col min="2" max="2" width="13" customWidth="1"/>
    <col min="3" max="4" width="11" customWidth="1"/>
    <col min="5" max="5" width="10" customWidth="1"/>
    <col min="6" max="6" width="14.734375" customWidth="1"/>
    <col min="7" max="7" width="18.578125" customWidth="1"/>
    <col min="8" max="8" width="10" customWidth="1"/>
    <col min="9" max="9" width="12" customWidth="1"/>
    <col min="10" max="10" width="13" customWidth="1"/>
    <col min="11" max="11" width="12" customWidth="1"/>
    <col min="12" max="12" width="13" customWidth="1"/>
    <col min="13" max="13" width="2" customWidth="1"/>
  </cols>
  <sheetData>
    <row r="1" spans="2:13" ht="33.75" customHeight="1" x14ac:dyDescent="0.55000000000000004">
      <c r="B1" s="8" t="s">
        <v>60</v>
      </c>
      <c r="C1" s="8"/>
      <c r="D1" s="8"/>
      <c r="E1" s="8"/>
      <c r="F1" s="8"/>
      <c r="G1" s="8"/>
      <c r="H1" s="8"/>
      <c r="I1" s="8"/>
      <c r="J1" s="8"/>
      <c r="K1" s="8"/>
      <c r="L1" s="8"/>
    </row>
    <row r="2" spans="2:13" ht="15.75" customHeight="1" x14ac:dyDescent="0.55000000000000004">
      <c r="B2" s="9" t="s">
        <v>61</v>
      </c>
      <c r="C2" s="9"/>
      <c r="D2" s="9"/>
      <c r="E2" s="9"/>
      <c r="F2" s="9"/>
      <c r="G2" s="9"/>
      <c r="H2" s="9"/>
      <c r="I2" s="9"/>
      <c r="J2" s="9"/>
      <c r="K2" s="9"/>
      <c r="L2" s="9"/>
    </row>
    <row r="3" spans="2:13" ht="9.75" customHeight="1" x14ac:dyDescent="0.55000000000000004">
      <c r="B3" s="1"/>
      <c r="C3" s="1"/>
      <c r="D3" s="1"/>
      <c r="E3" s="1"/>
      <c r="F3" s="1"/>
      <c r="G3" s="1"/>
      <c r="H3" s="1"/>
      <c r="I3" s="1"/>
      <c r="J3" s="1"/>
      <c r="K3" s="1"/>
      <c r="L3" s="1"/>
    </row>
    <row r="4" spans="2:13" ht="18" customHeight="1" x14ac:dyDescent="0.55000000000000004">
      <c r="B4" s="9" t="s">
        <v>45</v>
      </c>
      <c r="C4" s="9"/>
      <c r="D4" s="9"/>
      <c r="E4" s="2" t="s">
        <v>46</v>
      </c>
      <c r="F4" s="2" t="s">
        <v>47</v>
      </c>
      <c r="G4" s="2" t="s">
        <v>48</v>
      </c>
      <c r="H4" s="2" t="s">
        <v>49</v>
      </c>
      <c r="I4" s="2" t="s">
        <v>50</v>
      </c>
      <c r="J4" s="1"/>
      <c r="K4" s="1"/>
      <c r="L4" s="1"/>
      <c r="M4" s="11" t="s">
        <v>76</v>
      </c>
    </row>
    <row r="5" spans="2:13" ht="15.75" customHeight="1" x14ac:dyDescent="0.55000000000000004">
      <c r="B5" s="1"/>
      <c r="C5" s="1"/>
      <c r="D5" s="1"/>
      <c r="E5" s="3">
        <f>AVERAGE(D9:D267,D270:D526,D529:D787)</f>
        <v>7.7454385272530415E-4</v>
      </c>
      <c r="F5" s="3">
        <f>STDEV(D9:D267,D270:D526,D529:D787)</f>
        <v>1.6711234581319231E-2</v>
      </c>
      <c r="G5" s="3">
        <f>MEDIAN(D9:D267,D270:D526,D529:D787)</f>
        <v>0</v>
      </c>
      <c r="H5" s="3">
        <f>_xlfn.AGGREGATE(16,6,M9:M787,0.5)/0.6745</f>
        <v>9.502086760268676E-3</v>
      </c>
      <c r="I5" s="4">
        <v>3</v>
      </c>
      <c r="J5" s="1"/>
      <c r="K5" s="1"/>
      <c r="L5" s="1"/>
    </row>
    <row r="6" spans="2:13" ht="7.5" customHeight="1" x14ac:dyDescent="0.55000000000000004">
      <c r="B6" s="1"/>
      <c r="C6" s="1"/>
      <c r="D6" s="1"/>
      <c r="E6" s="1"/>
      <c r="F6" s="1"/>
      <c r="G6" s="1"/>
      <c r="H6" s="1"/>
      <c r="I6" s="1"/>
      <c r="J6" s="1"/>
      <c r="K6" s="1"/>
      <c r="L6" s="1"/>
    </row>
    <row r="7" spans="2:13" ht="21.75" customHeight="1" x14ac:dyDescent="0.55000000000000004">
      <c r="B7" s="92" t="str">
        <f>"YEAR 2020   |   Observations: "&amp;COUNTA(C9:C267)&amp;"   |   Missing: "&amp;COUNTIF(K9:K267,"MISSING")&amp;"   |   Stale: "&amp;COUNTIF(L9:L267,"STALE")&amp;"   |   Z&gt;3 Outliers: "&amp;COUNTIF(H9:H267,"OUTLIER")&amp;"   |   Robust Z&gt;3: "&amp;COUNTIF(I9:I267,"OUTLIER")</f>
        <v>YEAR 2020   |   Observations: 254   |   Missing: 4   |   Stale: 0   |   Z&gt;3 Outliers: 11   |   Robust Z&gt;3: 31</v>
      </c>
      <c r="C7" s="93"/>
      <c r="D7" s="93"/>
      <c r="E7" s="93"/>
      <c r="F7" s="93"/>
      <c r="G7" s="93"/>
      <c r="H7" s="93"/>
      <c r="I7" s="93"/>
      <c r="J7" s="93"/>
      <c r="K7" s="93"/>
      <c r="L7" s="93"/>
    </row>
    <row r="8" spans="2:13" ht="21.75" customHeight="1" x14ac:dyDescent="0.55000000000000004">
      <c r="B8" s="104" t="s">
        <v>51</v>
      </c>
      <c r="C8" s="105" t="s">
        <v>52</v>
      </c>
      <c r="D8" s="103" t="s">
        <v>53</v>
      </c>
      <c r="E8" s="103" t="s">
        <v>54</v>
      </c>
      <c r="F8" s="103" t="s">
        <v>55</v>
      </c>
      <c r="G8" s="103" t="s">
        <v>56</v>
      </c>
      <c r="H8" s="103" t="s">
        <v>57</v>
      </c>
      <c r="I8" s="103" t="s">
        <v>105</v>
      </c>
      <c r="J8" s="103" t="s">
        <v>106</v>
      </c>
      <c r="K8" s="103" t="s">
        <v>58</v>
      </c>
      <c r="L8" s="103" t="s">
        <v>59</v>
      </c>
      <c r="M8" s="10" t="s">
        <v>77</v>
      </c>
    </row>
    <row r="9" spans="2:13" s="107" customFormat="1" ht="12.75" customHeight="1" x14ac:dyDescent="0.4">
      <c r="B9" s="109">
        <v>43831</v>
      </c>
      <c r="C9" s="5"/>
      <c r="D9" s="6"/>
      <c r="E9" s="6" t="str">
        <f t="shared" ref="E9:E72" si="0">IF(D9="","",ABS(D9-$E$5)/$F$5)</f>
        <v/>
      </c>
      <c r="F9" s="6" t="str">
        <f t="shared" ref="F9:F72" si="1">IF(D9="","",ABS(D9-$G$5)/$H$5)</f>
        <v/>
      </c>
      <c r="G9" s="6" t="str">
        <f>IF(D9="","",ABS(D9-$E$5)/$F$5)</f>
        <v/>
      </c>
      <c r="H9" s="6" t="str">
        <f t="shared" ref="H9:H72" si="2">IF(E9="","",IF(E9&gt;$I$5,"OUTLIER",""))</f>
        <v/>
      </c>
      <c r="I9" s="6" t="str">
        <f t="shared" ref="I9:I72" si="3">IF(F9="","",IF(F9&gt;$I$5,"OUTLIER",""))</f>
        <v/>
      </c>
      <c r="J9" s="6" t="str">
        <f t="shared" ref="J9:J72" si="4">IF(G9="","",IF(G9&gt;$I$5,"OUTLIER",""))</f>
        <v/>
      </c>
      <c r="K9" s="6" t="str">
        <f t="shared" ref="K9:K72" si="5">IF(C9="","MISSING","")</f>
        <v>MISSING</v>
      </c>
      <c r="L9" s="6"/>
      <c r="M9" s="110" t="str">
        <f>IF(D9="","",ABS(D9-G$5))</f>
        <v/>
      </c>
    </row>
    <row r="10" spans="2:13" s="107" customFormat="1" ht="12.75" customHeight="1" x14ac:dyDescent="0.4">
      <c r="B10" s="109">
        <v>43832</v>
      </c>
      <c r="C10" s="5">
        <v>3257.85</v>
      </c>
      <c r="D10" s="7" t="str">
        <f t="shared" ref="D10:D73" si="6">IF(OR(C10="",C9=""),"",LN(C10/C9))</f>
        <v/>
      </c>
      <c r="E10" s="5" t="str">
        <f t="shared" si="0"/>
        <v/>
      </c>
      <c r="F10" s="5" t="str">
        <f t="shared" si="1"/>
        <v/>
      </c>
      <c r="G10" s="6" t="str">
        <f t="shared" ref="G10:G73" si="7">IF(D10="","",ABS(D10-$E$5)/SQRT(0.9*(IF(G9="",($F$5)^2,(ABS(D9-$E$5)/MAX(G9,0.0000000001))^2))+0.1*(D10-$E$5)^2))</f>
        <v/>
      </c>
      <c r="H10" s="6" t="str">
        <f t="shared" si="2"/>
        <v/>
      </c>
      <c r="I10" s="6" t="str">
        <f t="shared" si="3"/>
        <v/>
      </c>
      <c r="J10" s="6" t="str">
        <f t="shared" si="4"/>
        <v/>
      </c>
      <c r="K10" s="6" t="str">
        <f t="shared" si="5"/>
        <v/>
      </c>
      <c r="L10" s="6"/>
      <c r="M10" s="110" t="str">
        <f>IF(D10="","",ABS(D10-G$5))</f>
        <v/>
      </c>
    </row>
    <row r="11" spans="2:13" s="107" customFormat="1" ht="12.75" customHeight="1" x14ac:dyDescent="0.4">
      <c r="B11" s="109">
        <v>43833</v>
      </c>
      <c r="C11" s="5">
        <v>3234.85</v>
      </c>
      <c r="D11" s="7">
        <f t="shared" si="6"/>
        <v>-7.0849095780836013E-3</v>
      </c>
      <c r="E11" s="5">
        <f t="shared" si="0"/>
        <v>0.47030956286106168</v>
      </c>
      <c r="F11" s="5">
        <f t="shared" si="1"/>
        <v>0.74561617430267202</v>
      </c>
      <c r="G11" s="5">
        <f t="shared" si="7"/>
        <v>0.48976787859162407</v>
      </c>
      <c r="H11" s="6" t="str">
        <f t="shared" si="2"/>
        <v/>
      </c>
      <c r="I11" s="6" t="str">
        <f t="shared" si="3"/>
        <v/>
      </c>
      <c r="J11" s="6" t="str">
        <f t="shared" si="4"/>
        <v/>
      </c>
      <c r="K11" s="6" t="str">
        <f t="shared" si="5"/>
        <v/>
      </c>
      <c r="L11" s="6"/>
      <c r="M11" s="110">
        <f>IF(D11="","",ABS(D11-G$5))</f>
        <v>7.0849095780836013E-3</v>
      </c>
    </row>
    <row r="12" spans="2:13" s="107" customFormat="1" ht="12.75" customHeight="1" x14ac:dyDescent="0.4">
      <c r="B12" s="109">
        <v>43836</v>
      </c>
      <c r="C12" s="5">
        <v>3246.28</v>
      </c>
      <c r="D12" s="7">
        <f t="shared" si="6"/>
        <v>3.527166358322553E-3</v>
      </c>
      <c r="E12" s="5">
        <f t="shared" si="0"/>
        <v>0.16471688505134666</v>
      </c>
      <c r="F12" s="5">
        <f t="shared" si="1"/>
        <v>0.37119913207599681</v>
      </c>
      <c r="G12" s="5">
        <f t="shared" si="7"/>
        <v>0.18051554496485417</v>
      </c>
      <c r="H12" s="6" t="str">
        <f t="shared" si="2"/>
        <v/>
      </c>
      <c r="I12" s="6" t="str">
        <f t="shared" si="3"/>
        <v/>
      </c>
      <c r="J12" s="6" t="str">
        <f t="shared" si="4"/>
        <v/>
      </c>
      <c r="K12" s="6" t="str">
        <f t="shared" si="5"/>
        <v/>
      </c>
      <c r="L12" s="6"/>
      <c r="M12" s="110">
        <f>IF(D12="","",ABS(D12-G$5))</f>
        <v>3.527166358322553E-3</v>
      </c>
    </row>
    <row r="13" spans="2:13" s="107" customFormat="1" ht="12.75" customHeight="1" x14ac:dyDescent="0.4">
      <c r="B13" s="109">
        <v>43837</v>
      </c>
      <c r="C13" s="5">
        <v>3237.18</v>
      </c>
      <c r="D13" s="7">
        <f t="shared" si="6"/>
        <v>-2.807144942889736E-3</v>
      </c>
      <c r="E13" s="5">
        <f t="shared" si="0"/>
        <v>0.214328198086505</v>
      </c>
      <c r="F13" s="5">
        <f t="shared" si="1"/>
        <v>0.29542404881286966</v>
      </c>
      <c r="G13" s="5">
        <f t="shared" si="7"/>
        <v>0.2468354137226732</v>
      </c>
      <c r="H13" s="6" t="str">
        <f t="shared" si="2"/>
        <v/>
      </c>
      <c r="I13" s="6" t="str">
        <f t="shared" si="3"/>
        <v/>
      </c>
      <c r="J13" s="6" t="str">
        <f t="shared" si="4"/>
        <v/>
      </c>
      <c r="K13" s="6" t="str">
        <f t="shared" si="5"/>
        <v/>
      </c>
      <c r="L13" s="6"/>
      <c r="M13" s="110">
        <f>IF(D13="","",ABS(D13-G$5))</f>
        <v>2.807144942889736E-3</v>
      </c>
    </row>
    <row r="14" spans="2:13" s="107" customFormat="1" ht="12.75" customHeight="1" x14ac:dyDescent="0.4">
      <c r="B14" s="109">
        <v>43838</v>
      </c>
      <c r="C14" s="6">
        <v>3253.05</v>
      </c>
      <c r="D14" s="6">
        <f t="shared" si="6"/>
        <v>4.8904373587368467E-3</v>
      </c>
      <c r="E14" s="6">
        <f t="shared" si="0"/>
        <v>0.24629499909076272</v>
      </c>
      <c r="F14" s="6">
        <f t="shared" si="1"/>
        <v>0.51466982801981564</v>
      </c>
      <c r="G14" s="6">
        <f t="shared" si="7"/>
        <v>0.29766644461366798</v>
      </c>
      <c r="H14" s="6" t="str">
        <f t="shared" si="2"/>
        <v/>
      </c>
      <c r="I14" s="6" t="str">
        <f t="shared" si="3"/>
        <v/>
      </c>
      <c r="J14" s="6" t="str">
        <f t="shared" si="4"/>
        <v/>
      </c>
      <c r="K14" s="6" t="str">
        <f t="shared" si="5"/>
        <v/>
      </c>
      <c r="L14" s="6"/>
      <c r="M14" s="110">
        <f>IF(D14="","",ABS(D14-G$5))</f>
        <v>4.8904373587368467E-3</v>
      </c>
    </row>
    <row r="15" spans="2:13" s="107" customFormat="1" ht="12.75" customHeight="1" x14ac:dyDescent="0.4">
      <c r="B15" s="109">
        <v>43839</v>
      </c>
      <c r="C15" s="5">
        <v>3274.7</v>
      </c>
      <c r="D15" s="6">
        <f t="shared" si="6"/>
        <v>6.6332440375756734E-3</v>
      </c>
      <c r="E15" s="6">
        <f t="shared" si="0"/>
        <v>0.35058452182818123</v>
      </c>
      <c r="F15" s="6">
        <f t="shared" si="1"/>
        <v>0.69808287431255944</v>
      </c>
      <c r="G15" s="6">
        <f t="shared" si="7"/>
        <v>0.44223878793372834</v>
      </c>
      <c r="H15" s="6" t="str">
        <f t="shared" si="2"/>
        <v/>
      </c>
      <c r="I15" s="6" t="str">
        <f t="shared" si="3"/>
        <v/>
      </c>
      <c r="J15" s="6" t="str">
        <f t="shared" si="4"/>
        <v/>
      </c>
      <c r="K15" s="6" t="str">
        <f t="shared" si="5"/>
        <v/>
      </c>
      <c r="L15" s="6"/>
      <c r="M15" s="110">
        <f>IF(D15="","",ABS(D15-G$5))</f>
        <v>6.6332440375756734E-3</v>
      </c>
    </row>
    <row r="16" spans="2:13" s="107" customFormat="1" ht="12.75" customHeight="1" x14ac:dyDescent="0.4">
      <c r="B16" s="109">
        <v>43840</v>
      </c>
      <c r="C16" s="5">
        <v>3265.35</v>
      </c>
      <c r="D16" s="7">
        <f t="shared" si="6"/>
        <v>-2.8593073050462519E-3</v>
      </c>
      <c r="E16" s="5">
        <f t="shared" si="0"/>
        <v>0.21744959297224403</v>
      </c>
      <c r="F16" s="5">
        <f t="shared" si="1"/>
        <v>0.30091361794358146</v>
      </c>
      <c r="G16" s="5">
        <f t="shared" si="7"/>
        <v>0.28793446141382611</v>
      </c>
      <c r="H16" s="6" t="str">
        <f t="shared" si="2"/>
        <v/>
      </c>
      <c r="I16" s="6" t="str">
        <f t="shared" si="3"/>
        <v/>
      </c>
      <c r="J16" s="6" t="str">
        <f t="shared" si="4"/>
        <v/>
      </c>
      <c r="K16" s="6" t="str">
        <f t="shared" si="5"/>
        <v/>
      </c>
      <c r="L16" s="6"/>
      <c r="M16" s="110">
        <f>IF(D16="","",ABS(D16-G$5))</f>
        <v>2.8593073050462519E-3</v>
      </c>
    </row>
    <row r="17" spans="2:13" s="107" customFormat="1" ht="12.75" customHeight="1" x14ac:dyDescent="0.4">
      <c r="B17" s="109">
        <v>43843</v>
      </c>
      <c r="C17" s="5">
        <v>3288.13</v>
      </c>
      <c r="D17" s="7">
        <f t="shared" si="6"/>
        <v>6.9520595923161831E-3</v>
      </c>
      <c r="E17" s="5">
        <f t="shared" si="0"/>
        <v>0.36966243933266651</v>
      </c>
      <c r="F17" s="5">
        <f t="shared" si="1"/>
        <v>0.73163503635696236</v>
      </c>
      <c r="G17" s="5">
        <f t="shared" si="7"/>
        <v>0.50922986506606915</v>
      </c>
      <c r="H17" s="6" t="str">
        <f t="shared" si="2"/>
        <v/>
      </c>
      <c r="I17" s="6" t="str">
        <f t="shared" si="3"/>
        <v/>
      </c>
      <c r="J17" s="6" t="str">
        <f t="shared" si="4"/>
        <v/>
      </c>
      <c r="K17" s="6" t="str">
        <f t="shared" si="5"/>
        <v/>
      </c>
      <c r="L17" s="6"/>
      <c r="M17" s="110">
        <f>IF(D17="","",ABS(D17-G$5))</f>
        <v>6.9520595923161831E-3</v>
      </c>
    </row>
    <row r="18" spans="2:13" s="107" customFormat="1" ht="12.75" customHeight="1" x14ac:dyDescent="0.4">
      <c r="B18" s="109">
        <v>43844</v>
      </c>
      <c r="C18" s="5">
        <v>3283.15</v>
      </c>
      <c r="D18" s="7">
        <f t="shared" si="6"/>
        <v>-1.5156867317727837E-3</v>
      </c>
      <c r="E18" s="5">
        <f t="shared" si="0"/>
        <v>0.13704736016680885</v>
      </c>
      <c r="F18" s="5">
        <f t="shared" si="1"/>
        <v>0.15951093375724207</v>
      </c>
      <c r="G18" s="5">
        <f t="shared" si="7"/>
        <v>0.19860936137088003</v>
      </c>
      <c r="H18" s="6" t="str">
        <f t="shared" si="2"/>
        <v/>
      </c>
      <c r="I18" s="6" t="str">
        <f t="shared" si="3"/>
        <v/>
      </c>
      <c r="J18" s="6" t="str">
        <f t="shared" si="4"/>
        <v/>
      </c>
      <c r="K18" s="6" t="str">
        <f t="shared" si="5"/>
        <v/>
      </c>
      <c r="L18" s="6"/>
      <c r="M18" s="110">
        <f>IF(D18="","",ABS(D18-G$5))</f>
        <v>1.5156867317727837E-3</v>
      </c>
    </row>
    <row r="19" spans="2:13" s="107" customFormat="1" ht="12.75" customHeight="1" x14ac:dyDescent="0.4">
      <c r="B19" s="109">
        <v>43845</v>
      </c>
      <c r="C19" s="5">
        <v>3289.29</v>
      </c>
      <c r="D19" s="7">
        <f t="shared" si="6"/>
        <v>1.8684086233433153E-3</v>
      </c>
      <c r="E19" s="5">
        <f t="shared" si="0"/>
        <v>6.5456849719577007E-2</v>
      </c>
      <c r="F19" s="5">
        <f t="shared" si="1"/>
        <v>0.1966314000789533</v>
      </c>
      <c r="G19" s="5">
        <f t="shared" si="7"/>
        <v>9.9941504740776704E-2</v>
      </c>
      <c r="H19" s="6" t="str">
        <f t="shared" si="2"/>
        <v/>
      </c>
      <c r="I19" s="6" t="str">
        <f t="shared" si="3"/>
        <v/>
      </c>
      <c r="J19" s="6" t="str">
        <f t="shared" si="4"/>
        <v/>
      </c>
      <c r="K19" s="6" t="str">
        <f t="shared" si="5"/>
        <v/>
      </c>
      <c r="L19" s="6"/>
      <c r="M19" s="110">
        <f>IF(D19="","",ABS(D19-G$5))</f>
        <v>1.8684086233433153E-3</v>
      </c>
    </row>
    <row r="20" spans="2:13" s="107" customFormat="1" ht="12.75" customHeight="1" x14ac:dyDescent="0.4">
      <c r="B20" s="109">
        <v>43846</v>
      </c>
      <c r="C20" s="5">
        <v>3316.81</v>
      </c>
      <c r="D20" s="7">
        <f t="shared" si="6"/>
        <v>8.33174163220134E-3</v>
      </c>
      <c r="E20" s="5">
        <f t="shared" si="0"/>
        <v>0.45222258970165508</v>
      </c>
      <c r="F20" s="5">
        <f t="shared" si="1"/>
        <v>0.87683283076713947</v>
      </c>
      <c r="G20" s="5">
        <f t="shared" si="7"/>
        <v>0.70927302187298624</v>
      </c>
      <c r="H20" s="6" t="str">
        <f t="shared" si="2"/>
        <v/>
      </c>
      <c r="I20" s="6" t="str">
        <f t="shared" si="3"/>
        <v/>
      </c>
      <c r="J20" s="6" t="str">
        <f t="shared" si="4"/>
        <v/>
      </c>
      <c r="K20" s="6" t="str">
        <f t="shared" si="5"/>
        <v/>
      </c>
      <c r="L20" s="6"/>
      <c r="M20" s="110">
        <f>IF(D20="","",ABS(D20-G$5))</f>
        <v>8.33174163220134E-3</v>
      </c>
    </row>
    <row r="21" spans="2:13" s="107" customFormat="1" ht="12.75" customHeight="1" x14ac:dyDescent="0.4">
      <c r="B21" s="109">
        <v>43847</v>
      </c>
      <c r="C21" s="5">
        <v>3329.62</v>
      </c>
      <c r="D21" s="7">
        <f t="shared" si="6"/>
        <v>3.8547057177216299E-3</v>
      </c>
      <c r="E21" s="5">
        <f t="shared" si="0"/>
        <v>0.18431683488181694</v>
      </c>
      <c r="F21" s="5">
        <f t="shared" si="1"/>
        <v>0.40566938768012639</v>
      </c>
      <c r="G21" s="5">
        <f t="shared" si="7"/>
        <v>0.30331780169556233</v>
      </c>
      <c r="H21" s="6" t="str">
        <f t="shared" si="2"/>
        <v/>
      </c>
      <c r="I21" s="6" t="str">
        <f t="shared" si="3"/>
        <v/>
      </c>
      <c r="J21" s="6" t="str">
        <f t="shared" si="4"/>
        <v/>
      </c>
      <c r="K21" s="6" t="str">
        <f t="shared" si="5"/>
        <v/>
      </c>
      <c r="L21" s="6"/>
      <c r="M21" s="110">
        <f>IF(D21="","",ABS(D21-G$5))</f>
        <v>3.8547057177216299E-3</v>
      </c>
    </row>
    <row r="22" spans="2:13" s="107" customFormat="1" ht="12.75" customHeight="1" x14ac:dyDescent="0.4">
      <c r="B22" s="109">
        <v>43850</v>
      </c>
      <c r="C22" s="5"/>
      <c r="D22" s="7" t="str">
        <f t="shared" si="6"/>
        <v/>
      </c>
      <c r="E22" s="5" t="str">
        <f t="shared" si="0"/>
        <v/>
      </c>
      <c r="F22" s="5" t="str">
        <f t="shared" si="1"/>
        <v/>
      </c>
      <c r="G22" s="5" t="str">
        <f t="shared" si="7"/>
        <v/>
      </c>
      <c r="H22" s="6" t="str">
        <f t="shared" si="2"/>
        <v/>
      </c>
      <c r="I22" s="6" t="str">
        <f t="shared" si="3"/>
        <v/>
      </c>
      <c r="J22" s="6" t="str">
        <f t="shared" si="4"/>
        <v/>
      </c>
      <c r="K22" s="6" t="str">
        <f t="shared" si="5"/>
        <v>MISSING</v>
      </c>
      <c r="L22" s="6"/>
      <c r="M22" s="110" t="str">
        <f>IF(D22="","",ABS(D22-G$5))</f>
        <v/>
      </c>
    </row>
    <row r="23" spans="2:13" s="107" customFormat="1" ht="12.75" customHeight="1" x14ac:dyDescent="0.4">
      <c r="B23" s="109">
        <v>43851</v>
      </c>
      <c r="C23" s="5">
        <v>3320.79</v>
      </c>
      <c r="D23" s="7" t="str">
        <f t="shared" si="6"/>
        <v/>
      </c>
      <c r="E23" s="5" t="str">
        <f t="shared" si="0"/>
        <v/>
      </c>
      <c r="F23" s="5" t="str">
        <f t="shared" si="1"/>
        <v/>
      </c>
      <c r="G23" s="5" t="str">
        <f t="shared" si="7"/>
        <v/>
      </c>
      <c r="H23" s="6" t="str">
        <f t="shared" si="2"/>
        <v/>
      </c>
      <c r="I23" s="6" t="str">
        <f t="shared" si="3"/>
        <v/>
      </c>
      <c r="J23" s="6" t="str">
        <f t="shared" si="4"/>
        <v/>
      </c>
      <c r="K23" s="6" t="str">
        <f t="shared" si="5"/>
        <v/>
      </c>
      <c r="L23" s="6"/>
      <c r="M23" s="110" t="str">
        <f>IF(D23="","",ABS(D23-G$5))</f>
        <v/>
      </c>
    </row>
    <row r="24" spans="2:13" s="107" customFormat="1" ht="12.75" customHeight="1" x14ac:dyDescent="0.4">
      <c r="B24" s="109">
        <v>43852</v>
      </c>
      <c r="C24" s="5">
        <v>3321.75</v>
      </c>
      <c r="D24" s="7">
        <f t="shared" si="6"/>
        <v>2.8904605969510904E-4</v>
      </c>
      <c r="E24" s="5">
        <f t="shared" si="0"/>
        <v>2.9052179877416848E-2</v>
      </c>
      <c r="F24" s="5">
        <f t="shared" si="1"/>
        <v>3.0419219166015712E-2</v>
      </c>
      <c r="G24" s="5">
        <f t="shared" si="7"/>
        <v>3.0622250609272546E-2</v>
      </c>
      <c r="H24" s="6" t="str">
        <f t="shared" si="2"/>
        <v/>
      </c>
      <c r="I24" s="6" t="str">
        <f t="shared" si="3"/>
        <v/>
      </c>
      <c r="J24" s="6" t="str">
        <f t="shared" si="4"/>
        <v/>
      </c>
      <c r="K24" s="6" t="str">
        <f t="shared" si="5"/>
        <v/>
      </c>
      <c r="L24" s="6"/>
      <c r="M24" s="110">
        <f>IF(D24="","",ABS(D24-G$5))</f>
        <v>2.8904605969510904E-4</v>
      </c>
    </row>
    <row r="25" spans="2:13" s="107" customFormat="1" ht="12.75" customHeight="1" x14ac:dyDescent="0.4">
      <c r="B25" s="109">
        <v>43853</v>
      </c>
      <c r="C25" s="5">
        <v>3325.54</v>
      </c>
      <c r="D25" s="7">
        <f t="shared" si="6"/>
        <v>1.1403144471457103E-3</v>
      </c>
      <c r="E25" s="5">
        <f t="shared" si="0"/>
        <v>2.188770629964619E-2</v>
      </c>
      <c r="F25" s="5">
        <f t="shared" si="1"/>
        <v>0.12000673914215738</v>
      </c>
      <c r="G25" s="5">
        <f t="shared" si="7"/>
        <v>2.4317814328331213E-2</v>
      </c>
      <c r="H25" s="6" t="str">
        <f t="shared" si="2"/>
        <v/>
      </c>
      <c r="I25" s="6" t="str">
        <f t="shared" si="3"/>
        <v/>
      </c>
      <c r="J25" s="6" t="str">
        <f t="shared" si="4"/>
        <v/>
      </c>
      <c r="K25" s="6" t="str">
        <f t="shared" si="5"/>
        <v/>
      </c>
      <c r="L25" s="6"/>
      <c r="M25" s="110">
        <f>IF(D25="","",ABS(D25-G$5))</f>
        <v>1.1403144471457103E-3</v>
      </c>
    </row>
    <row r="26" spans="2:13" s="107" customFormat="1" ht="12.75" customHeight="1" x14ac:dyDescent="0.4">
      <c r="B26" s="109">
        <v>43854</v>
      </c>
      <c r="C26" s="5">
        <v>3295.47</v>
      </c>
      <c r="D26" s="7">
        <f t="shared" si="6"/>
        <v>-9.0832687899366753E-3</v>
      </c>
      <c r="E26" s="5">
        <f t="shared" si="0"/>
        <v>0.58989134493280371</v>
      </c>
      <c r="F26" s="5">
        <f t="shared" si="1"/>
        <v>0.95592357964113572</v>
      </c>
      <c r="G26" s="5">
        <f t="shared" si="7"/>
        <v>0.67491845962017816</v>
      </c>
      <c r="H26" s="6" t="str">
        <f t="shared" si="2"/>
        <v/>
      </c>
      <c r="I26" s="6" t="str">
        <f t="shared" si="3"/>
        <v/>
      </c>
      <c r="J26" s="6" t="str">
        <f t="shared" si="4"/>
        <v/>
      </c>
      <c r="K26" s="6" t="str">
        <f t="shared" si="5"/>
        <v/>
      </c>
      <c r="L26" s="6"/>
      <c r="M26" s="110">
        <f>IF(D26="","",ABS(D26-G$5))</f>
        <v>9.0832687899366753E-3</v>
      </c>
    </row>
    <row r="27" spans="2:13" s="107" customFormat="1" ht="12.75" customHeight="1" x14ac:dyDescent="0.4">
      <c r="B27" s="109">
        <v>43857</v>
      </c>
      <c r="C27" s="5">
        <v>3243.63</v>
      </c>
      <c r="D27" s="7">
        <f t="shared" si="6"/>
        <v>-1.5855725118383686E-2</v>
      </c>
      <c r="E27" s="5">
        <f t="shared" si="0"/>
        <v>0.99515501922875582</v>
      </c>
      <c r="F27" s="5">
        <f t="shared" si="1"/>
        <v>1.6686571611492378</v>
      </c>
      <c r="G27" s="5">
        <f t="shared" si="7"/>
        <v>1.1220888664433142</v>
      </c>
      <c r="H27" s="6" t="str">
        <f t="shared" si="2"/>
        <v/>
      </c>
      <c r="I27" s="6" t="str">
        <f t="shared" si="3"/>
        <v/>
      </c>
      <c r="J27" s="6" t="str">
        <f t="shared" si="4"/>
        <v/>
      </c>
      <c r="K27" s="6" t="str">
        <f t="shared" si="5"/>
        <v/>
      </c>
      <c r="L27" s="6"/>
      <c r="M27" s="110">
        <f>IF(D27="","",ABS(D27-G$5))</f>
        <v>1.5855725118383686E-2</v>
      </c>
    </row>
    <row r="28" spans="2:13" s="107" customFormat="1" ht="12.75" customHeight="1" x14ac:dyDescent="0.4">
      <c r="B28" s="109">
        <v>43858</v>
      </c>
      <c r="C28" s="5">
        <v>3276.24</v>
      </c>
      <c r="D28" s="7">
        <f t="shared" si="6"/>
        <v>1.0003350352589398E-2</v>
      </c>
      <c r="E28" s="5">
        <f t="shared" si="0"/>
        <v>0.55225162778700854</v>
      </c>
      <c r="F28" s="5">
        <f t="shared" si="1"/>
        <v>1.052753000995178</v>
      </c>
      <c r="G28" s="5">
        <f t="shared" si="7"/>
        <v>0.64267715240681689</v>
      </c>
      <c r="H28" s="6" t="str">
        <f t="shared" si="2"/>
        <v/>
      </c>
      <c r="I28" s="6" t="str">
        <f t="shared" si="3"/>
        <v/>
      </c>
      <c r="J28" s="6" t="str">
        <f t="shared" si="4"/>
        <v/>
      </c>
      <c r="K28" s="6" t="str">
        <f t="shared" si="5"/>
        <v/>
      </c>
      <c r="L28" s="6"/>
      <c r="M28" s="110">
        <f>IF(D28="","",ABS(D28-G$5))</f>
        <v>1.0003350352589398E-2</v>
      </c>
    </row>
    <row r="29" spans="2:13" s="107" customFormat="1" ht="12.75" customHeight="1" x14ac:dyDescent="0.4">
      <c r="B29" s="109">
        <v>43859</v>
      </c>
      <c r="C29" s="5">
        <v>3310.11</v>
      </c>
      <c r="D29" s="7">
        <f t="shared" si="6"/>
        <v>1.0284998084483906E-2</v>
      </c>
      <c r="E29" s="5">
        <f t="shared" si="0"/>
        <v>0.56910542338924075</v>
      </c>
      <c r="F29" s="5">
        <f t="shared" si="1"/>
        <v>1.082393619840311</v>
      </c>
      <c r="G29" s="5">
        <f t="shared" si="7"/>
        <v>0.6817013070666178</v>
      </c>
      <c r="H29" s="6" t="str">
        <f t="shared" si="2"/>
        <v/>
      </c>
      <c r="I29" s="6" t="str">
        <f t="shared" si="3"/>
        <v/>
      </c>
      <c r="J29" s="6" t="str">
        <f t="shared" si="4"/>
        <v/>
      </c>
      <c r="K29" s="6" t="str">
        <f t="shared" si="5"/>
        <v/>
      </c>
      <c r="L29" s="6"/>
      <c r="M29" s="110">
        <f>IF(D29="","",ABS(D29-G$5))</f>
        <v>1.0284998084483906E-2</v>
      </c>
    </row>
    <row r="30" spans="2:13" s="107" customFormat="1" ht="12.75" customHeight="1" x14ac:dyDescent="0.4">
      <c r="B30" s="109">
        <v>43860</v>
      </c>
      <c r="C30" s="5">
        <v>3283.66</v>
      </c>
      <c r="D30" s="7">
        <f t="shared" si="6"/>
        <v>-8.0227675125433672E-3</v>
      </c>
      <c r="E30" s="5">
        <f t="shared" si="0"/>
        <v>0.52643096609407947</v>
      </c>
      <c r="F30" s="5">
        <f t="shared" si="1"/>
        <v>0.84431638175407686</v>
      </c>
      <c r="G30" s="5">
        <f t="shared" si="7"/>
        <v>0.65047936062048584</v>
      </c>
      <c r="H30" s="6" t="str">
        <f t="shared" si="2"/>
        <v/>
      </c>
      <c r="I30" s="6" t="str">
        <f t="shared" si="3"/>
        <v/>
      </c>
      <c r="J30" s="6" t="str">
        <f t="shared" si="4"/>
        <v/>
      </c>
      <c r="K30" s="6" t="str">
        <f t="shared" si="5"/>
        <v/>
      </c>
      <c r="L30" s="6"/>
      <c r="M30" s="110">
        <f>IF(D30="","",ABS(D30-G$5))</f>
        <v>8.0227675125433672E-3</v>
      </c>
    </row>
    <row r="31" spans="2:13" s="107" customFormat="1" ht="12.75" customHeight="1" x14ac:dyDescent="0.4">
      <c r="B31" s="109">
        <v>43861</v>
      </c>
      <c r="C31" s="5">
        <v>3225.52</v>
      </c>
      <c r="D31" s="7">
        <f t="shared" si="6"/>
        <v>-1.7864476392643731E-2</v>
      </c>
      <c r="E31" s="5">
        <f t="shared" si="0"/>
        <v>1.1153586621424603</v>
      </c>
      <c r="F31" s="5">
        <f t="shared" si="1"/>
        <v>1.8800582275612272</v>
      </c>
      <c r="G31" s="5">
        <f t="shared" si="7"/>
        <v>1.3200963111455266</v>
      </c>
      <c r="H31" s="6" t="str">
        <f t="shared" si="2"/>
        <v/>
      </c>
      <c r="I31" s="6" t="str">
        <f t="shared" si="3"/>
        <v/>
      </c>
      <c r="J31" s="6" t="str">
        <f t="shared" si="4"/>
        <v/>
      </c>
      <c r="K31" s="6" t="str">
        <f t="shared" si="5"/>
        <v/>
      </c>
      <c r="L31" s="6"/>
      <c r="M31" s="110">
        <f>IF(D31="","",ABS(D31-G$5))</f>
        <v>1.7864476392643731E-2</v>
      </c>
    </row>
    <row r="32" spans="2:13" s="107" customFormat="1" ht="12.75" customHeight="1" x14ac:dyDescent="0.4">
      <c r="B32" s="109">
        <v>43864</v>
      </c>
      <c r="C32" s="5">
        <v>3248.92</v>
      </c>
      <c r="D32" s="7">
        <f t="shared" si="6"/>
        <v>7.2284558629105433E-3</v>
      </c>
      <c r="E32" s="5">
        <f t="shared" si="0"/>
        <v>0.38620198757785312</v>
      </c>
      <c r="F32" s="5">
        <f t="shared" si="1"/>
        <v>0.76072299119968834</v>
      </c>
      <c r="G32" s="5">
        <f t="shared" si="7"/>
        <v>0.47632225598561856</v>
      </c>
      <c r="H32" s="6" t="str">
        <f t="shared" si="2"/>
        <v/>
      </c>
      <c r="I32" s="6" t="str">
        <f t="shared" si="3"/>
        <v/>
      </c>
      <c r="J32" s="6" t="str">
        <f t="shared" si="4"/>
        <v/>
      </c>
      <c r="K32" s="6" t="str">
        <f t="shared" si="5"/>
        <v/>
      </c>
      <c r="L32" s="6"/>
      <c r="M32" s="110">
        <f>IF(D32="","",ABS(D32-G$5))</f>
        <v>7.2284558629105433E-3</v>
      </c>
    </row>
    <row r="33" spans="2:13" s="107" customFormat="1" ht="12.75" customHeight="1" x14ac:dyDescent="0.4">
      <c r="B33" s="109">
        <v>43865</v>
      </c>
      <c r="C33" s="5">
        <v>3297.59</v>
      </c>
      <c r="D33" s="7">
        <f t="shared" si="6"/>
        <v>1.4869265218066252E-2</v>
      </c>
      <c r="E33" s="5">
        <f t="shared" si="0"/>
        <v>0.84342789258052964</v>
      </c>
      <c r="F33" s="5">
        <f t="shared" si="1"/>
        <v>1.5648420808194996</v>
      </c>
      <c r="G33" s="5">
        <f t="shared" si="7"/>
        <v>1.0359976277193201</v>
      </c>
      <c r="H33" s="6" t="str">
        <f t="shared" si="2"/>
        <v/>
      </c>
      <c r="I33" s="6" t="str">
        <f t="shared" si="3"/>
        <v/>
      </c>
      <c r="J33" s="6" t="str">
        <f t="shared" si="4"/>
        <v/>
      </c>
      <c r="K33" s="6" t="str">
        <f t="shared" si="5"/>
        <v/>
      </c>
      <c r="L33" s="6"/>
      <c r="M33" s="110">
        <f>IF(D33="","",ABS(D33-G$5))</f>
        <v>1.4869265218066252E-2</v>
      </c>
    </row>
    <row r="34" spans="2:13" s="107" customFormat="1" ht="12.75" customHeight="1" x14ac:dyDescent="0.4">
      <c r="B34" s="109">
        <v>43866</v>
      </c>
      <c r="C34" s="5">
        <v>3334.69</v>
      </c>
      <c r="D34" s="7">
        <f t="shared" si="6"/>
        <v>1.1187822882933645E-2</v>
      </c>
      <c r="E34" s="5">
        <f t="shared" si="0"/>
        <v>0.62313044434484188</v>
      </c>
      <c r="F34" s="5">
        <f t="shared" si="1"/>
        <v>1.177406938622533</v>
      </c>
      <c r="G34" s="5">
        <f t="shared" si="7"/>
        <v>0.78176220090820403</v>
      </c>
      <c r="H34" s="6" t="str">
        <f t="shared" si="2"/>
        <v/>
      </c>
      <c r="I34" s="6" t="str">
        <f t="shared" si="3"/>
        <v/>
      </c>
      <c r="J34" s="6" t="str">
        <f t="shared" si="4"/>
        <v/>
      </c>
      <c r="K34" s="6" t="str">
        <f t="shared" si="5"/>
        <v/>
      </c>
      <c r="L34" s="6"/>
      <c r="M34" s="110">
        <f>IF(D34="","",ABS(D34-G$5))</f>
        <v>1.1187822882933645E-2</v>
      </c>
    </row>
    <row r="35" spans="2:13" s="107" customFormat="1" ht="12.75" customHeight="1" x14ac:dyDescent="0.4">
      <c r="B35" s="109">
        <v>43867</v>
      </c>
      <c r="C35" s="5">
        <v>3327.71</v>
      </c>
      <c r="D35" s="7">
        <f t="shared" si="6"/>
        <v>-2.0953417848770055E-3</v>
      </c>
      <c r="E35" s="5">
        <f t="shared" si="0"/>
        <v>0.17173390892438498</v>
      </c>
      <c r="F35" s="5">
        <f t="shared" si="1"/>
        <v>0.22051385529737666</v>
      </c>
      <c r="G35" s="5">
        <f t="shared" si="7"/>
        <v>0.22652356285522957</v>
      </c>
      <c r="H35" s="6" t="str">
        <f t="shared" si="2"/>
        <v/>
      </c>
      <c r="I35" s="6" t="str">
        <f t="shared" si="3"/>
        <v/>
      </c>
      <c r="J35" s="6" t="str">
        <f t="shared" si="4"/>
        <v/>
      </c>
      <c r="K35" s="6" t="str">
        <f t="shared" si="5"/>
        <v/>
      </c>
      <c r="L35" s="6"/>
      <c r="M35" s="110">
        <f>IF(D35="","",ABS(D35-G$5))</f>
        <v>2.0953417848770055E-3</v>
      </c>
    </row>
    <row r="36" spans="2:13" s="107" customFormat="1" ht="12.75" customHeight="1" x14ac:dyDescent="0.4">
      <c r="B36" s="109">
        <v>43868</v>
      </c>
      <c r="C36" s="5">
        <v>3327.77</v>
      </c>
      <c r="D36" s="7">
        <f t="shared" si="6"/>
        <v>1.8030254768053982E-5</v>
      </c>
      <c r="E36" s="5">
        <f t="shared" si="0"/>
        <v>4.5269761146368208E-2</v>
      </c>
      <c r="F36" s="5">
        <f t="shared" si="1"/>
        <v>1.897504750582194E-3</v>
      </c>
      <c r="G36" s="5">
        <f t="shared" si="7"/>
        <v>6.2930077314513749E-2</v>
      </c>
      <c r="H36" s="6" t="str">
        <f t="shared" si="2"/>
        <v/>
      </c>
      <c r="I36" s="6" t="str">
        <f t="shared" si="3"/>
        <v/>
      </c>
      <c r="J36" s="6" t="str">
        <f t="shared" si="4"/>
        <v/>
      </c>
      <c r="K36" s="6" t="str">
        <f t="shared" si="5"/>
        <v/>
      </c>
      <c r="L36" s="6"/>
      <c r="M36" s="110">
        <f>IF(D36="","",ABS(D36-G$5))</f>
        <v>1.8030254768053982E-5</v>
      </c>
    </row>
    <row r="37" spans="2:13" s="107" customFormat="1" ht="12.75" customHeight="1" x14ac:dyDescent="0.4">
      <c r="B37" s="109">
        <v>43871</v>
      </c>
      <c r="C37" s="5">
        <v>3352.09</v>
      </c>
      <c r="D37" s="7">
        <f t="shared" si="6"/>
        <v>7.2816219076031995E-3</v>
      </c>
      <c r="E37" s="5">
        <f t="shared" si="0"/>
        <v>0.38938344280989734</v>
      </c>
      <c r="F37" s="5">
        <f t="shared" si="1"/>
        <v>0.76631818792162953</v>
      </c>
      <c r="G37" s="5">
        <f t="shared" si="7"/>
        <v>0.56150001470358279</v>
      </c>
      <c r="H37" s="6" t="str">
        <f t="shared" si="2"/>
        <v/>
      </c>
      <c r="I37" s="6" t="str">
        <f t="shared" si="3"/>
        <v/>
      </c>
      <c r="J37" s="6" t="str">
        <f t="shared" si="4"/>
        <v/>
      </c>
      <c r="K37" s="6" t="str">
        <f t="shared" si="5"/>
        <v/>
      </c>
      <c r="L37" s="6"/>
      <c r="M37" s="110">
        <f>IF(D37="","",ABS(D37-G$5))</f>
        <v>7.2816219076031995E-3</v>
      </c>
    </row>
    <row r="38" spans="2:13" s="107" customFormat="1" ht="12.75" customHeight="1" x14ac:dyDescent="0.4">
      <c r="B38" s="109">
        <v>43872</v>
      </c>
      <c r="C38" s="5">
        <v>3357.75</v>
      </c>
      <c r="D38" s="7">
        <f t="shared" si="6"/>
        <v>1.6870749056512096E-3</v>
      </c>
      <c r="E38" s="5">
        <f t="shared" si="0"/>
        <v>5.4605843062366238E-2</v>
      </c>
      <c r="F38" s="5">
        <f t="shared" si="1"/>
        <v>0.17754783219886183</v>
      </c>
      <c r="G38" s="5">
        <f t="shared" si="7"/>
        <v>8.2973728052288878E-2</v>
      </c>
      <c r="H38" s="6" t="str">
        <f t="shared" si="2"/>
        <v/>
      </c>
      <c r="I38" s="6" t="str">
        <f t="shared" si="3"/>
        <v/>
      </c>
      <c r="J38" s="6" t="str">
        <f t="shared" si="4"/>
        <v/>
      </c>
      <c r="K38" s="6" t="str">
        <f t="shared" si="5"/>
        <v/>
      </c>
      <c r="L38" s="6"/>
      <c r="M38" s="110">
        <f>IF(D38="","",ABS(D38-G$5))</f>
        <v>1.6870749056512096E-3</v>
      </c>
    </row>
    <row r="39" spans="2:13" s="107" customFormat="1" ht="12.75" customHeight="1" x14ac:dyDescent="0.4">
      <c r="B39" s="109">
        <v>43873</v>
      </c>
      <c r="C39" s="5">
        <v>3379.45</v>
      </c>
      <c r="D39" s="7">
        <f t="shared" si="6"/>
        <v>6.4418675537450355E-3</v>
      </c>
      <c r="E39" s="5">
        <f t="shared" si="0"/>
        <v>0.33913255621191435</v>
      </c>
      <c r="F39" s="5">
        <f t="shared" si="1"/>
        <v>0.67794240531254513</v>
      </c>
      <c r="G39" s="5">
        <f t="shared" si="7"/>
        <v>0.53534707107528567</v>
      </c>
      <c r="H39" s="6" t="str">
        <f t="shared" si="2"/>
        <v/>
      </c>
      <c r="I39" s="6" t="str">
        <f t="shared" si="3"/>
        <v/>
      </c>
      <c r="J39" s="6" t="str">
        <f t="shared" si="4"/>
        <v/>
      </c>
      <c r="K39" s="6" t="str">
        <f t="shared" si="5"/>
        <v/>
      </c>
      <c r="L39" s="6"/>
      <c r="M39" s="110">
        <f>IF(D39="","",ABS(D39-G$5))</f>
        <v>6.4418675537450355E-3</v>
      </c>
    </row>
    <row r="40" spans="2:13" s="107" customFormat="1" ht="12.75" customHeight="1" x14ac:dyDescent="0.4">
      <c r="B40" s="109">
        <v>43874</v>
      </c>
      <c r="C40" s="5">
        <v>3373.94</v>
      </c>
      <c r="D40" s="7">
        <f t="shared" si="6"/>
        <v>-1.6317734419649113E-3</v>
      </c>
      <c r="E40" s="5">
        <f t="shared" si="0"/>
        <v>0.14399398697808563</v>
      </c>
      <c r="F40" s="5">
        <f t="shared" si="1"/>
        <v>0.17172790389453066</v>
      </c>
      <c r="G40" s="5">
        <f t="shared" si="7"/>
        <v>0.23891642037097385</v>
      </c>
      <c r="H40" s="6" t="str">
        <f t="shared" si="2"/>
        <v/>
      </c>
      <c r="I40" s="6" t="str">
        <f t="shared" si="3"/>
        <v/>
      </c>
      <c r="J40" s="6" t="str">
        <f t="shared" si="4"/>
        <v/>
      </c>
      <c r="K40" s="6" t="str">
        <f t="shared" si="5"/>
        <v/>
      </c>
      <c r="L40" s="6"/>
      <c r="M40" s="110">
        <f>IF(D40="","",ABS(D40-G$5))</f>
        <v>1.6317734419649113E-3</v>
      </c>
    </row>
    <row r="41" spans="2:13" s="107" customFormat="1" ht="12.75" customHeight="1" x14ac:dyDescent="0.4">
      <c r="B41" s="109">
        <v>43875</v>
      </c>
      <c r="C41" s="5">
        <v>3380.45</v>
      </c>
      <c r="D41" s="7">
        <f t="shared" si="6"/>
        <v>1.9276358089510654E-3</v>
      </c>
      <c r="E41" s="5">
        <f t="shared" si="0"/>
        <v>6.900100352338738E-2</v>
      </c>
      <c r="F41" s="5">
        <f t="shared" si="1"/>
        <v>0.2028644715191551</v>
      </c>
      <c r="G41" s="5">
        <f t="shared" si="7"/>
        <v>0.12059235545794128</v>
      </c>
      <c r="H41" s="6" t="str">
        <f t="shared" si="2"/>
        <v/>
      </c>
      <c r="I41" s="6" t="str">
        <f t="shared" si="3"/>
        <v/>
      </c>
      <c r="J41" s="6" t="str">
        <f t="shared" si="4"/>
        <v/>
      </c>
      <c r="K41" s="6" t="str">
        <f t="shared" si="5"/>
        <v/>
      </c>
      <c r="L41" s="6"/>
      <c r="M41" s="110">
        <f>IF(D41="","",ABS(D41-G$5))</f>
        <v>1.9276358089510654E-3</v>
      </c>
    </row>
    <row r="42" spans="2:13" s="107" customFormat="1" ht="12.75" customHeight="1" x14ac:dyDescent="0.4">
      <c r="B42" s="109">
        <v>43879</v>
      </c>
      <c r="C42" s="5">
        <v>3370.29</v>
      </c>
      <c r="D42" s="7">
        <f t="shared" si="6"/>
        <v>-3.0100426534278618E-3</v>
      </c>
      <c r="E42" s="5">
        <f t="shared" si="0"/>
        <v>0.22646959371773717</v>
      </c>
      <c r="F42" s="5">
        <f t="shared" si="1"/>
        <v>0.31677701218366389</v>
      </c>
      <c r="G42" s="5">
        <f t="shared" si="7"/>
        <v>0.4136240757420328</v>
      </c>
      <c r="H42" s="6" t="str">
        <f t="shared" si="2"/>
        <v/>
      </c>
      <c r="I42" s="6" t="str">
        <f t="shared" si="3"/>
        <v/>
      </c>
      <c r="J42" s="6" t="str">
        <f t="shared" si="4"/>
        <v/>
      </c>
      <c r="K42" s="6" t="str">
        <f t="shared" si="5"/>
        <v/>
      </c>
      <c r="L42" s="6"/>
      <c r="M42" s="110">
        <f>IF(D42="","",ABS(D42-G$5))</f>
        <v>3.0100426534278618E-3</v>
      </c>
    </row>
    <row r="43" spans="2:13" s="107" customFormat="1" ht="12.75" customHeight="1" x14ac:dyDescent="0.4">
      <c r="B43" s="109">
        <v>43880</v>
      </c>
      <c r="C43" s="5">
        <v>3386.15</v>
      </c>
      <c r="D43" s="7">
        <f t="shared" si="6"/>
        <v>4.6947887144410351E-3</v>
      </c>
      <c r="E43" s="5">
        <f t="shared" si="0"/>
        <v>0.23458738746316227</v>
      </c>
      <c r="F43" s="5">
        <f t="shared" si="1"/>
        <v>0.49407975667739407</v>
      </c>
      <c r="G43" s="5">
        <f t="shared" si="7"/>
        <v>0.44708984211398567</v>
      </c>
      <c r="H43" s="6" t="str">
        <f t="shared" si="2"/>
        <v/>
      </c>
      <c r="I43" s="6" t="str">
        <f t="shared" si="3"/>
        <v/>
      </c>
      <c r="J43" s="6" t="str">
        <f t="shared" si="4"/>
        <v/>
      </c>
      <c r="K43" s="6" t="str">
        <f t="shared" si="5"/>
        <v/>
      </c>
      <c r="L43" s="6"/>
      <c r="M43" s="110">
        <f>IF(D43="","",ABS(D43-G$5))</f>
        <v>4.6947887144410351E-3</v>
      </c>
    </row>
    <row r="44" spans="2:13" s="107" customFormat="1" ht="12.75" customHeight="1" x14ac:dyDescent="0.4">
      <c r="B44" s="109">
        <v>43881</v>
      </c>
      <c r="C44" s="5">
        <v>3373.23</v>
      </c>
      <c r="D44" s="7">
        <f t="shared" si="6"/>
        <v>-3.8228404778309472E-3</v>
      </c>
      <c r="E44" s="5">
        <f t="shared" si="0"/>
        <v>0.27510740204050926</v>
      </c>
      <c r="F44" s="5">
        <f t="shared" si="1"/>
        <v>0.40231588852834832</v>
      </c>
      <c r="G44" s="5">
        <f t="shared" si="7"/>
        <v>0.54442448906894259</v>
      </c>
      <c r="H44" s="6" t="str">
        <f t="shared" si="2"/>
        <v/>
      </c>
      <c r="I44" s="6" t="str">
        <f t="shared" si="3"/>
        <v/>
      </c>
      <c r="J44" s="6" t="str">
        <f t="shared" si="4"/>
        <v/>
      </c>
      <c r="K44" s="6" t="str">
        <f t="shared" si="5"/>
        <v/>
      </c>
      <c r="L44" s="6"/>
      <c r="M44" s="110">
        <f>IF(D44="","",ABS(D44-G$5))</f>
        <v>3.8228404778309472E-3</v>
      </c>
    </row>
    <row r="45" spans="2:13" s="107" customFormat="1" ht="12.75" customHeight="1" x14ac:dyDescent="0.4">
      <c r="B45" s="109">
        <v>43882</v>
      </c>
      <c r="C45" s="5">
        <v>3337.75</v>
      </c>
      <c r="D45" s="7">
        <f t="shared" si="6"/>
        <v>-1.0573815022893411E-2</v>
      </c>
      <c r="E45" s="5">
        <f t="shared" si="0"/>
        <v>0.67908560677525032</v>
      </c>
      <c r="F45" s="5">
        <f t="shared" si="1"/>
        <v>1.1127887262728415</v>
      </c>
      <c r="G45" s="5">
        <f t="shared" si="7"/>
        <v>1.2927878106812303</v>
      </c>
      <c r="H45" s="6" t="str">
        <f t="shared" si="2"/>
        <v/>
      </c>
      <c r="I45" s="6" t="str">
        <f t="shared" si="3"/>
        <v/>
      </c>
      <c r="J45" s="6" t="str">
        <f t="shared" si="4"/>
        <v/>
      </c>
      <c r="K45" s="6" t="str">
        <f t="shared" si="5"/>
        <v/>
      </c>
      <c r="L45" s="6"/>
      <c r="M45" s="110">
        <f>IF(D45="","",ABS(D45-G$5))</f>
        <v>1.0573815022893411E-2</v>
      </c>
    </row>
    <row r="46" spans="2:13" s="107" customFormat="1" ht="12.75" customHeight="1" x14ac:dyDescent="0.4">
      <c r="B46" s="109">
        <v>43885</v>
      </c>
      <c r="C46" s="5">
        <v>3225.89</v>
      </c>
      <c r="D46" s="7">
        <f t="shared" si="6"/>
        <v>-3.4088046120521465E-2</v>
      </c>
      <c r="E46" s="5">
        <f t="shared" si="0"/>
        <v>2.0861768054059966</v>
      </c>
      <c r="F46" s="5">
        <f t="shared" si="1"/>
        <v>3.5874273704861026</v>
      </c>
      <c r="G46" s="5">
        <f t="shared" si="7"/>
        <v>2.5232869728956659</v>
      </c>
      <c r="H46" s="6" t="str">
        <f t="shared" si="2"/>
        <v/>
      </c>
      <c r="I46" s="6" t="str">
        <f t="shared" si="3"/>
        <v>OUTLIER</v>
      </c>
      <c r="J46" s="6" t="str">
        <f t="shared" si="4"/>
        <v/>
      </c>
      <c r="K46" s="6" t="str">
        <f t="shared" si="5"/>
        <v/>
      </c>
      <c r="L46" s="6"/>
      <c r="M46" s="110">
        <f>IF(D46="","",ABS(D46-G$5))</f>
        <v>3.4088046120521465E-2</v>
      </c>
    </row>
    <row r="47" spans="2:13" s="107" customFormat="1" ht="12.75" customHeight="1" x14ac:dyDescent="0.4">
      <c r="B47" s="109">
        <v>43886</v>
      </c>
      <c r="C47" s="5">
        <v>3128.21</v>
      </c>
      <c r="D47" s="7">
        <f t="shared" si="6"/>
        <v>-3.0747925188099268E-2</v>
      </c>
      <c r="E47" s="5">
        <f t="shared" si="0"/>
        <v>1.8863040242437972</v>
      </c>
      <c r="F47" s="5">
        <f t="shared" si="1"/>
        <v>3.2359129066960715</v>
      </c>
      <c r="G47" s="5">
        <f t="shared" si="7"/>
        <v>1.9142578125893013</v>
      </c>
      <c r="H47" s="6" t="str">
        <f t="shared" si="2"/>
        <v/>
      </c>
      <c r="I47" s="6" t="str">
        <f t="shared" si="3"/>
        <v>OUTLIER</v>
      </c>
      <c r="J47" s="6" t="str">
        <f t="shared" si="4"/>
        <v/>
      </c>
      <c r="K47" s="6" t="str">
        <f t="shared" si="5"/>
        <v/>
      </c>
      <c r="L47" s="6"/>
      <c r="M47" s="110">
        <f>IF(D47="","",ABS(D47-G$5))</f>
        <v>3.0747925188099268E-2</v>
      </c>
    </row>
    <row r="48" spans="2:13" s="107" customFormat="1" ht="12.75" customHeight="1" x14ac:dyDescent="0.4">
      <c r="B48" s="109">
        <v>43887</v>
      </c>
      <c r="C48" s="5">
        <v>3116.39</v>
      </c>
      <c r="D48" s="7">
        <f t="shared" si="6"/>
        <v>-3.7856753407310142E-3</v>
      </c>
      <c r="E48" s="5">
        <f t="shared" si="0"/>
        <v>0.27288344085325633</v>
      </c>
      <c r="F48" s="5">
        <f t="shared" si="1"/>
        <v>0.39840462797710474</v>
      </c>
      <c r="G48" s="5">
        <f t="shared" si="7"/>
        <v>0.29067132956378894</v>
      </c>
      <c r="H48" s="6" t="str">
        <f t="shared" si="2"/>
        <v/>
      </c>
      <c r="I48" s="6" t="str">
        <f t="shared" si="3"/>
        <v/>
      </c>
      <c r="J48" s="6" t="str">
        <f t="shared" si="4"/>
        <v/>
      </c>
      <c r="K48" s="6" t="str">
        <f t="shared" si="5"/>
        <v/>
      </c>
      <c r="L48" s="6"/>
      <c r="M48" s="110">
        <f>IF(D48="","",ABS(D48-G$5))</f>
        <v>3.7856753407310142E-3</v>
      </c>
    </row>
    <row r="49" spans="2:13" s="107" customFormat="1" ht="12.75" customHeight="1" x14ac:dyDescent="0.4">
      <c r="B49" s="109">
        <v>43888</v>
      </c>
      <c r="C49" s="5">
        <v>2978.76</v>
      </c>
      <c r="D49" s="7">
        <f t="shared" si="6"/>
        <v>-4.5168174100652832E-2</v>
      </c>
      <c r="E49" s="5">
        <f t="shared" si="0"/>
        <v>2.7492114798469478</v>
      </c>
      <c r="F49" s="5">
        <f t="shared" si="1"/>
        <v>4.7535004931249105</v>
      </c>
      <c r="G49" s="5">
        <f t="shared" si="7"/>
        <v>2.2089080681815476</v>
      </c>
      <c r="H49" s="6" t="str">
        <f t="shared" si="2"/>
        <v/>
      </c>
      <c r="I49" s="6" t="str">
        <f t="shared" si="3"/>
        <v>OUTLIER</v>
      </c>
      <c r="J49" s="6" t="str">
        <f t="shared" si="4"/>
        <v/>
      </c>
      <c r="K49" s="6" t="str">
        <f t="shared" si="5"/>
        <v/>
      </c>
      <c r="L49" s="6"/>
      <c r="M49" s="110">
        <f>IF(D49="","",ABS(D49-G$5))</f>
        <v>4.5168174100652832E-2</v>
      </c>
    </row>
    <row r="50" spans="2:13" s="107" customFormat="1" ht="12.75" customHeight="1" x14ac:dyDescent="0.4">
      <c r="B50" s="109">
        <v>43889</v>
      </c>
      <c r="C50" s="5">
        <v>2954.22</v>
      </c>
      <c r="D50" s="7">
        <f t="shared" si="6"/>
        <v>-8.2724499142758506E-3</v>
      </c>
      <c r="E50" s="5">
        <f t="shared" si="0"/>
        <v>0.54137195686992512</v>
      </c>
      <c r="F50" s="5">
        <f t="shared" si="1"/>
        <v>0.87059296794317453</v>
      </c>
      <c r="G50" s="5">
        <f t="shared" si="7"/>
        <v>0.45376009482260404</v>
      </c>
      <c r="H50" s="6" t="str">
        <f t="shared" si="2"/>
        <v/>
      </c>
      <c r="I50" s="6" t="str">
        <f t="shared" si="3"/>
        <v/>
      </c>
      <c r="J50" s="6" t="str">
        <f t="shared" si="4"/>
        <v/>
      </c>
      <c r="K50" s="6" t="str">
        <f t="shared" si="5"/>
        <v/>
      </c>
      <c r="L50" s="6"/>
      <c r="M50" s="110">
        <f>IF(D50="","",ABS(D50-G$5))</f>
        <v>8.2724499142758506E-3</v>
      </c>
    </row>
    <row r="51" spans="2:13" s="107" customFormat="1" ht="12.75" customHeight="1" x14ac:dyDescent="0.4">
      <c r="B51" s="109">
        <v>43892</v>
      </c>
      <c r="C51" s="5">
        <v>3090.23</v>
      </c>
      <c r="D51" s="7">
        <f t="shared" si="6"/>
        <v>4.5010865172777872E-2</v>
      </c>
      <c r="E51" s="5">
        <f t="shared" si="0"/>
        <v>2.647100733628768</v>
      </c>
      <c r="F51" s="5">
        <f t="shared" si="1"/>
        <v>4.7369452951095941</v>
      </c>
      <c r="G51" s="5">
        <f t="shared" si="7"/>
        <v>1.8803535649005312</v>
      </c>
      <c r="H51" s="6" t="str">
        <f t="shared" si="2"/>
        <v/>
      </c>
      <c r="I51" s="6" t="str">
        <f t="shared" si="3"/>
        <v>OUTLIER</v>
      </c>
      <c r="J51" s="6" t="str">
        <f t="shared" si="4"/>
        <v/>
      </c>
      <c r="K51" s="6" t="str">
        <f t="shared" si="5"/>
        <v/>
      </c>
      <c r="L51" s="6"/>
      <c r="M51" s="110">
        <f>IF(D51="","",ABS(D51-G$5))</f>
        <v>4.5010865172777872E-2</v>
      </c>
    </row>
    <row r="52" spans="2:13" s="107" customFormat="1" ht="12.75" customHeight="1" x14ac:dyDescent="0.4">
      <c r="B52" s="109">
        <v>43893</v>
      </c>
      <c r="C52" s="5">
        <v>3003.37</v>
      </c>
      <c r="D52" s="7">
        <f t="shared" si="6"/>
        <v>-2.8510530261905299E-2</v>
      </c>
      <c r="E52" s="5">
        <f t="shared" si="0"/>
        <v>1.7524183489930256</v>
      </c>
      <c r="F52" s="5">
        <f t="shared" si="1"/>
        <v>3.0004493729858503</v>
      </c>
      <c r="G52" s="5">
        <f t="shared" si="7"/>
        <v>1.2119627722632098</v>
      </c>
      <c r="H52" s="6" t="str">
        <f t="shared" si="2"/>
        <v/>
      </c>
      <c r="I52" s="6" t="str">
        <f t="shared" si="3"/>
        <v>OUTLIER</v>
      </c>
      <c r="J52" s="6" t="str">
        <f t="shared" si="4"/>
        <v/>
      </c>
      <c r="K52" s="6" t="str">
        <f t="shared" si="5"/>
        <v/>
      </c>
      <c r="L52" s="6"/>
      <c r="M52" s="110">
        <f>IF(D52="","",ABS(D52-G$5))</f>
        <v>2.8510530261905299E-2</v>
      </c>
    </row>
    <row r="53" spans="2:13" s="107" customFormat="1" ht="12.75" customHeight="1" x14ac:dyDescent="0.4">
      <c r="B53" s="109">
        <v>43894</v>
      </c>
      <c r="C53" s="5">
        <v>3130.12</v>
      </c>
      <c r="D53" s="7">
        <f t="shared" si="6"/>
        <v>4.133635094064169E-2</v>
      </c>
      <c r="E53" s="5">
        <f t="shared" si="0"/>
        <v>2.4272178629614047</v>
      </c>
      <c r="F53" s="5">
        <f t="shared" si="1"/>
        <v>4.3502392667558514</v>
      </c>
      <c r="G53" s="5">
        <f t="shared" si="7"/>
        <v>1.5441543103811104</v>
      </c>
      <c r="H53" s="6" t="str">
        <f t="shared" si="2"/>
        <v/>
      </c>
      <c r="I53" s="6" t="str">
        <f t="shared" si="3"/>
        <v>OUTLIER</v>
      </c>
      <c r="J53" s="6" t="str">
        <f t="shared" si="4"/>
        <v/>
      </c>
      <c r="K53" s="6" t="str">
        <f t="shared" si="5"/>
        <v/>
      </c>
      <c r="L53" s="6"/>
      <c r="M53" s="110">
        <f>IF(D53="","",ABS(D53-G$5))</f>
        <v>4.133635094064169E-2</v>
      </c>
    </row>
    <row r="54" spans="2:13" s="107" customFormat="1" ht="12.75" customHeight="1" x14ac:dyDescent="0.4">
      <c r="B54" s="109">
        <v>43895</v>
      </c>
      <c r="C54" s="5">
        <v>3023.94</v>
      </c>
      <c r="D54" s="7">
        <f t="shared" si="6"/>
        <v>-3.4510725624696516E-2</v>
      </c>
      <c r="E54" s="5">
        <f t="shared" si="0"/>
        <v>2.1114699399208781</v>
      </c>
      <c r="F54" s="5">
        <f t="shared" si="1"/>
        <v>3.6319101788248362</v>
      </c>
      <c r="G54" s="5">
        <f t="shared" si="7"/>
        <v>1.2923092178591733</v>
      </c>
      <c r="H54" s="6" t="str">
        <f t="shared" si="2"/>
        <v/>
      </c>
      <c r="I54" s="6" t="str">
        <f t="shared" si="3"/>
        <v>OUTLIER</v>
      </c>
      <c r="J54" s="6" t="str">
        <f t="shared" si="4"/>
        <v/>
      </c>
      <c r="K54" s="6" t="str">
        <f t="shared" si="5"/>
        <v/>
      </c>
      <c r="L54" s="6"/>
      <c r="M54" s="110">
        <f>IF(D54="","",ABS(D54-G$5))</f>
        <v>3.4510725624696516E-2</v>
      </c>
    </row>
    <row r="55" spans="2:13" s="107" customFormat="1" ht="12.75" customHeight="1" x14ac:dyDescent="0.4">
      <c r="B55" s="109">
        <v>43896</v>
      </c>
      <c r="C55" s="5">
        <v>2972.37</v>
      </c>
      <c r="D55" s="7">
        <f t="shared" si="6"/>
        <v>-1.7201002454620039E-2</v>
      </c>
      <c r="E55" s="5">
        <f t="shared" si="0"/>
        <v>1.0756563927023939</v>
      </c>
      <c r="F55" s="5">
        <f t="shared" si="1"/>
        <v>1.8102342031376772</v>
      </c>
      <c r="G55" s="5">
        <f t="shared" si="7"/>
        <v>0.67782953366518073</v>
      </c>
      <c r="H55" s="6" t="str">
        <f t="shared" si="2"/>
        <v/>
      </c>
      <c r="I55" s="6" t="str">
        <f t="shared" si="3"/>
        <v/>
      </c>
      <c r="J55" s="6" t="str">
        <f t="shared" si="4"/>
        <v/>
      </c>
      <c r="K55" s="6" t="str">
        <f t="shared" si="5"/>
        <v/>
      </c>
      <c r="L55" s="6"/>
      <c r="M55" s="110">
        <f>IF(D55="","",ABS(D55-G$5))</f>
        <v>1.7201002454620039E-2</v>
      </c>
    </row>
    <row r="56" spans="2:13" s="107" customFormat="1" ht="12.75" customHeight="1" x14ac:dyDescent="0.4">
      <c r="B56" s="109">
        <v>43899</v>
      </c>
      <c r="C56" s="5">
        <v>2746.56</v>
      </c>
      <c r="D56" s="7">
        <f t="shared" si="6"/>
        <v>-7.9010394848266635E-2</v>
      </c>
      <c r="E56" s="5">
        <f t="shared" si="0"/>
        <v>4.7743294077255127</v>
      </c>
      <c r="F56" s="5">
        <f t="shared" si="1"/>
        <v>8.3150571912934819</v>
      </c>
      <c r="G56" s="5">
        <f t="shared" si="7"/>
        <v>2.2392528982644229</v>
      </c>
      <c r="H56" s="6" t="str">
        <f t="shared" si="2"/>
        <v>OUTLIER</v>
      </c>
      <c r="I56" s="6" t="str">
        <f t="shared" si="3"/>
        <v>OUTLIER</v>
      </c>
      <c r="J56" s="6" t="str">
        <f t="shared" si="4"/>
        <v/>
      </c>
      <c r="K56" s="6" t="str">
        <f t="shared" si="5"/>
        <v/>
      </c>
      <c r="L56" s="6"/>
      <c r="M56" s="110">
        <f>IF(D56="","",ABS(D56-G$5))</f>
        <v>7.9010394848266635E-2</v>
      </c>
    </row>
    <row r="57" spans="2:13" s="107" customFormat="1" ht="12.75" customHeight="1" x14ac:dyDescent="0.4">
      <c r="B57" s="109">
        <v>43900</v>
      </c>
      <c r="C57" s="5">
        <v>2882.23</v>
      </c>
      <c r="D57" s="7">
        <f t="shared" si="6"/>
        <v>4.821508053580021E-2</v>
      </c>
      <c r="E57" s="5">
        <f t="shared" si="0"/>
        <v>2.8388409277736213</v>
      </c>
      <c r="F57" s="5">
        <f t="shared" si="1"/>
        <v>5.0741570512072345</v>
      </c>
      <c r="G57" s="5">
        <f t="shared" si="7"/>
        <v>1.2828243740997001</v>
      </c>
      <c r="H57" s="6" t="str">
        <f t="shared" si="2"/>
        <v/>
      </c>
      <c r="I57" s="6" t="str">
        <f t="shared" si="3"/>
        <v>OUTLIER</v>
      </c>
      <c r="J57" s="6" t="str">
        <f t="shared" si="4"/>
        <v/>
      </c>
      <c r="K57" s="6" t="str">
        <f t="shared" si="5"/>
        <v/>
      </c>
      <c r="L57" s="6"/>
      <c r="M57" s="110">
        <f>IF(D57="","",ABS(D57-G$5))</f>
        <v>4.821508053580021E-2</v>
      </c>
    </row>
    <row r="58" spans="2:13" s="107" customFormat="1" ht="12.75" customHeight="1" x14ac:dyDescent="0.4">
      <c r="B58" s="109">
        <v>43901</v>
      </c>
      <c r="C58" s="5">
        <v>2741.38</v>
      </c>
      <c r="D58" s="7">
        <f t="shared" si="6"/>
        <v>-5.0102856837410732E-2</v>
      </c>
      <c r="E58" s="5">
        <f t="shared" si="0"/>
        <v>3.0445028129166287</v>
      </c>
      <c r="F58" s="5">
        <f t="shared" si="1"/>
        <v>5.2728267065406218</v>
      </c>
      <c r="G58" s="5">
        <f t="shared" si="7"/>
        <v>1.3181792459556299</v>
      </c>
      <c r="H58" s="6" t="str">
        <f t="shared" si="2"/>
        <v>OUTLIER</v>
      </c>
      <c r="I58" s="6" t="str">
        <f t="shared" si="3"/>
        <v>OUTLIER</v>
      </c>
      <c r="J58" s="6" t="str">
        <f t="shared" si="4"/>
        <v/>
      </c>
      <c r="K58" s="6" t="str">
        <f t="shared" si="5"/>
        <v/>
      </c>
      <c r="L58" s="6"/>
      <c r="M58" s="110">
        <f>IF(D58="","",ABS(D58-G$5))</f>
        <v>5.0102856837410732E-2</v>
      </c>
    </row>
    <row r="59" spans="2:13" s="107" customFormat="1" ht="12.75" customHeight="1" x14ac:dyDescent="0.4">
      <c r="B59" s="109">
        <v>43902</v>
      </c>
      <c r="C59" s="5">
        <v>2480.64</v>
      </c>
      <c r="D59" s="7">
        <f t="shared" si="6"/>
        <v>-9.9944851846007432E-2</v>
      </c>
      <c r="E59" s="5">
        <f t="shared" si="0"/>
        <v>6.0270469670339386</v>
      </c>
      <c r="F59" s="5">
        <f t="shared" si="1"/>
        <v>10.518200303528007</v>
      </c>
      <c r="G59" s="5">
        <f t="shared" si="7"/>
        <v>2.0753981323765696</v>
      </c>
      <c r="H59" s="6" t="str">
        <f t="shared" si="2"/>
        <v>OUTLIER</v>
      </c>
      <c r="I59" s="6" t="str">
        <f t="shared" si="3"/>
        <v>OUTLIER</v>
      </c>
      <c r="J59" s="6" t="str">
        <f t="shared" si="4"/>
        <v/>
      </c>
      <c r="K59" s="6" t="str">
        <f t="shared" si="5"/>
        <v/>
      </c>
      <c r="L59" s="6"/>
      <c r="M59" s="110">
        <f>IF(D59="","",ABS(D59-G$5))</f>
        <v>9.9944851846007432E-2</v>
      </c>
    </row>
    <row r="60" spans="2:13" s="107" customFormat="1" ht="12.75" customHeight="1" x14ac:dyDescent="0.4">
      <c r="B60" s="109">
        <v>43903</v>
      </c>
      <c r="C60" s="5">
        <v>2711.02</v>
      </c>
      <c r="D60" s="7">
        <f t="shared" si="6"/>
        <v>8.8808356440746597E-2</v>
      </c>
      <c r="E60" s="5">
        <f t="shared" si="0"/>
        <v>5.2679418842238324</v>
      </c>
      <c r="F60" s="5">
        <f t="shared" si="1"/>
        <v>9.3461950707589097</v>
      </c>
      <c r="G60" s="5">
        <f t="shared" si="7"/>
        <v>1.636255823291235</v>
      </c>
      <c r="H60" s="6" t="str">
        <f t="shared" si="2"/>
        <v>OUTLIER</v>
      </c>
      <c r="I60" s="6" t="str">
        <f t="shared" si="3"/>
        <v>OUTLIER</v>
      </c>
      <c r="J60" s="6" t="str">
        <f t="shared" si="4"/>
        <v/>
      </c>
      <c r="K60" s="6" t="str">
        <f t="shared" si="5"/>
        <v/>
      </c>
      <c r="L60" s="6"/>
      <c r="M60" s="110">
        <f>IF(D60="","",ABS(D60-G$5))</f>
        <v>8.8808356440746597E-2</v>
      </c>
    </row>
    <row r="61" spans="2:13" s="107" customFormat="1" ht="12.75" customHeight="1" x14ac:dyDescent="0.4">
      <c r="B61" s="109">
        <v>43906</v>
      </c>
      <c r="C61" s="5">
        <v>2386.13</v>
      </c>
      <c r="D61" s="7">
        <f t="shared" si="6"/>
        <v>-0.12765214115647325</v>
      </c>
      <c r="E61" s="5">
        <f t="shared" si="0"/>
        <v>7.6850506995312724</v>
      </c>
      <c r="F61" s="5">
        <f t="shared" si="1"/>
        <v>13.434116565871456</v>
      </c>
      <c r="G61" s="5">
        <f t="shared" si="7"/>
        <v>1.9689264588243476</v>
      </c>
      <c r="H61" s="6" t="str">
        <f t="shared" si="2"/>
        <v>OUTLIER</v>
      </c>
      <c r="I61" s="6" t="str">
        <f t="shared" si="3"/>
        <v>OUTLIER</v>
      </c>
      <c r="J61" s="6" t="str">
        <f t="shared" si="4"/>
        <v/>
      </c>
      <c r="K61" s="6" t="str">
        <f t="shared" si="5"/>
        <v/>
      </c>
      <c r="L61" s="6"/>
      <c r="M61" s="110">
        <f>IF(D61="","",ABS(D61-G$5))</f>
        <v>0.12765214115647325</v>
      </c>
    </row>
    <row r="62" spans="2:13" s="107" customFormat="1" ht="12.75" customHeight="1" x14ac:dyDescent="0.4">
      <c r="B62" s="109">
        <v>43907</v>
      </c>
      <c r="C62" s="5">
        <v>2529.19</v>
      </c>
      <c r="D62" s="7">
        <f t="shared" si="6"/>
        <v>5.8226286690741702E-2</v>
      </c>
      <c r="E62" s="5">
        <f t="shared" si="0"/>
        <v>3.4379113379354527</v>
      </c>
      <c r="F62" s="5">
        <f t="shared" si="1"/>
        <v>6.1277367971638395</v>
      </c>
      <c r="G62" s="5">
        <f t="shared" si="7"/>
        <v>0.89084280086984124</v>
      </c>
      <c r="H62" s="6" t="str">
        <f t="shared" si="2"/>
        <v>OUTLIER</v>
      </c>
      <c r="I62" s="6" t="str">
        <f t="shared" si="3"/>
        <v>OUTLIER</v>
      </c>
      <c r="J62" s="6" t="str">
        <f t="shared" si="4"/>
        <v/>
      </c>
      <c r="K62" s="6" t="str">
        <f t="shared" si="5"/>
        <v/>
      </c>
      <c r="L62" s="6"/>
      <c r="M62" s="110">
        <f>IF(D62="","",ABS(D62-G$5))</f>
        <v>5.8226286690741702E-2</v>
      </c>
    </row>
    <row r="63" spans="2:13" s="107" customFormat="1" ht="12.75" customHeight="1" x14ac:dyDescent="0.4">
      <c r="B63" s="109">
        <v>43908</v>
      </c>
      <c r="C63" s="5">
        <v>2398.1</v>
      </c>
      <c r="D63" s="7">
        <f t="shared" si="6"/>
        <v>-5.322233622142454E-2</v>
      </c>
      <c r="E63" s="5">
        <f t="shared" si="0"/>
        <v>3.231172407483923</v>
      </c>
      <c r="F63" s="5">
        <f t="shared" si="1"/>
        <v>5.6011208447353358</v>
      </c>
      <c r="G63" s="5">
        <f t="shared" si="7"/>
        <v>0.85007596653653761</v>
      </c>
      <c r="H63" s="6" t="str">
        <f t="shared" si="2"/>
        <v>OUTLIER</v>
      </c>
      <c r="I63" s="6" t="str">
        <f t="shared" si="3"/>
        <v>OUTLIER</v>
      </c>
      <c r="J63" s="6" t="str">
        <f t="shared" si="4"/>
        <v/>
      </c>
      <c r="K63" s="6" t="str">
        <f t="shared" si="5"/>
        <v/>
      </c>
      <c r="L63" s="6"/>
      <c r="M63" s="110">
        <f>IF(D63="","",ABS(D63-G$5))</f>
        <v>5.322233622142454E-2</v>
      </c>
    </row>
    <row r="64" spans="2:13" s="107" customFormat="1" ht="12.75" customHeight="1" x14ac:dyDescent="0.4">
      <c r="B64" s="109">
        <v>43909</v>
      </c>
      <c r="C64" s="5">
        <v>2409.39</v>
      </c>
      <c r="D64" s="7">
        <f t="shared" si="6"/>
        <v>4.6968462774209588E-3</v>
      </c>
      <c r="E64" s="5">
        <f t="shared" si="0"/>
        <v>0.2347105119977328</v>
      </c>
      <c r="F64" s="5">
        <f t="shared" si="1"/>
        <v>0.49429629468971015</v>
      </c>
      <c r="G64" s="5">
        <f t="shared" si="7"/>
        <v>6.5075410342313025E-2</v>
      </c>
      <c r="H64" s="6" t="str">
        <f t="shared" si="2"/>
        <v/>
      </c>
      <c r="I64" s="6" t="str">
        <f t="shared" si="3"/>
        <v/>
      </c>
      <c r="J64" s="6" t="str">
        <f t="shared" si="4"/>
        <v/>
      </c>
      <c r="K64" s="6" t="str">
        <f t="shared" si="5"/>
        <v/>
      </c>
      <c r="L64" s="6"/>
      <c r="M64" s="110">
        <f>IF(D64="","",ABS(D64-G$5))</f>
        <v>4.6968462774209588E-3</v>
      </c>
    </row>
    <row r="65" spans="2:13" s="107" customFormat="1" ht="12.75" customHeight="1" x14ac:dyDescent="0.4">
      <c r="B65" s="109">
        <v>43910</v>
      </c>
      <c r="C65" s="5">
        <v>2304.92</v>
      </c>
      <c r="D65" s="7">
        <f t="shared" si="6"/>
        <v>-4.4327634743158498E-2</v>
      </c>
      <c r="E65" s="5">
        <f t="shared" si="0"/>
        <v>2.6989136186444047</v>
      </c>
      <c r="F65" s="5">
        <f t="shared" si="1"/>
        <v>4.66504209670099</v>
      </c>
      <c r="G65" s="5">
        <f t="shared" si="7"/>
        <v>0.76532451143973257</v>
      </c>
      <c r="H65" s="6" t="str">
        <f t="shared" si="2"/>
        <v/>
      </c>
      <c r="I65" s="6" t="str">
        <f t="shared" si="3"/>
        <v>OUTLIER</v>
      </c>
      <c r="J65" s="6" t="str">
        <f t="shared" si="4"/>
        <v/>
      </c>
      <c r="K65" s="6" t="str">
        <f t="shared" si="5"/>
        <v/>
      </c>
      <c r="L65" s="6"/>
      <c r="M65" s="110">
        <f>IF(D65="","",ABS(D65-G$5))</f>
        <v>4.4327634743158498E-2</v>
      </c>
    </row>
    <row r="66" spans="2:13" s="107" customFormat="1" ht="12.75" customHeight="1" x14ac:dyDescent="0.4">
      <c r="B66" s="109">
        <v>43913</v>
      </c>
      <c r="C66" s="5">
        <v>2237.4</v>
      </c>
      <c r="D66" s="7">
        <f t="shared" si="6"/>
        <v>-2.9731491257259945E-2</v>
      </c>
      <c r="E66" s="5">
        <f t="shared" si="0"/>
        <v>1.8254806346915045</v>
      </c>
      <c r="F66" s="5">
        <f t="shared" si="1"/>
        <v>3.1289433581660195</v>
      </c>
      <c r="G66" s="5">
        <f t="shared" si="7"/>
        <v>0.53770221467026735</v>
      </c>
      <c r="H66" s="6" t="str">
        <f t="shared" si="2"/>
        <v/>
      </c>
      <c r="I66" s="6" t="str">
        <f t="shared" si="3"/>
        <v>OUTLIER</v>
      </c>
      <c r="J66" s="6" t="str">
        <f t="shared" si="4"/>
        <v/>
      </c>
      <c r="K66" s="6" t="str">
        <f t="shared" si="5"/>
        <v/>
      </c>
      <c r="L66" s="6"/>
      <c r="M66" s="110">
        <f>IF(D66="","",ABS(D66-G$5))</f>
        <v>2.9731491257259945E-2</v>
      </c>
    </row>
    <row r="67" spans="2:13" s="107" customFormat="1" ht="12.75" customHeight="1" x14ac:dyDescent="0.4">
      <c r="B67" s="109">
        <v>43914</v>
      </c>
      <c r="C67" s="5">
        <v>2447.33</v>
      </c>
      <c r="D67" s="7">
        <f t="shared" si="6"/>
        <v>8.9683156948216491E-2</v>
      </c>
      <c r="E67" s="5">
        <f t="shared" si="0"/>
        <v>5.3202899320723009</v>
      </c>
      <c r="F67" s="5">
        <f t="shared" si="1"/>
        <v>9.4382591120101136</v>
      </c>
      <c r="G67" s="5">
        <f t="shared" si="7"/>
        <v>1.4641529784629919</v>
      </c>
      <c r="H67" s="6" t="str">
        <f t="shared" si="2"/>
        <v>OUTLIER</v>
      </c>
      <c r="I67" s="6" t="str">
        <f t="shared" si="3"/>
        <v>OUTLIER</v>
      </c>
      <c r="J67" s="6" t="str">
        <f t="shared" si="4"/>
        <v/>
      </c>
      <c r="K67" s="6" t="str">
        <f t="shared" si="5"/>
        <v/>
      </c>
      <c r="L67" s="6"/>
      <c r="M67" s="110">
        <f>IF(D67="","",ABS(D67-G$5))</f>
        <v>8.9683156948216491E-2</v>
      </c>
    </row>
    <row r="68" spans="2:13" s="107" customFormat="1" ht="12.75" customHeight="1" x14ac:dyDescent="0.4">
      <c r="B68" s="109">
        <v>43915</v>
      </c>
      <c r="C68" s="5">
        <v>2475.56</v>
      </c>
      <c r="D68" s="7">
        <f t="shared" si="6"/>
        <v>1.1468998674479099E-2</v>
      </c>
      <c r="E68" s="5">
        <f t="shared" si="0"/>
        <v>0.63995599904441913</v>
      </c>
      <c r="F68" s="5">
        <f t="shared" si="1"/>
        <v>1.2069978904459937</v>
      </c>
      <c r="G68" s="5">
        <f t="shared" si="7"/>
        <v>0.18532454186430128</v>
      </c>
      <c r="H68" s="6" t="str">
        <f t="shared" si="2"/>
        <v/>
      </c>
      <c r="I68" s="6" t="str">
        <f t="shared" si="3"/>
        <v/>
      </c>
      <c r="J68" s="6" t="str">
        <f t="shared" si="4"/>
        <v/>
      </c>
      <c r="K68" s="6" t="str">
        <f t="shared" si="5"/>
        <v/>
      </c>
      <c r="L68" s="6"/>
      <c r="M68" s="110">
        <f>IF(D68="","",ABS(D68-G$5))</f>
        <v>1.1468998674479099E-2</v>
      </c>
    </row>
    <row r="69" spans="2:13" s="107" customFormat="1" ht="12.75" customHeight="1" x14ac:dyDescent="0.4">
      <c r="B69" s="109">
        <v>43916</v>
      </c>
      <c r="C69" s="6">
        <v>2630.07</v>
      </c>
      <c r="D69" s="6">
        <f t="shared" si="6"/>
        <v>6.0543828751667757E-2</v>
      </c>
      <c r="E69" s="6">
        <f t="shared" si="0"/>
        <v>3.576593016398439</v>
      </c>
      <c r="F69" s="6">
        <f t="shared" si="1"/>
        <v>6.3716350186173054</v>
      </c>
      <c r="G69" s="6">
        <f t="shared" si="7"/>
        <v>1.0319959404225127</v>
      </c>
      <c r="H69" s="6" t="str">
        <f t="shared" si="2"/>
        <v>OUTLIER</v>
      </c>
      <c r="I69" s="6" t="str">
        <f t="shared" si="3"/>
        <v>OUTLIER</v>
      </c>
      <c r="J69" s="6" t="str">
        <f t="shared" si="4"/>
        <v/>
      </c>
      <c r="K69" s="6" t="str">
        <f t="shared" si="5"/>
        <v/>
      </c>
      <c r="L69" s="6"/>
      <c r="M69" s="110">
        <f>IF(D69="","",ABS(D69-G$5))</f>
        <v>6.0543828751667757E-2</v>
      </c>
    </row>
    <row r="70" spans="2:13" s="107" customFormat="1" ht="12.75" customHeight="1" x14ac:dyDescent="0.4">
      <c r="B70" s="109">
        <v>43917</v>
      </c>
      <c r="C70" s="5">
        <v>2541.4699999999998</v>
      </c>
      <c r="D70" s="6">
        <f t="shared" si="6"/>
        <v>-3.4267808022629478E-2</v>
      </c>
      <c r="E70" s="6">
        <f t="shared" si="0"/>
        <v>2.0969337546447417</v>
      </c>
      <c r="F70" s="6">
        <f t="shared" si="1"/>
        <v>3.6063455204297186</v>
      </c>
      <c r="G70" s="6">
        <f t="shared" si="7"/>
        <v>0.62519290620786161</v>
      </c>
      <c r="H70" s="6" t="str">
        <f t="shared" si="2"/>
        <v/>
      </c>
      <c r="I70" s="6" t="str">
        <f t="shared" si="3"/>
        <v>OUTLIER</v>
      </c>
      <c r="J70" s="6" t="str">
        <f t="shared" si="4"/>
        <v/>
      </c>
      <c r="K70" s="6" t="str">
        <f t="shared" si="5"/>
        <v/>
      </c>
      <c r="L70" s="6"/>
      <c r="M70" s="110">
        <f>IF(D70="","",ABS(D70-G$5))</f>
        <v>3.4267808022629478E-2</v>
      </c>
    </row>
    <row r="71" spans="2:13" s="107" customFormat="1" ht="12.75" customHeight="1" x14ac:dyDescent="0.4">
      <c r="B71" s="109">
        <v>43920</v>
      </c>
      <c r="C71" s="5">
        <v>2626.65</v>
      </c>
      <c r="D71" s="7">
        <f t="shared" si="6"/>
        <v>3.2966616221455518E-2</v>
      </c>
      <c r="E71" s="5">
        <f t="shared" si="0"/>
        <v>1.9263730762726738</v>
      </c>
      <c r="F71" s="5">
        <f t="shared" si="1"/>
        <v>3.4694080419576565</v>
      </c>
      <c r="G71" s="5">
        <f t="shared" si="7"/>
        <v>0.59460970577371985</v>
      </c>
      <c r="H71" s="6" t="str">
        <f t="shared" si="2"/>
        <v/>
      </c>
      <c r="I71" s="6" t="str">
        <f t="shared" si="3"/>
        <v>OUTLIER</v>
      </c>
      <c r="J71" s="6" t="str">
        <f t="shared" si="4"/>
        <v/>
      </c>
      <c r="K71" s="6" t="str">
        <f t="shared" si="5"/>
        <v/>
      </c>
      <c r="L71" s="6"/>
      <c r="M71" s="110">
        <f>IF(D71="","",ABS(D71-G$5))</f>
        <v>3.2966616221455518E-2</v>
      </c>
    </row>
    <row r="72" spans="2:13" s="107" customFormat="1" ht="12.75" customHeight="1" x14ac:dyDescent="0.4">
      <c r="B72" s="109">
        <v>43921</v>
      </c>
      <c r="C72" s="5">
        <v>2584.59</v>
      </c>
      <c r="D72" s="7">
        <f t="shared" si="6"/>
        <v>-1.6142381973062482E-2</v>
      </c>
      <c r="E72" s="5">
        <f t="shared" si="0"/>
        <v>1.0123085606552664</v>
      </c>
      <c r="F72" s="5">
        <f t="shared" si="1"/>
        <v>1.6988249402814386</v>
      </c>
      <c r="G72" s="5">
        <f t="shared" si="7"/>
        <v>0.32759723727928003</v>
      </c>
      <c r="H72" s="6" t="str">
        <f t="shared" si="2"/>
        <v/>
      </c>
      <c r="I72" s="6" t="str">
        <f t="shared" si="3"/>
        <v/>
      </c>
      <c r="J72" s="6" t="str">
        <f t="shared" si="4"/>
        <v/>
      </c>
      <c r="K72" s="6" t="str">
        <f t="shared" si="5"/>
        <v/>
      </c>
      <c r="L72" s="6"/>
      <c r="M72" s="110">
        <f>IF(D72="","",ABS(D72-G$5))</f>
        <v>1.6142381973062482E-2</v>
      </c>
    </row>
    <row r="73" spans="2:13" s="107" customFormat="1" ht="12.75" customHeight="1" x14ac:dyDescent="0.4">
      <c r="B73" s="109">
        <v>43922</v>
      </c>
      <c r="C73" s="5">
        <v>2470.5</v>
      </c>
      <c r="D73" s="7">
        <f t="shared" si="6"/>
        <v>-4.5146328727152268E-2</v>
      </c>
      <c r="E73" s="5">
        <f t="shared" ref="E73:E136" si="8">IF(D73="","",ABS(D73-$E$5)/$F$5)</f>
        <v>2.7479042530592284</v>
      </c>
      <c r="F73" s="5">
        <f t="shared" ref="F73:F136" si="9">IF(D73="","",ABS(D73-$G$5)/$H$5)</f>
        <v>4.7512014851225937</v>
      </c>
      <c r="G73" s="5">
        <f t="shared" si="7"/>
        <v>0.89871126237896826</v>
      </c>
      <c r="H73" s="6" t="str">
        <f t="shared" ref="H73:H136" si="10">IF(E73="","",IF(E73&gt;$I$5,"OUTLIER",""))</f>
        <v/>
      </c>
      <c r="I73" s="6" t="str">
        <f t="shared" ref="I73:I136" si="11">IF(F73="","",IF(F73&gt;$I$5,"OUTLIER",""))</f>
        <v>OUTLIER</v>
      </c>
      <c r="J73" s="6" t="str">
        <f t="shared" ref="J73:J136" si="12">IF(G73="","",IF(G73&gt;$I$5,"OUTLIER",""))</f>
        <v/>
      </c>
      <c r="K73" s="6" t="str">
        <f t="shared" ref="K73:K136" si="13">IF(C73="","MISSING","")</f>
        <v/>
      </c>
      <c r="L73" s="6"/>
      <c r="M73" s="110">
        <f>IF(D73="","",ABS(D73-G$5))</f>
        <v>4.5146328727152268E-2</v>
      </c>
    </row>
    <row r="74" spans="2:13" s="107" customFormat="1" ht="12.75" customHeight="1" x14ac:dyDescent="0.4">
      <c r="B74" s="109">
        <v>43923</v>
      </c>
      <c r="C74" s="5">
        <v>2526.9</v>
      </c>
      <c r="D74" s="7">
        <f t="shared" ref="D74:D137" si="14">IF(OR(C74="",C73=""),"",LN(C74/C73))</f>
        <v>2.2572695703622976E-2</v>
      </c>
      <c r="E74" s="5">
        <f t="shared" si="8"/>
        <v>1.3044010449871184</v>
      </c>
      <c r="F74" s="5">
        <f t="shared" si="9"/>
        <v>2.3755514207686232</v>
      </c>
      <c r="G74" s="5">
        <f t="shared" ref="G74:G137" si="15">IF(D74="","",ABS(D74-$E$5)/SQRT(0.9*(IF(G73="",($F$5)^2,(ABS(D73-$E$5)/MAX(G73,0.0000000001))^2))+0.1*(D74-$E$5)^2))</f>
        <v>0.44520619621069912</v>
      </c>
      <c r="H74" s="6" t="str">
        <f t="shared" si="10"/>
        <v/>
      </c>
      <c r="I74" s="6" t="str">
        <f t="shared" si="11"/>
        <v/>
      </c>
      <c r="J74" s="6" t="str">
        <f t="shared" si="12"/>
        <v/>
      </c>
      <c r="K74" s="6" t="str">
        <f t="shared" si="13"/>
        <v/>
      </c>
      <c r="L74" s="6"/>
      <c r="M74" s="110">
        <f>IF(D74="","",ABS(D74-G$5))</f>
        <v>2.2572695703622976E-2</v>
      </c>
    </row>
    <row r="75" spans="2:13" s="107" customFormat="1" ht="12.75" customHeight="1" x14ac:dyDescent="0.4">
      <c r="B75" s="109">
        <v>43924</v>
      </c>
      <c r="C75" s="5">
        <v>2488.65</v>
      </c>
      <c r="D75" s="7">
        <f t="shared" si="14"/>
        <v>-1.5252860231953606E-2</v>
      </c>
      <c r="E75" s="5">
        <f t="shared" si="8"/>
        <v>0.95907959443015978</v>
      </c>
      <c r="F75" s="5">
        <f t="shared" si="9"/>
        <v>1.6052116357988635</v>
      </c>
      <c r="G75" s="5">
        <f t="shared" si="15"/>
        <v>0.34301520101622257</v>
      </c>
      <c r="H75" s="6" t="str">
        <f t="shared" si="10"/>
        <v/>
      </c>
      <c r="I75" s="6" t="str">
        <f t="shared" si="11"/>
        <v/>
      </c>
      <c r="J75" s="6" t="str">
        <f t="shared" si="12"/>
        <v/>
      </c>
      <c r="K75" s="6" t="str">
        <f t="shared" si="13"/>
        <v/>
      </c>
      <c r="L75" s="6"/>
      <c r="M75" s="110">
        <f>IF(D75="","",ABS(D75-G$5))</f>
        <v>1.5252860231953606E-2</v>
      </c>
    </row>
    <row r="76" spans="2:13" s="107" customFormat="1" ht="12.75" customHeight="1" x14ac:dyDescent="0.4">
      <c r="B76" s="109">
        <v>43927</v>
      </c>
      <c r="C76" s="5">
        <v>2663.68</v>
      </c>
      <c r="D76" s="7">
        <f t="shared" si="14"/>
        <v>6.7968230567686042E-2</v>
      </c>
      <c r="E76" s="5">
        <f t="shared" si="8"/>
        <v>4.0208690978507153</v>
      </c>
      <c r="F76" s="5">
        <f t="shared" si="9"/>
        <v>7.1529793699509652</v>
      </c>
      <c r="G76" s="5">
        <f t="shared" si="15"/>
        <v>1.3669210858250205</v>
      </c>
      <c r="H76" s="6" t="str">
        <f t="shared" si="10"/>
        <v>OUTLIER</v>
      </c>
      <c r="I76" s="6" t="str">
        <f t="shared" si="11"/>
        <v>OUTLIER</v>
      </c>
      <c r="J76" s="6" t="str">
        <f t="shared" si="12"/>
        <v/>
      </c>
      <c r="K76" s="6" t="str">
        <f t="shared" si="13"/>
        <v/>
      </c>
      <c r="L76" s="6"/>
      <c r="M76" s="110">
        <f>IF(D76="","",ABS(D76-G$5))</f>
        <v>6.7968230567686042E-2</v>
      </c>
    </row>
    <row r="77" spans="2:13" s="107" customFormat="1" ht="12.75" customHeight="1" x14ac:dyDescent="0.4">
      <c r="B77" s="109">
        <v>43928</v>
      </c>
      <c r="C77" s="5">
        <v>2659.41</v>
      </c>
      <c r="D77" s="7">
        <f t="shared" si="14"/>
        <v>-1.6043316629523077E-3</v>
      </c>
      <c r="E77" s="5">
        <f t="shared" si="8"/>
        <v>0.14235187137740585</v>
      </c>
      <c r="F77" s="5">
        <f t="shared" si="9"/>
        <v>0.16883992994681354</v>
      </c>
      <c r="G77" s="5">
        <f t="shared" si="15"/>
        <v>5.1004551964959996E-2</v>
      </c>
      <c r="H77" s="6" t="str">
        <f t="shared" si="10"/>
        <v/>
      </c>
      <c r="I77" s="6" t="str">
        <f t="shared" si="11"/>
        <v/>
      </c>
      <c r="J77" s="6" t="str">
        <f t="shared" si="12"/>
        <v/>
      </c>
      <c r="K77" s="6" t="str">
        <f t="shared" si="13"/>
        <v/>
      </c>
      <c r="L77" s="6"/>
      <c r="M77" s="110">
        <f>IF(D77="","",ABS(D77-G$5))</f>
        <v>1.6043316629523077E-3</v>
      </c>
    </row>
    <row r="78" spans="2:13" s="107" customFormat="1" ht="12.75" customHeight="1" x14ac:dyDescent="0.4">
      <c r="B78" s="109">
        <v>43929</v>
      </c>
      <c r="C78" s="5">
        <v>2749.98</v>
      </c>
      <c r="D78" s="7">
        <f t="shared" si="14"/>
        <v>3.3489345244689953E-2</v>
      </c>
      <c r="E78" s="5">
        <f t="shared" si="8"/>
        <v>1.9576531723476085</v>
      </c>
      <c r="F78" s="5">
        <f t="shared" si="9"/>
        <v>3.5244200657817424</v>
      </c>
      <c r="G78" s="5">
        <f t="shared" si="15"/>
        <v>0.71995059992050325</v>
      </c>
      <c r="H78" s="6" t="str">
        <f t="shared" si="10"/>
        <v/>
      </c>
      <c r="I78" s="6" t="str">
        <f t="shared" si="11"/>
        <v>OUTLIER</v>
      </c>
      <c r="J78" s="6" t="str">
        <f t="shared" si="12"/>
        <v/>
      </c>
      <c r="K78" s="6" t="str">
        <f t="shared" si="13"/>
        <v/>
      </c>
      <c r="L78" s="6"/>
      <c r="M78" s="110">
        <f>IF(D78="","",ABS(D78-G$5))</f>
        <v>3.3489345244689953E-2</v>
      </c>
    </row>
    <row r="79" spans="2:13" s="107" customFormat="1" ht="12.75" customHeight="1" x14ac:dyDescent="0.4">
      <c r="B79" s="109">
        <v>43930</v>
      </c>
      <c r="C79" s="5">
        <v>2789.82</v>
      </c>
      <c r="D79" s="7">
        <f t="shared" si="14"/>
        <v>1.438343869822631E-2</v>
      </c>
      <c r="E79" s="5">
        <f t="shared" si="8"/>
        <v>0.81435604169627318</v>
      </c>
      <c r="F79" s="5">
        <f t="shared" si="9"/>
        <v>1.5137136779647349</v>
      </c>
      <c r="G79" s="5">
        <f t="shared" si="15"/>
        <v>0.31412799391721935</v>
      </c>
      <c r="H79" s="6" t="str">
        <f t="shared" si="10"/>
        <v/>
      </c>
      <c r="I79" s="6" t="str">
        <f t="shared" si="11"/>
        <v/>
      </c>
      <c r="J79" s="6" t="str">
        <f t="shared" si="12"/>
        <v/>
      </c>
      <c r="K79" s="6" t="str">
        <f t="shared" si="13"/>
        <v/>
      </c>
      <c r="L79" s="6"/>
      <c r="M79" s="110">
        <f>IF(D79="","",ABS(D79-G$5))</f>
        <v>1.438343869822631E-2</v>
      </c>
    </row>
    <row r="80" spans="2:13" s="107" customFormat="1" ht="12.75" customHeight="1" x14ac:dyDescent="0.4">
      <c r="B80" s="109">
        <v>43934</v>
      </c>
      <c r="C80" s="5">
        <v>2761.63</v>
      </c>
      <c r="D80" s="7">
        <f t="shared" si="14"/>
        <v>-1.0155992507349275E-2</v>
      </c>
      <c r="E80" s="5">
        <f t="shared" si="8"/>
        <v>0.65408311437943401</v>
      </c>
      <c r="F80" s="5">
        <f t="shared" si="9"/>
        <v>1.0688170676166411</v>
      </c>
      <c r="G80" s="5">
        <f t="shared" si="15"/>
        <v>0.26501686334399832</v>
      </c>
      <c r="H80" s="6" t="str">
        <f t="shared" si="10"/>
        <v/>
      </c>
      <c r="I80" s="6" t="str">
        <f t="shared" si="11"/>
        <v/>
      </c>
      <c r="J80" s="6" t="str">
        <f t="shared" si="12"/>
        <v/>
      </c>
      <c r="K80" s="6" t="str">
        <f t="shared" si="13"/>
        <v/>
      </c>
      <c r="L80" s="6"/>
      <c r="M80" s="110">
        <f>IF(D80="","",ABS(D80-G$5))</f>
        <v>1.0155992507349275E-2</v>
      </c>
    </row>
    <row r="81" spans="2:13" s="107" customFormat="1" ht="12.75" customHeight="1" x14ac:dyDescent="0.4">
      <c r="B81" s="109">
        <v>43935</v>
      </c>
      <c r="C81" s="5">
        <v>2846.06</v>
      </c>
      <c r="D81" s="7">
        <f t="shared" si="14"/>
        <v>3.01144965504564E-2</v>
      </c>
      <c r="E81" s="5">
        <f t="shared" si="8"/>
        <v>1.7557022824949731</v>
      </c>
      <c r="F81" s="5">
        <f t="shared" si="9"/>
        <v>3.1692508509157098</v>
      </c>
      <c r="G81" s="5">
        <f t="shared" si="15"/>
        <v>0.72961151393595369</v>
      </c>
      <c r="H81" s="6" t="str">
        <f t="shared" si="10"/>
        <v/>
      </c>
      <c r="I81" s="6" t="str">
        <f t="shared" si="11"/>
        <v>OUTLIER</v>
      </c>
      <c r="J81" s="6" t="str">
        <f t="shared" si="12"/>
        <v/>
      </c>
      <c r="K81" s="6" t="str">
        <f t="shared" si="13"/>
        <v/>
      </c>
      <c r="L81" s="6"/>
      <c r="M81" s="110">
        <f>IF(D81="","",ABS(D81-G$5))</f>
        <v>3.01144965504564E-2</v>
      </c>
    </row>
    <row r="82" spans="2:13" s="107" customFormat="1" ht="12.75" customHeight="1" x14ac:dyDescent="0.4">
      <c r="B82" s="109">
        <v>43936</v>
      </c>
      <c r="C82" s="5">
        <v>2783.36</v>
      </c>
      <c r="D82" s="7">
        <f t="shared" si="14"/>
        <v>-2.2276750679012372E-2</v>
      </c>
      <c r="E82" s="5">
        <f t="shared" si="8"/>
        <v>1.3793890822109411</v>
      </c>
      <c r="F82" s="5">
        <f t="shared" si="9"/>
        <v>2.3444061542522148</v>
      </c>
      <c r="G82" s="5">
        <f t="shared" si="15"/>
        <v>0.59349842637498829</v>
      </c>
      <c r="H82" s="6" t="str">
        <f t="shared" si="10"/>
        <v/>
      </c>
      <c r="I82" s="6" t="str">
        <f t="shared" si="11"/>
        <v/>
      </c>
      <c r="J82" s="6" t="str">
        <f t="shared" si="12"/>
        <v/>
      </c>
      <c r="K82" s="6" t="str">
        <f t="shared" si="13"/>
        <v/>
      </c>
      <c r="L82" s="6"/>
      <c r="M82" s="110">
        <f>IF(D82="","",ABS(D82-G$5))</f>
        <v>2.2276750679012372E-2</v>
      </c>
    </row>
    <row r="83" spans="2:13" s="107" customFormat="1" ht="12.75" customHeight="1" x14ac:dyDescent="0.4">
      <c r="B83" s="109">
        <v>43937</v>
      </c>
      <c r="C83" s="5">
        <v>2799.55</v>
      </c>
      <c r="D83" s="7">
        <f t="shared" si="14"/>
        <v>5.7998589924373595E-3</v>
      </c>
      <c r="E83" s="5">
        <f t="shared" si="8"/>
        <v>0.3007147745582866</v>
      </c>
      <c r="F83" s="5">
        <f t="shared" si="9"/>
        <v>0.61037739801413537</v>
      </c>
      <c r="G83" s="5">
        <f t="shared" si="15"/>
        <v>0.13625823592175632</v>
      </c>
      <c r="H83" s="6" t="str">
        <f t="shared" si="10"/>
        <v/>
      </c>
      <c r="I83" s="6" t="str">
        <f t="shared" si="11"/>
        <v/>
      </c>
      <c r="J83" s="6" t="str">
        <f t="shared" si="12"/>
        <v/>
      </c>
      <c r="K83" s="6" t="str">
        <f t="shared" si="13"/>
        <v/>
      </c>
      <c r="L83" s="6"/>
      <c r="M83" s="110">
        <f>IF(D83="","",ABS(D83-G$5))</f>
        <v>5.7998589924373595E-3</v>
      </c>
    </row>
    <row r="84" spans="2:13" s="107" customFormat="1" ht="12.75" customHeight="1" x14ac:dyDescent="0.4">
      <c r="B84" s="109">
        <v>43938</v>
      </c>
      <c r="C84" s="5">
        <v>2874.56</v>
      </c>
      <c r="D84" s="7">
        <f t="shared" si="14"/>
        <v>2.6440929079185473E-2</v>
      </c>
      <c r="E84" s="5">
        <f t="shared" si="8"/>
        <v>1.5358760659820738</v>
      </c>
      <c r="F84" s="5">
        <f t="shared" si="9"/>
        <v>2.7826444597142199</v>
      </c>
      <c r="G84" s="5">
        <f t="shared" si="15"/>
        <v>0.71459697443704118</v>
      </c>
      <c r="H84" s="6" t="str">
        <f t="shared" si="10"/>
        <v/>
      </c>
      <c r="I84" s="6" t="str">
        <f t="shared" si="11"/>
        <v/>
      </c>
      <c r="J84" s="6" t="str">
        <f t="shared" si="12"/>
        <v/>
      </c>
      <c r="K84" s="6" t="str">
        <f t="shared" si="13"/>
        <v/>
      </c>
      <c r="L84" s="6"/>
      <c r="M84" s="110">
        <f>IF(D84="","",ABS(D84-G$5))</f>
        <v>2.6440929079185473E-2</v>
      </c>
    </row>
    <row r="85" spans="2:13" s="107" customFormat="1" ht="12.75" customHeight="1" x14ac:dyDescent="0.4">
      <c r="B85" s="109">
        <v>43941</v>
      </c>
      <c r="C85" s="5">
        <v>2823.16</v>
      </c>
      <c r="D85" s="7">
        <f t="shared" si="14"/>
        <v>-1.8042794099790368E-2</v>
      </c>
      <c r="E85" s="5">
        <f t="shared" si="8"/>
        <v>1.126029190778685</v>
      </c>
      <c r="F85" s="5">
        <f t="shared" si="9"/>
        <v>1.898824390367932</v>
      </c>
      <c r="G85" s="5">
        <f t="shared" si="15"/>
        <v>0.54401376148154745</v>
      </c>
      <c r="H85" s="6" t="str">
        <f t="shared" si="10"/>
        <v/>
      </c>
      <c r="I85" s="6" t="str">
        <f t="shared" si="11"/>
        <v/>
      </c>
      <c r="J85" s="6" t="str">
        <f t="shared" si="12"/>
        <v/>
      </c>
      <c r="K85" s="6" t="str">
        <f t="shared" si="13"/>
        <v/>
      </c>
      <c r="L85" s="6"/>
      <c r="M85" s="110">
        <f>IF(D85="","",ABS(D85-G$5))</f>
        <v>1.8042794099790368E-2</v>
      </c>
    </row>
    <row r="86" spans="2:13" s="107" customFormat="1" ht="12.75" customHeight="1" x14ac:dyDescent="0.4">
      <c r="B86" s="109">
        <v>43942</v>
      </c>
      <c r="C86" s="5">
        <v>2736.56</v>
      </c>
      <c r="D86" s="7">
        <f t="shared" si="14"/>
        <v>-3.1155167779795462E-2</v>
      </c>
      <c r="E86" s="5">
        <f t="shared" si="8"/>
        <v>1.9106734141721411</v>
      </c>
      <c r="F86" s="5">
        <f t="shared" si="9"/>
        <v>3.2787711337330006</v>
      </c>
      <c r="G86" s="5">
        <f t="shared" si="15"/>
        <v>0.92999833144697885</v>
      </c>
      <c r="H86" s="6" t="str">
        <f t="shared" si="10"/>
        <v/>
      </c>
      <c r="I86" s="6" t="str">
        <f t="shared" si="11"/>
        <v>OUTLIER</v>
      </c>
      <c r="J86" s="6" t="str">
        <f t="shared" si="12"/>
        <v/>
      </c>
      <c r="K86" s="6" t="str">
        <f t="shared" si="13"/>
        <v/>
      </c>
      <c r="L86" s="6"/>
      <c r="M86" s="110">
        <f>IF(D86="","",ABS(D86-G$5))</f>
        <v>3.1155167779795462E-2</v>
      </c>
    </row>
    <row r="87" spans="2:13" s="107" customFormat="1" ht="12.75" customHeight="1" x14ac:dyDescent="0.4">
      <c r="B87" s="109">
        <v>43943</v>
      </c>
      <c r="C87" s="5">
        <v>2799.55</v>
      </c>
      <c r="D87" s="7">
        <f t="shared" si="14"/>
        <v>2.2757032800400485E-2</v>
      </c>
      <c r="E87" s="5">
        <f t="shared" si="8"/>
        <v>1.3154317737989545</v>
      </c>
      <c r="F87" s="5">
        <f t="shared" si="9"/>
        <v>2.3949510643867264</v>
      </c>
      <c r="G87" s="5">
        <f t="shared" si="15"/>
        <v>0.6600402802415386</v>
      </c>
      <c r="H87" s="6" t="str">
        <f t="shared" si="10"/>
        <v/>
      </c>
      <c r="I87" s="6" t="str">
        <f t="shared" si="11"/>
        <v/>
      </c>
      <c r="J87" s="6" t="str">
        <f t="shared" si="12"/>
        <v/>
      </c>
      <c r="K87" s="6" t="str">
        <f t="shared" si="13"/>
        <v/>
      </c>
      <c r="L87" s="6"/>
      <c r="M87" s="110">
        <f>IF(D87="","",ABS(D87-G$5))</f>
        <v>2.2757032800400485E-2</v>
      </c>
    </row>
    <row r="88" spans="2:13" s="107" customFormat="1" ht="12.75" customHeight="1" x14ac:dyDescent="0.4">
      <c r="B88" s="109">
        <v>43944</v>
      </c>
      <c r="C88" s="5">
        <v>2797.8</v>
      </c>
      <c r="D88" s="7">
        <f t="shared" si="14"/>
        <v>-6.2529591932616098E-4</v>
      </c>
      <c r="E88" s="5">
        <f t="shared" si="8"/>
        <v>8.3766388727274876E-2</v>
      </c>
      <c r="F88" s="5">
        <f t="shared" si="9"/>
        <v>6.5806168171472307E-2</v>
      </c>
      <c r="G88" s="5">
        <f t="shared" si="15"/>
        <v>4.4300439040614148E-2</v>
      </c>
      <c r="H88" s="6" t="str">
        <f t="shared" si="10"/>
        <v/>
      </c>
      <c r="I88" s="6" t="str">
        <f t="shared" si="11"/>
        <v/>
      </c>
      <c r="J88" s="6" t="str">
        <f t="shared" si="12"/>
        <v/>
      </c>
      <c r="K88" s="6" t="str">
        <f t="shared" si="13"/>
        <v/>
      </c>
      <c r="L88" s="6"/>
      <c r="M88" s="110">
        <f>IF(D88="","",ABS(D88-G$5))</f>
        <v>6.2529591932616098E-4</v>
      </c>
    </row>
    <row r="89" spans="2:13" s="107" customFormat="1" ht="12.75" customHeight="1" x14ac:dyDescent="0.4">
      <c r="B89" s="109">
        <v>43945</v>
      </c>
      <c r="C89" s="5">
        <v>2836.74</v>
      </c>
      <c r="D89" s="7">
        <f t="shared" si="14"/>
        <v>1.3822111461719605E-2</v>
      </c>
      <c r="E89" s="5">
        <f t="shared" si="8"/>
        <v>0.78076622917971683</v>
      </c>
      <c r="F89" s="5">
        <f t="shared" si="9"/>
        <v>1.4546395765943079</v>
      </c>
      <c r="G89" s="5">
        <f t="shared" si="15"/>
        <v>0.43118416648244651</v>
      </c>
      <c r="H89" s="6" t="str">
        <f t="shared" si="10"/>
        <v/>
      </c>
      <c r="I89" s="6" t="str">
        <f t="shared" si="11"/>
        <v/>
      </c>
      <c r="J89" s="6" t="str">
        <f t="shared" si="12"/>
        <v/>
      </c>
      <c r="K89" s="6" t="str">
        <f t="shared" si="13"/>
        <v/>
      </c>
      <c r="L89" s="6"/>
      <c r="M89" s="110">
        <f>IF(D89="","",ABS(D89-G$5))</f>
        <v>1.3822111461719605E-2</v>
      </c>
    </row>
    <row r="90" spans="2:13" s="107" customFormat="1" ht="12.75" customHeight="1" x14ac:dyDescent="0.4">
      <c r="B90" s="109">
        <v>43948</v>
      </c>
      <c r="C90" s="5">
        <v>2878.48</v>
      </c>
      <c r="D90" s="7">
        <f t="shared" si="14"/>
        <v>1.4606871524449172E-2</v>
      </c>
      <c r="E90" s="5">
        <f t="shared" si="8"/>
        <v>0.82772625830927127</v>
      </c>
      <c r="F90" s="5">
        <f t="shared" si="9"/>
        <v>1.53722775775162</v>
      </c>
      <c r="G90" s="5">
        <f t="shared" si="15"/>
        <v>0.47634684526851895</v>
      </c>
      <c r="H90" s="6" t="str">
        <f t="shared" si="10"/>
        <v/>
      </c>
      <c r="I90" s="6" t="str">
        <f t="shared" si="11"/>
        <v/>
      </c>
      <c r="J90" s="6" t="str">
        <f t="shared" si="12"/>
        <v/>
      </c>
      <c r="K90" s="6" t="str">
        <f t="shared" si="13"/>
        <v/>
      </c>
      <c r="L90" s="6"/>
      <c r="M90" s="110">
        <f>IF(D90="","",ABS(D90-G$5))</f>
        <v>1.4606871524449172E-2</v>
      </c>
    </row>
    <row r="91" spans="2:13" s="107" customFormat="1" ht="12.75" customHeight="1" x14ac:dyDescent="0.4">
      <c r="B91" s="109">
        <v>43949</v>
      </c>
      <c r="C91" s="5">
        <v>2863.39</v>
      </c>
      <c r="D91" s="7">
        <f t="shared" si="14"/>
        <v>-5.2561394601198371E-3</v>
      </c>
      <c r="E91" s="5">
        <f t="shared" si="8"/>
        <v>0.36087598935308962</v>
      </c>
      <c r="F91" s="5">
        <f t="shared" si="9"/>
        <v>0.55315633215405591</v>
      </c>
      <c r="G91" s="5">
        <f t="shared" si="15"/>
        <v>0.21839120173920151</v>
      </c>
      <c r="H91" s="6" t="str">
        <f t="shared" si="10"/>
        <v/>
      </c>
      <c r="I91" s="6" t="str">
        <f t="shared" si="11"/>
        <v/>
      </c>
      <c r="J91" s="6" t="str">
        <f t="shared" si="12"/>
        <v/>
      </c>
      <c r="K91" s="6" t="str">
        <f t="shared" si="13"/>
        <v/>
      </c>
      <c r="L91" s="6"/>
      <c r="M91" s="110">
        <f>IF(D91="","",ABS(D91-G$5))</f>
        <v>5.2561394601198371E-3</v>
      </c>
    </row>
    <row r="92" spans="2:13" s="107" customFormat="1" ht="12.75" customHeight="1" x14ac:dyDescent="0.4">
      <c r="B92" s="109">
        <v>43950</v>
      </c>
      <c r="C92" s="5">
        <v>2939.51</v>
      </c>
      <c r="D92" s="7">
        <f t="shared" si="14"/>
        <v>2.6236663207249239E-2</v>
      </c>
      <c r="E92" s="5">
        <f t="shared" si="8"/>
        <v>1.5236527995954854</v>
      </c>
      <c r="F92" s="5">
        <f t="shared" si="9"/>
        <v>2.7611475109818282</v>
      </c>
      <c r="G92" s="5">
        <f t="shared" si="15"/>
        <v>0.92905283866747734</v>
      </c>
      <c r="H92" s="6" t="str">
        <f t="shared" si="10"/>
        <v/>
      </c>
      <c r="I92" s="6" t="str">
        <f t="shared" si="11"/>
        <v/>
      </c>
      <c r="J92" s="6" t="str">
        <f t="shared" si="12"/>
        <v/>
      </c>
      <c r="K92" s="6" t="str">
        <f t="shared" si="13"/>
        <v/>
      </c>
      <c r="L92" s="6"/>
      <c r="M92" s="110">
        <f>IF(D92="","",ABS(D92-G$5))</f>
        <v>2.6236663207249239E-2</v>
      </c>
    </row>
    <row r="93" spans="2:13" s="107" customFormat="1" ht="12.75" customHeight="1" x14ac:dyDescent="0.4">
      <c r="B93" s="109">
        <v>43951</v>
      </c>
      <c r="C93" s="5">
        <v>2912.43</v>
      </c>
      <c r="D93" s="7">
        <f t="shared" si="14"/>
        <v>-9.2551165252656598E-3</v>
      </c>
      <c r="E93" s="5">
        <f t="shared" si="8"/>
        <v>0.60017471056283833</v>
      </c>
      <c r="F93" s="5">
        <f t="shared" si="9"/>
        <v>0.97400884234864293</v>
      </c>
      <c r="G93" s="5">
        <f t="shared" si="15"/>
        <v>0.38291585859554456</v>
      </c>
      <c r="H93" s="6" t="str">
        <f t="shared" si="10"/>
        <v/>
      </c>
      <c r="I93" s="6" t="str">
        <f t="shared" si="11"/>
        <v/>
      </c>
      <c r="J93" s="6" t="str">
        <f t="shared" si="12"/>
        <v/>
      </c>
      <c r="K93" s="6" t="str">
        <f t="shared" si="13"/>
        <v/>
      </c>
      <c r="L93" s="6"/>
      <c r="M93" s="110">
        <f>IF(D93="","",ABS(D93-G$5))</f>
        <v>9.2551165252656598E-3</v>
      </c>
    </row>
    <row r="94" spans="2:13" s="107" customFormat="1" ht="12.75" customHeight="1" x14ac:dyDescent="0.4">
      <c r="B94" s="109">
        <v>43952</v>
      </c>
      <c r="C94" s="5">
        <v>2830.71</v>
      </c>
      <c r="D94" s="7">
        <f t="shared" si="14"/>
        <v>-2.8460220686828817E-2</v>
      </c>
      <c r="E94" s="5">
        <f t="shared" si="8"/>
        <v>1.7494078248554061</v>
      </c>
      <c r="F94" s="5">
        <f t="shared" si="9"/>
        <v>2.9951547912433596</v>
      </c>
      <c r="G94" s="5">
        <f t="shared" si="15"/>
        <v>1.102667802265439</v>
      </c>
      <c r="H94" s="6" t="str">
        <f t="shared" si="10"/>
        <v/>
      </c>
      <c r="I94" s="6" t="str">
        <f t="shared" si="11"/>
        <v/>
      </c>
      <c r="J94" s="6" t="str">
        <f t="shared" si="12"/>
        <v/>
      </c>
      <c r="K94" s="6" t="str">
        <f t="shared" si="13"/>
        <v/>
      </c>
      <c r="L94" s="6"/>
      <c r="M94" s="110">
        <f>IF(D94="","",ABS(D94-G$5))</f>
        <v>2.8460220686828817E-2</v>
      </c>
    </row>
    <row r="95" spans="2:13" s="107" customFormat="1" ht="12.75" customHeight="1" x14ac:dyDescent="0.4">
      <c r="B95" s="109">
        <v>43955</v>
      </c>
      <c r="C95" s="5">
        <v>2842.74</v>
      </c>
      <c r="D95" s="7">
        <f t="shared" si="14"/>
        <v>4.2408122145938705E-3</v>
      </c>
      <c r="E95" s="5">
        <f t="shared" si="8"/>
        <v>0.20742144124667833</v>
      </c>
      <c r="F95" s="5">
        <f t="shared" si="9"/>
        <v>0.44630325123172832</v>
      </c>
      <c r="G95" s="5">
        <f t="shared" si="15"/>
        <v>0.13768099800009442</v>
      </c>
      <c r="H95" s="6" t="str">
        <f t="shared" si="10"/>
        <v/>
      </c>
      <c r="I95" s="6" t="str">
        <f t="shared" si="11"/>
        <v/>
      </c>
      <c r="J95" s="6" t="str">
        <f t="shared" si="12"/>
        <v/>
      </c>
      <c r="K95" s="6" t="str">
        <f t="shared" si="13"/>
        <v/>
      </c>
      <c r="L95" s="6"/>
      <c r="M95" s="110">
        <f>IF(D95="","",ABS(D95-G$5))</f>
        <v>4.2408122145938705E-3</v>
      </c>
    </row>
    <row r="96" spans="2:13" s="107" customFormat="1" ht="12.75" customHeight="1" x14ac:dyDescent="0.4">
      <c r="B96" s="109">
        <v>43956</v>
      </c>
      <c r="C96" s="5">
        <v>2868.44</v>
      </c>
      <c r="D96" s="7">
        <f t="shared" si="14"/>
        <v>8.9999521895380505E-3</v>
      </c>
      <c r="E96" s="5">
        <f t="shared" si="8"/>
        <v>0.49220829836280172</v>
      </c>
      <c r="F96" s="5">
        <f t="shared" si="9"/>
        <v>0.9471553372012752</v>
      </c>
      <c r="G96" s="5">
        <f t="shared" si="15"/>
        <v>0.34236373349100635</v>
      </c>
      <c r="H96" s="6" t="str">
        <f t="shared" si="10"/>
        <v/>
      </c>
      <c r="I96" s="6" t="str">
        <f t="shared" si="11"/>
        <v/>
      </c>
      <c r="J96" s="6" t="str">
        <f t="shared" si="12"/>
        <v/>
      </c>
      <c r="K96" s="6" t="str">
        <f t="shared" si="13"/>
        <v/>
      </c>
      <c r="L96" s="6"/>
      <c r="M96" s="110">
        <f>IF(D96="","",ABS(D96-G$5))</f>
        <v>8.9999521895380505E-3</v>
      </c>
    </row>
    <row r="97" spans="2:13" s="107" customFormat="1" ht="12.75" customHeight="1" x14ac:dyDescent="0.4">
      <c r="B97" s="109">
        <v>43957</v>
      </c>
      <c r="C97" s="5">
        <v>2848.42</v>
      </c>
      <c r="D97" s="7">
        <f t="shared" si="14"/>
        <v>-7.0038733986003436E-3</v>
      </c>
      <c r="E97" s="5">
        <f t="shared" si="8"/>
        <v>0.46546035922569151</v>
      </c>
      <c r="F97" s="5">
        <f t="shared" si="9"/>
        <v>0.73708792345338525</v>
      </c>
      <c r="G97" s="5">
        <f t="shared" si="15"/>
        <v>0.33930155258938827</v>
      </c>
      <c r="H97" s="6" t="str">
        <f t="shared" si="10"/>
        <v/>
      </c>
      <c r="I97" s="6" t="str">
        <f t="shared" si="11"/>
        <v/>
      </c>
      <c r="J97" s="6" t="str">
        <f t="shared" si="12"/>
        <v/>
      </c>
      <c r="K97" s="6" t="str">
        <f t="shared" si="13"/>
        <v/>
      </c>
      <c r="L97" s="6"/>
      <c r="M97" s="110">
        <f>IF(D97="","",ABS(D97-G$5))</f>
        <v>7.0038733986003436E-3</v>
      </c>
    </row>
    <row r="98" spans="2:13" s="107" customFormat="1" ht="12.75" customHeight="1" x14ac:dyDescent="0.4">
      <c r="B98" s="109">
        <v>43958</v>
      </c>
      <c r="C98" s="5">
        <v>2929.8</v>
      </c>
      <c r="D98" s="7">
        <f t="shared" si="14"/>
        <v>2.8169706726603985E-2</v>
      </c>
      <c r="E98" s="5">
        <f t="shared" si="8"/>
        <v>1.6393260917121319</v>
      </c>
      <c r="F98" s="5">
        <f t="shared" si="9"/>
        <v>2.9645810901654484</v>
      </c>
      <c r="G98" s="5">
        <f t="shared" si="15"/>
        <v>1.1702196457474043</v>
      </c>
      <c r="H98" s="6" t="str">
        <f t="shared" si="10"/>
        <v/>
      </c>
      <c r="I98" s="6" t="str">
        <f t="shared" si="11"/>
        <v/>
      </c>
      <c r="J98" s="6" t="str">
        <f t="shared" si="12"/>
        <v/>
      </c>
      <c r="K98" s="6" t="str">
        <f t="shared" si="13"/>
        <v/>
      </c>
      <c r="L98" s="6"/>
      <c r="M98" s="110">
        <f>IF(D98="","",ABS(D98-G$5))</f>
        <v>2.8169706726603985E-2</v>
      </c>
    </row>
    <row r="99" spans="2:13" s="107" customFormat="1" ht="12.75" customHeight="1" x14ac:dyDescent="0.4">
      <c r="B99" s="109">
        <v>43959</v>
      </c>
      <c r="C99" s="5">
        <v>2929.8</v>
      </c>
      <c r="D99" s="7">
        <f t="shared" si="14"/>
        <v>0</v>
      </c>
      <c r="E99" s="5">
        <f t="shared" si="8"/>
        <v>4.6348691292451449E-2</v>
      </c>
      <c r="F99" s="5">
        <f t="shared" si="9"/>
        <v>0</v>
      </c>
      <c r="G99" s="5">
        <f t="shared" si="15"/>
        <v>3.4873203570744978E-2</v>
      </c>
      <c r="H99" s="6" t="str">
        <f t="shared" si="10"/>
        <v/>
      </c>
      <c r="I99" s="6" t="str">
        <f t="shared" si="11"/>
        <v/>
      </c>
      <c r="J99" s="6" t="str">
        <f t="shared" si="12"/>
        <v/>
      </c>
      <c r="K99" s="6" t="str">
        <f t="shared" si="13"/>
        <v/>
      </c>
      <c r="L99" s="6"/>
      <c r="M99" s="110">
        <f>IF(D99="","",ABS(D99-G$5))</f>
        <v>0</v>
      </c>
    </row>
    <row r="100" spans="2:13" s="107" customFormat="1" ht="12.75" customHeight="1" x14ac:dyDescent="0.4">
      <c r="B100" s="109">
        <v>43962</v>
      </c>
      <c r="C100" s="5">
        <v>2930.32</v>
      </c>
      <c r="D100" s="7">
        <f t="shared" si="14"/>
        <v>1.7747076898242637E-4</v>
      </c>
      <c r="E100" s="5">
        <f t="shared" si="8"/>
        <v>3.57288434219169E-2</v>
      </c>
      <c r="F100" s="5">
        <f t="shared" si="9"/>
        <v>1.8677030999599956E-2</v>
      </c>
      <c r="G100" s="5">
        <f t="shared" si="15"/>
        <v>2.8335745063216723E-2</v>
      </c>
      <c r="H100" s="6" t="str">
        <f t="shared" si="10"/>
        <v/>
      </c>
      <c r="I100" s="6" t="str">
        <f t="shared" si="11"/>
        <v/>
      </c>
      <c r="J100" s="6" t="str">
        <f t="shared" si="12"/>
        <v/>
      </c>
      <c r="K100" s="6" t="str">
        <f t="shared" si="13"/>
        <v/>
      </c>
      <c r="L100" s="6"/>
      <c r="M100" s="110">
        <f>IF(D100="","",ABS(D100-G$5))</f>
        <v>1.7747076898242637E-4</v>
      </c>
    </row>
    <row r="101" spans="2:13" s="107" customFormat="1" ht="12.75" customHeight="1" x14ac:dyDescent="0.4">
      <c r="B101" s="109">
        <v>43963</v>
      </c>
      <c r="C101" s="5">
        <v>2820</v>
      </c>
      <c r="D101" s="7">
        <f t="shared" si="14"/>
        <v>-3.8374747132492809E-2</v>
      </c>
      <c r="E101" s="5">
        <f t="shared" si="8"/>
        <v>2.342692922818606</v>
      </c>
      <c r="F101" s="5">
        <f t="shared" si="9"/>
        <v>4.038559960634136</v>
      </c>
      <c r="G101" s="5">
        <f t="shared" si="15"/>
        <v>1.6649940809108206</v>
      </c>
      <c r="H101" s="6" t="str">
        <f t="shared" si="10"/>
        <v/>
      </c>
      <c r="I101" s="6" t="str">
        <f t="shared" si="11"/>
        <v>OUTLIER</v>
      </c>
      <c r="J101" s="6" t="str">
        <f t="shared" si="12"/>
        <v/>
      </c>
      <c r="K101" s="6" t="str">
        <f t="shared" si="13"/>
        <v/>
      </c>
      <c r="L101" s="6"/>
      <c r="M101" s="110">
        <f>IF(D101="","",ABS(D101-G$5))</f>
        <v>3.8374747132492809E-2</v>
      </c>
    </row>
    <row r="102" spans="2:13" s="107" customFormat="1" ht="12.75" customHeight="1" x14ac:dyDescent="0.4">
      <c r="B102" s="109">
        <v>43964</v>
      </c>
      <c r="C102" s="5">
        <v>2852.5</v>
      </c>
      <c r="D102" s="7">
        <f t="shared" si="14"/>
        <v>1.1458917804071491E-2</v>
      </c>
      <c r="E102" s="5">
        <f t="shared" si="8"/>
        <v>0.63935275992653395</v>
      </c>
      <c r="F102" s="5">
        <f t="shared" si="9"/>
        <v>1.205936979231232</v>
      </c>
      <c r="G102" s="5">
        <f t="shared" si="15"/>
        <v>0.47357753294512728</v>
      </c>
      <c r="H102" s="6" t="str">
        <f t="shared" si="10"/>
        <v/>
      </c>
      <c r="I102" s="6" t="str">
        <f t="shared" si="11"/>
        <v/>
      </c>
      <c r="J102" s="6" t="str">
        <f t="shared" si="12"/>
        <v/>
      </c>
      <c r="K102" s="6" t="str">
        <f t="shared" si="13"/>
        <v/>
      </c>
      <c r="L102" s="6"/>
      <c r="M102" s="110">
        <f>IF(D102="","",ABS(D102-G$5))</f>
        <v>1.1458917804071491E-2</v>
      </c>
    </row>
    <row r="103" spans="2:13" s="107" customFormat="1" ht="12.75" customHeight="1" x14ac:dyDescent="0.4">
      <c r="B103" s="109">
        <v>43965</v>
      </c>
      <c r="C103" s="5">
        <v>2863.7</v>
      </c>
      <c r="D103" s="7">
        <f t="shared" si="14"/>
        <v>3.9186922544353266E-3</v>
      </c>
      <c r="E103" s="5">
        <f t="shared" si="8"/>
        <v>0.1881457881768191</v>
      </c>
      <c r="F103" s="5">
        <f t="shared" si="9"/>
        <v>0.4124033334257331</v>
      </c>
      <c r="G103" s="5">
        <f t="shared" si="15"/>
        <v>0.14674242703351789</v>
      </c>
      <c r="H103" s="6" t="str">
        <f t="shared" si="10"/>
        <v/>
      </c>
      <c r="I103" s="6" t="str">
        <f t="shared" si="11"/>
        <v/>
      </c>
      <c r="J103" s="6" t="str">
        <f t="shared" si="12"/>
        <v/>
      </c>
      <c r="K103" s="6" t="str">
        <f t="shared" si="13"/>
        <v/>
      </c>
      <c r="L103" s="6"/>
      <c r="M103" s="110">
        <f>IF(D103="","",ABS(D103-G$5))</f>
        <v>3.9186922544353266E-3</v>
      </c>
    </row>
    <row r="104" spans="2:13" s="107" customFormat="1" ht="12.75" customHeight="1" x14ac:dyDescent="0.4">
      <c r="B104" s="109">
        <v>43966</v>
      </c>
      <c r="C104" s="5">
        <v>2863.7</v>
      </c>
      <c r="D104" s="7">
        <f t="shared" si="14"/>
        <v>0</v>
      </c>
      <c r="E104" s="5">
        <f t="shared" si="8"/>
        <v>4.6348691292451449E-2</v>
      </c>
      <c r="F104" s="5">
        <f t="shared" si="9"/>
        <v>0</v>
      </c>
      <c r="G104" s="5">
        <f t="shared" si="15"/>
        <v>3.810183496757192E-2</v>
      </c>
      <c r="H104" s="6" t="str">
        <f t="shared" si="10"/>
        <v/>
      </c>
      <c r="I104" s="6" t="str">
        <f t="shared" si="11"/>
        <v/>
      </c>
      <c r="J104" s="6" t="str">
        <f t="shared" si="12"/>
        <v/>
      </c>
      <c r="K104" s="6" t="str">
        <f t="shared" si="13"/>
        <v/>
      </c>
      <c r="L104" s="6"/>
      <c r="M104" s="110">
        <f>IF(D104="","",ABS(D104-G$5))</f>
        <v>0</v>
      </c>
    </row>
    <row r="105" spans="2:13" s="107" customFormat="1" ht="12.75" customHeight="1" x14ac:dyDescent="0.4">
      <c r="B105" s="109">
        <v>43969</v>
      </c>
      <c r="C105" s="5">
        <v>2953.91</v>
      </c>
      <c r="D105" s="7">
        <f t="shared" si="14"/>
        <v>3.1015221473356874E-2</v>
      </c>
      <c r="E105" s="5">
        <f t="shared" si="8"/>
        <v>1.8096016469325564</v>
      </c>
      <c r="F105" s="5">
        <f t="shared" si="9"/>
        <v>3.2640431787090844</v>
      </c>
      <c r="G105" s="5">
        <f t="shared" si="15"/>
        <v>1.4048512784036393</v>
      </c>
      <c r="H105" s="6" t="str">
        <f t="shared" si="10"/>
        <v/>
      </c>
      <c r="I105" s="6" t="str">
        <f t="shared" si="11"/>
        <v>OUTLIER</v>
      </c>
      <c r="J105" s="6" t="str">
        <f t="shared" si="12"/>
        <v/>
      </c>
      <c r="K105" s="6" t="str">
        <f t="shared" si="13"/>
        <v/>
      </c>
      <c r="L105" s="6"/>
      <c r="M105" s="110">
        <f>IF(D105="","",ABS(D105-G$5))</f>
        <v>3.1015221473356874E-2</v>
      </c>
    </row>
    <row r="106" spans="2:13" s="107" customFormat="1" ht="12.75" customHeight="1" x14ac:dyDescent="0.4">
      <c r="B106" s="109">
        <v>43970</v>
      </c>
      <c r="C106" s="5">
        <v>2948.51</v>
      </c>
      <c r="D106" s="7">
        <f t="shared" si="14"/>
        <v>-1.8297584741874553E-3</v>
      </c>
      <c r="E106" s="5">
        <f t="shared" si="8"/>
        <v>0.1558414080204461</v>
      </c>
      <c r="F106" s="5">
        <f t="shared" si="9"/>
        <v>0.19256385679809537</v>
      </c>
      <c r="G106" s="5">
        <f t="shared" si="15"/>
        <v>0.12742542861929074</v>
      </c>
      <c r="H106" s="6" t="str">
        <f t="shared" si="10"/>
        <v/>
      </c>
      <c r="I106" s="6" t="str">
        <f t="shared" si="11"/>
        <v/>
      </c>
      <c r="J106" s="6" t="str">
        <f t="shared" si="12"/>
        <v/>
      </c>
      <c r="K106" s="6" t="str">
        <f t="shared" si="13"/>
        <v/>
      </c>
      <c r="L106" s="6"/>
      <c r="M106" s="110">
        <f>IF(D106="","",ABS(D106-G$5))</f>
        <v>1.8297584741874553E-3</v>
      </c>
    </row>
    <row r="107" spans="2:13" s="107" customFormat="1" ht="12.75" customHeight="1" x14ac:dyDescent="0.4">
      <c r="B107" s="109">
        <v>43971</v>
      </c>
      <c r="C107" s="5">
        <v>2971.61</v>
      </c>
      <c r="D107" s="7">
        <f t="shared" si="14"/>
        <v>7.803935472623212E-3</v>
      </c>
      <c r="E107" s="5">
        <f t="shared" si="8"/>
        <v>0.42063867787217596</v>
      </c>
      <c r="F107" s="5">
        <f t="shared" si="9"/>
        <v>0.82128648890620648</v>
      </c>
      <c r="G107" s="5">
        <f t="shared" si="15"/>
        <v>0.36018500937434195</v>
      </c>
      <c r="H107" s="6" t="str">
        <f t="shared" si="10"/>
        <v/>
      </c>
      <c r="I107" s="6" t="str">
        <f t="shared" si="11"/>
        <v/>
      </c>
      <c r="J107" s="6" t="str">
        <f t="shared" si="12"/>
        <v/>
      </c>
      <c r="K107" s="6" t="str">
        <f t="shared" si="13"/>
        <v/>
      </c>
      <c r="L107" s="6"/>
      <c r="M107" s="110">
        <f>IF(D107="","",ABS(D107-G$5))</f>
        <v>7.803935472623212E-3</v>
      </c>
    </row>
    <row r="108" spans="2:13" s="107" customFormat="1" ht="12.75" customHeight="1" x14ac:dyDescent="0.4">
      <c r="B108" s="109">
        <v>43972</v>
      </c>
      <c r="C108" s="5">
        <v>2955.45</v>
      </c>
      <c r="D108" s="7">
        <f t="shared" si="14"/>
        <v>-5.4529699523722898E-3</v>
      </c>
      <c r="E108" s="5">
        <f t="shared" si="8"/>
        <v>0.37265432274280103</v>
      </c>
      <c r="F108" s="5">
        <f t="shared" si="9"/>
        <v>0.57387078122386082</v>
      </c>
      <c r="G108" s="5">
        <f t="shared" si="15"/>
        <v>0.33447095067016913</v>
      </c>
      <c r="H108" s="6" t="str">
        <f t="shared" si="10"/>
        <v/>
      </c>
      <c r="I108" s="6" t="str">
        <f t="shared" si="11"/>
        <v/>
      </c>
      <c r="J108" s="6" t="str">
        <f t="shared" si="12"/>
        <v/>
      </c>
      <c r="K108" s="6" t="str">
        <f t="shared" si="13"/>
        <v/>
      </c>
      <c r="L108" s="6"/>
      <c r="M108" s="110">
        <f>IF(D108="","",ABS(D108-G$5))</f>
        <v>5.4529699523722898E-3</v>
      </c>
    </row>
    <row r="109" spans="2:13" s="107" customFormat="1" ht="12.75" customHeight="1" x14ac:dyDescent="0.4">
      <c r="B109" s="109">
        <v>43973</v>
      </c>
      <c r="C109" s="5">
        <v>2955.45</v>
      </c>
      <c r="D109" s="7">
        <f t="shared" si="14"/>
        <v>0</v>
      </c>
      <c r="E109" s="5">
        <f t="shared" si="8"/>
        <v>4.6348691292451449E-2</v>
      </c>
      <c r="F109" s="5">
        <f t="shared" si="9"/>
        <v>0</v>
      </c>
      <c r="G109" s="5">
        <f t="shared" si="15"/>
        <v>4.3845670219532951E-2</v>
      </c>
      <c r="H109" s="6" t="str">
        <f t="shared" si="10"/>
        <v/>
      </c>
      <c r="I109" s="6" t="str">
        <f t="shared" si="11"/>
        <v/>
      </c>
      <c r="J109" s="6" t="str">
        <f t="shared" si="12"/>
        <v/>
      </c>
      <c r="K109" s="6" t="str">
        <f t="shared" si="13"/>
        <v/>
      </c>
      <c r="L109" s="6"/>
      <c r="M109" s="110">
        <f>IF(D109="","",ABS(D109-G$5))</f>
        <v>0</v>
      </c>
    </row>
    <row r="110" spans="2:13" s="107" customFormat="1" ht="12.75" customHeight="1" x14ac:dyDescent="0.4">
      <c r="B110" s="109">
        <v>43977</v>
      </c>
      <c r="C110" s="5">
        <v>2991.77</v>
      </c>
      <c r="D110" s="7">
        <f t="shared" si="14"/>
        <v>1.2214261971750162E-2</v>
      </c>
      <c r="E110" s="5">
        <f t="shared" si="8"/>
        <v>0.6845525423844403</v>
      </c>
      <c r="F110" s="5">
        <f t="shared" si="9"/>
        <v>1.2854294303880676</v>
      </c>
      <c r="G110" s="5">
        <f t="shared" si="15"/>
        <v>0.66724482593565526</v>
      </c>
      <c r="H110" s="6" t="str">
        <f t="shared" si="10"/>
        <v/>
      </c>
      <c r="I110" s="6" t="str">
        <f t="shared" si="11"/>
        <v/>
      </c>
      <c r="J110" s="6" t="str">
        <f t="shared" si="12"/>
        <v/>
      </c>
      <c r="K110" s="6" t="str">
        <f t="shared" si="13"/>
        <v/>
      </c>
      <c r="L110" s="6"/>
      <c r="M110" s="110">
        <f>IF(D110="","",ABS(D110-G$5))</f>
        <v>1.2214261971750162E-2</v>
      </c>
    </row>
    <row r="111" spans="2:13" s="107" customFormat="1" ht="12.75" customHeight="1" x14ac:dyDescent="0.4">
      <c r="B111" s="109">
        <v>43978</v>
      </c>
      <c r="C111" s="5">
        <v>3036.13</v>
      </c>
      <c r="D111" s="7">
        <f t="shared" si="14"/>
        <v>1.4718492616296689E-2</v>
      </c>
      <c r="E111" s="5">
        <f t="shared" si="8"/>
        <v>0.83440566259291959</v>
      </c>
      <c r="F111" s="5">
        <f t="shared" si="9"/>
        <v>1.5489747660313424</v>
      </c>
      <c r="G111" s="5">
        <f t="shared" si="15"/>
        <v>0.82743526090494446</v>
      </c>
      <c r="H111" s="6" t="str">
        <f t="shared" si="10"/>
        <v/>
      </c>
      <c r="I111" s="6" t="str">
        <f t="shared" si="11"/>
        <v/>
      </c>
      <c r="J111" s="6" t="str">
        <f t="shared" si="12"/>
        <v/>
      </c>
      <c r="K111" s="6" t="str">
        <f t="shared" si="13"/>
        <v/>
      </c>
      <c r="L111" s="6"/>
      <c r="M111" s="110">
        <f>IF(D111="","",ABS(D111-G$5))</f>
        <v>1.4718492616296689E-2</v>
      </c>
    </row>
    <row r="112" spans="2:13" s="107" customFormat="1" ht="12.75" customHeight="1" x14ac:dyDescent="0.4">
      <c r="B112" s="109">
        <v>43979</v>
      </c>
      <c r="C112" s="5">
        <v>3044.31</v>
      </c>
      <c r="D112" s="7">
        <f t="shared" si="14"/>
        <v>2.6905963827599817E-3</v>
      </c>
      <c r="E112" s="5">
        <f t="shared" si="8"/>
        <v>0.11465655159772277</v>
      </c>
      <c r="F112" s="5">
        <f t="shared" si="9"/>
        <v>0.28315847356922091</v>
      </c>
      <c r="G112" s="5">
        <f t="shared" si="15"/>
        <v>0.1197630150521912</v>
      </c>
      <c r="H112" s="6" t="str">
        <f t="shared" si="10"/>
        <v/>
      </c>
      <c r="I112" s="6" t="str">
        <f t="shared" si="11"/>
        <v/>
      </c>
      <c r="J112" s="6" t="str">
        <f t="shared" si="12"/>
        <v/>
      </c>
      <c r="K112" s="6" t="str">
        <f t="shared" si="13"/>
        <v/>
      </c>
      <c r="L112" s="6"/>
      <c r="M112" s="110">
        <f>IF(D112="","",ABS(D112-G$5))</f>
        <v>2.6905963827599817E-3</v>
      </c>
    </row>
    <row r="113" spans="2:13" s="107" customFormat="1" ht="12.75" customHeight="1" x14ac:dyDescent="0.4">
      <c r="B113" s="109">
        <v>43980</v>
      </c>
      <c r="C113" s="5">
        <v>3044.31</v>
      </c>
      <c r="D113" s="7">
        <f t="shared" si="14"/>
        <v>0</v>
      </c>
      <c r="E113" s="5">
        <f t="shared" si="8"/>
        <v>4.6348691292451449E-2</v>
      </c>
      <c r="F113" s="5">
        <f t="shared" si="9"/>
        <v>0</v>
      </c>
      <c r="G113" s="5">
        <f t="shared" si="15"/>
        <v>5.1025059913958642E-2</v>
      </c>
      <c r="H113" s="6" t="str">
        <f t="shared" si="10"/>
        <v/>
      </c>
      <c r="I113" s="6" t="str">
        <f t="shared" si="11"/>
        <v/>
      </c>
      <c r="J113" s="6" t="str">
        <f t="shared" si="12"/>
        <v/>
      </c>
      <c r="K113" s="6" t="str">
        <f t="shared" si="13"/>
        <v/>
      </c>
      <c r="L113" s="6"/>
      <c r="M113" s="110">
        <f>IF(D113="","",ABS(D113-G$5))</f>
        <v>0</v>
      </c>
    </row>
    <row r="114" spans="2:13" s="107" customFormat="1" ht="12.75" customHeight="1" x14ac:dyDescent="0.4">
      <c r="B114" s="109">
        <v>43983</v>
      </c>
      <c r="C114" s="5">
        <v>3055.73</v>
      </c>
      <c r="D114" s="7">
        <f t="shared" si="14"/>
        <v>3.744242117017055E-3</v>
      </c>
      <c r="E114" s="5">
        <f t="shared" si="8"/>
        <v>0.17770669484895199</v>
      </c>
      <c r="F114" s="5">
        <f t="shared" si="9"/>
        <v>0.39404419381571554</v>
      </c>
      <c r="G114" s="5">
        <f t="shared" si="15"/>
        <v>0.20578186283479741</v>
      </c>
      <c r="H114" s="6" t="str">
        <f t="shared" si="10"/>
        <v/>
      </c>
      <c r="I114" s="6" t="str">
        <f t="shared" si="11"/>
        <v/>
      </c>
      <c r="J114" s="6" t="str">
        <f t="shared" si="12"/>
        <v/>
      </c>
      <c r="K114" s="6" t="str">
        <f t="shared" si="13"/>
        <v/>
      </c>
      <c r="L114" s="6"/>
      <c r="M114" s="110">
        <f>IF(D114="","",ABS(D114-G$5))</f>
        <v>3.744242117017055E-3</v>
      </c>
    </row>
    <row r="115" spans="2:13" s="107" customFormat="1" ht="12.75" customHeight="1" x14ac:dyDescent="0.4">
      <c r="B115" s="109">
        <v>43984</v>
      </c>
      <c r="C115" s="5">
        <v>3122.87</v>
      </c>
      <c r="D115" s="7">
        <f t="shared" si="14"/>
        <v>2.1733934177705274E-2</v>
      </c>
      <c r="E115" s="5">
        <f t="shared" si="8"/>
        <v>1.2542095691966153</v>
      </c>
      <c r="F115" s="5">
        <f t="shared" si="9"/>
        <v>2.2872801234126743</v>
      </c>
      <c r="G115" s="5">
        <f t="shared" si="15"/>
        <v>1.3779366851616348</v>
      </c>
      <c r="H115" s="6" t="str">
        <f t="shared" si="10"/>
        <v/>
      </c>
      <c r="I115" s="6" t="str">
        <f t="shared" si="11"/>
        <v/>
      </c>
      <c r="J115" s="6" t="str">
        <f t="shared" si="12"/>
        <v/>
      </c>
      <c r="K115" s="6" t="str">
        <f t="shared" si="13"/>
        <v/>
      </c>
      <c r="L115" s="6"/>
      <c r="M115" s="110">
        <f>IF(D115="","",ABS(D115-G$5))</f>
        <v>2.1733934177705274E-2</v>
      </c>
    </row>
    <row r="116" spans="2:13" s="107" customFormat="1" ht="12.75" customHeight="1" x14ac:dyDescent="0.4">
      <c r="B116" s="109">
        <v>43985</v>
      </c>
      <c r="C116" s="5">
        <v>3193.93</v>
      </c>
      <c r="D116" s="7">
        <f t="shared" si="14"/>
        <v>2.2499682666507252E-2</v>
      </c>
      <c r="E116" s="5">
        <f t="shared" si="8"/>
        <v>1.3000319460578662</v>
      </c>
      <c r="F116" s="5">
        <f t="shared" si="9"/>
        <v>2.367867525750845</v>
      </c>
      <c r="G116" s="5">
        <f t="shared" si="15"/>
        <v>1.3593428047365119</v>
      </c>
      <c r="H116" s="6" t="str">
        <f t="shared" si="10"/>
        <v/>
      </c>
      <c r="I116" s="6" t="str">
        <f t="shared" si="11"/>
        <v/>
      </c>
      <c r="J116" s="6" t="str">
        <f t="shared" si="12"/>
        <v/>
      </c>
      <c r="K116" s="6" t="str">
        <f t="shared" si="13"/>
        <v/>
      </c>
      <c r="L116" s="6"/>
      <c r="M116" s="110">
        <f>IF(D116="","",ABS(D116-G$5))</f>
        <v>2.2499682666507252E-2</v>
      </c>
    </row>
    <row r="117" spans="2:13" s="107" customFormat="1" ht="12.75" customHeight="1" x14ac:dyDescent="0.4">
      <c r="B117" s="109">
        <v>43986</v>
      </c>
      <c r="C117" s="5">
        <v>3193.93</v>
      </c>
      <c r="D117" s="7">
        <f t="shared" si="14"/>
        <v>0</v>
      </c>
      <c r="E117" s="5">
        <f t="shared" si="8"/>
        <v>4.6348691292451449E-2</v>
      </c>
      <c r="F117" s="5">
        <f t="shared" si="9"/>
        <v>0</v>
      </c>
      <c r="G117" s="5">
        <f t="shared" si="15"/>
        <v>5.1078075879326335E-2</v>
      </c>
      <c r="H117" s="6" t="str">
        <f t="shared" si="10"/>
        <v/>
      </c>
      <c r="I117" s="6" t="str">
        <f t="shared" si="11"/>
        <v/>
      </c>
      <c r="J117" s="6" t="str">
        <f t="shared" si="12"/>
        <v/>
      </c>
      <c r="K117" s="6" t="str">
        <f t="shared" si="13"/>
        <v/>
      </c>
      <c r="L117" s="6"/>
      <c r="M117" s="110">
        <f>IF(D117="","",ABS(D117-G$5))</f>
        <v>0</v>
      </c>
    </row>
    <row r="118" spans="2:13" s="107" customFormat="1" ht="12.75" customHeight="1" x14ac:dyDescent="0.4">
      <c r="B118" s="109">
        <v>43987</v>
      </c>
      <c r="C118" s="5">
        <v>3193.93</v>
      </c>
      <c r="D118" s="7">
        <f t="shared" si="14"/>
        <v>0</v>
      </c>
      <c r="E118" s="5">
        <f t="shared" si="8"/>
        <v>4.6348691292451449E-2</v>
      </c>
      <c r="F118" s="5">
        <f t="shared" si="9"/>
        <v>0</v>
      </c>
      <c r="G118" s="5">
        <f t="shared" si="15"/>
        <v>5.3833217255698895E-2</v>
      </c>
      <c r="H118" s="6" t="str">
        <f t="shared" si="10"/>
        <v/>
      </c>
      <c r="I118" s="6" t="str">
        <f t="shared" si="11"/>
        <v/>
      </c>
      <c r="J118" s="6" t="str">
        <f t="shared" si="12"/>
        <v/>
      </c>
      <c r="K118" s="6" t="str">
        <f t="shared" si="13"/>
        <v/>
      </c>
      <c r="L118" s="6"/>
      <c r="M118" s="110">
        <f>IF(D118="","",ABS(D118-G$5))</f>
        <v>0</v>
      </c>
    </row>
    <row r="119" spans="2:13" s="107" customFormat="1" ht="12.75" customHeight="1" x14ac:dyDescent="0.4">
      <c r="B119" s="109">
        <v>43990</v>
      </c>
      <c r="C119" s="5">
        <v>3232.39</v>
      </c>
      <c r="D119" s="7">
        <f t="shared" si="14"/>
        <v>1.1969668235859062E-2</v>
      </c>
      <c r="E119" s="5">
        <f t="shared" si="8"/>
        <v>0.66991605728808967</v>
      </c>
      <c r="F119" s="5">
        <f t="shared" si="9"/>
        <v>1.2596883756006259</v>
      </c>
      <c r="G119" s="5">
        <f t="shared" si="15"/>
        <v>0.79391637735978304</v>
      </c>
      <c r="H119" s="6" t="str">
        <f t="shared" si="10"/>
        <v/>
      </c>
      <c r="I119" s="6" t="str">
        <f t="shared" si="11"/>
        <v/>
      </c>
      <c r="J119" s="6" t="str">
        <f t="shared" si="12"/>
        <v/>
      </c>
      <c r="K119" s="6" t="str">
        <f t="shared" si="13"/>
        <v/>
      </c>
      <c r="L119" s="6"/>
      <c r="M119" s="110">
        <f>IF(D119="","",ABS(D119-G$5))</f>
        <v>1.1969668235859062E-2</v>
      </c>
    </row>
    <row r="120" spans="2:13" s="107" customFormat="1" ht="12.75" customHeight="1" x14ac:dyDescent="0.4">
      <c r="B120" s="109">
        <v>43991</v>
      </c>
      <c r="C120" s="5">
        <v>3207.18</v>
      </c>
      <c r="D120" s="7">
        <f t="shared" si="14"/>
        <v>-7.8297553381980623E-3</v>
      </c>
      <c r="E120" s="5">
        <f t="shared" si="8"/>
        <v>0.51488112078456139</v>
      </c>
      <c r="F120" s="5">
        <f t="shared" si="9"/>
        <v>0.82400377261727631</v>
      </c>
      <c r="G120" s="5">
        <f t="shared" si="15"/>
        <v>0.63028600127530565</v>
      </c>
      <c r="H120" s="6" t="str">
        <f t="shared" si="10"/>
        <v/>
      </c>
      <c r="I120" s="6" t="str">
        <f t="shared" si="11"/>
        <v/>
      </c>
      <c r="J120" s="6" t="str">
        <f t="shared" si="12"/>
        <v/>
      </c>
      <c r="K120" s="6" t="str">
        <f t="shared" si="13"/>
        <v/>
      </c>
      <c r="L120" s="6"/>
      <c r="M120" s="110">
        <f>IF(D120="","",ABS(D120-G$5))</f>
        <v>7.8297553381980623E-3</v>
      </c>
    </row>
    <row r="121" spans="2:13" s="107" customFormat="1" ht="12.75" customHeight="1" x14ac:dyDescent="0.4">
      <c r="B121" s="109">
        <v>43992</v>
      </c>
      <c r="C121" s="5">
        <v>3190.14</v>
      </c>
      <c r="D121" s="7">
        <f t="shared" si="14"/>
        <v>-5.3272433765708446E-3</v>
      </c>
      <c r="E121" s="5">
        <f t="shared" si="8"/>
        <v>0.36513084653344968</v>
      </c>
      <c r="F121" s="5">
        <f t="shared" si="9"/>
        <v>0.56063931123485278</v>
      </c>
      <c r="G121" s="5">
        <f t="shared" si="15"/>
        <v>0.46600483961649514</v>
      </c>
      <c r="H121" s="6" t="str">
        <f t="shared" si="10"/>
        <v/>
      </c>
      <c r="I121" s="6" t="str">
        <f t="shared" si="11"/>
        <v/>
      </c>
      <c r="J121" s="6" t="str">
        <f t="shared" si="12"/>
        <v/>
      </c>
      <c r="K121" s="6" t="str">
        <f t="shared" si="13"/>
        <v/>
      </c>
      <c r="L121" s="6"/>
      <c r="M121" s="110">
        <f>IF(D121="","",ABS(D121-G$5))</f>
        <v>5.3272433765708446E-3</v>
      </c>
    </row>
    <row r="122" spans="2:13" s="107" customFormat="1" ht="12.75" customHeight="1" x14ac:dyDescent="0.4">
      <c r="B122" s="109">
        <v>43993</v>
      </c>
      <c r="C122" s="5">
        <v>3002.1</v>
      </c>
      <c r="D122" s="7">
        <f t="shared" si="14"/>
        <v>-6.0752759198692892E-2</v>
      </c>
      <c r="E122" s="5">
        <f t="shared" si="8"/>
        <v>3.681792793465835</v>
      </c>
      <c r="F122" s="5">
        <f t="shared" si="9"/>
        <v>6.3936228674231845</v>
      </c>
      <c r="G122" s="5">
        <f t="shared" si="15"/>
        <v>2.6653823968154686</v>
      </c>
      <c r="H122" s="6" t="str">
        <f t="shared" si="10"/>
        <v>OUTLIER</v>
      </c>
      <c r="I122" s="6" t="str">
        <f t="shared" si="11"/>
        <v>OUTLIER</v>
      </c>
      <c r="J122" s="6" t="str">
        <f t="shared" si="12"/>
        <v/>
      </c>
      <c r="K122" s="6" t="str">
        <f t="shared" si="13"/>
        <v/>
      </c>
      <c r="L122" s="6"/>
      <c r="M122" s="110">
        <f>IF(D122="","",ABS(D122-G$5))</f>
        <v>6.0752759198692892E-2</v>
      </c>
    </row>
    <row r="123" spans="2:13" s="107" customFormat="1" ht="12.75" customHeight="1" x14ac:dyDescent="0.4">
      <c r="B123" s="109">
        <v>43994</v>
      </c>
      <c r="C123" s="5">
        <v>3041.31</v>
      </c>
      <c r="D123" s="7">
        <f t="shared" si="14"/>
        <v>1.2976299868566436E-2</v>
      </c>
      <c r="E123" s="5">
        <f t="shared" si="8"/>
        <v>0.73015287748284907</v>
      </c>
      <c r="F123" s="5">
        <f t="shared" si="9"/>
        <v>1.3656263298736209</v>
      </c>
      <c r="G123" s="5">
        <f t="shared" si="15"/>
        <v>0.54872407034840887</v>
      </c>
      <c r="H123" s="6" t="str">
        <f t="shared" si="10"/>
        <v/>
      </c>
      <c r="I123" s="6" t="str">
        <f t="shared" si="11"/>
        <v/>
      </c>
      <c r="J123" s="6" t="str">
        <f t="shared" si="12"/>
        <v/>
      </c>
      <c r="K123" s="6" t="str">
        <f t="shared" si="13"/>
        <v/>
      </c>
      <c r="L123" s="6"/>
      <c r="M123" s="110">
        <f>IF(D123="","",ABS(D123-G$5))</f>
        <v>1.2976299868566436E-2</v>
      </c>
    </row>
    <row r="124" spans="2:13" s="107" customFormat="1" ht="12.75" customHeight="1" x14ac:dyDescent="0.4">
      <c r="B124" s="109">
        <v>43997</v>
      </c>
      <c r="C124" s="5">
        <v>3066.59</v>
      </c>
      <c r="D124" s="7">
        <f t="shared" si="14"/>
        <v>8.277851423430304E-3</v>
      </c>
      <c r="E124" s="5">
        <f t="shared" si="8"/>
        <v>0.44899780050317911</v>
      </c>
      <c r="F124" s="5">
        <f t="shared" si="9"/>
        <v>0.87116142298791677</v>
      </c>
      <c r="G124" s="5">
        <f t="shared" si="15"/>
        <v>0.353454293827065</v>
      </c>
      <c r="H124" s="6" t="str">
        <f t="shared" si="10"/>
        <v/>
      </c>
      <c r="I124" s="6" t="str">
        <f t="shared" si="11"/>
        <v/>
      </c>
      <c r="J124" s="6" t="str">
        <f t="shared" si="12"/>
        <v/>
      </c>
      <c r="K124" s="6" t="str">
        <f t="shared" si="13"/>
        <v/>
      </c>
      <c r="L124" s="6"/>
      <c r="M124" s="110">
        <f>IF(D124="","",ABS(D124-G$5))</f>
        <v>8.277851423430304E-3</v>
      </c>
    </row>
    <row r="125" spans="2:13" s="107" customFormat="1" ht="12.75" customHeight="1" x14ac:dyDescent="0.4">
      <c r="B125" s="109">
        <v>43998</v>
      </c>
      <c r="C125" s="5">
        <v>3124.74</v>
      </c>
      <c r="D125" s="7">
        <f t="shared" si="14"/>
        <v>1.878488465267299E-2</v>
      </c>
      <c r="E125" s="5">
        <f t="shared" si="8"/>
        <v>1.0777384945622552</v>
      </c>
      <c r="F125" s="5">
        <f t="shared" si="9"/>
        <v>1.9769220305605628</v>
      </c>
      <c r="G125" s="5">
        <f t="shared" si="15"/>
        <v>0.86054589401912207</v>
      </c>
      <c r="H125" s="6" t="str">
        <f t="shared" si="10"/>
        <v/>
      </c>
      <c r="I125" s="6" t="str">
        <f t="shared" si="11"/>
        <v/>
      </c>
      <c r="J125" s="6" t="str">
        <f t="shared" si="12"/>
        <v/>
      </c>
      <c r="K125" s="6" t="str">
        <f t="shared" si="13"/>
        <v/>
      </c>
      <c r="L125" s="6"/>
      <c r="M125" s="110">
        <f>IF(D125="","",ABS(D125-G$5))</f>
        <v>1.878488465267299E-2</v>
      </c>
    </row>
    <row r="126" spans="2:13" s="107" customFormat="1" ht="12.75" customHeight="1" x14ac:dyDescent="0.4">
      <c r="B126" s="109">
        <v>43999</v>
      </c>
      <c r="C126" s="5">
        <v>3097.74</v>
      </c>
      <c r="D126" s="7">
        <f t="shared" si="14"/>
        <v>-8.6782663672614231E-3</v>
      </c>
      <c r="E126" s="5">
        <f t="shared" si="8"/>
        <v>0.56565600668149418</v>
      </c>
      <c r="F126" s="5">
        <f t="shared" si="9"/>
        <v>0.91330110808376175</v>
      </c>
      <c r="G126" s="5">
        <f t="shared" si="15"/>
        <v>0.47078735009783867</v>
      </c>
      <c r="H126" s="6" t="str">
        <f t="shared" si="10"/>
        <v/>
      </c>
      <c r="I126" s="6" t="str">
        <f t="shared" si="11"/>
        <v/>
      </c>
      <c r="J126" s="6" t="str">
        <f t="shared" si="12"/>
        <v/>
      </c>
      <c r="K126" s="6" t="str">
        <f t="shared" si="13"/>
        <v/>
      </c>
      <c r="L126" s="6"/>
      <c r="M126" s="110">
        <f>IF(D126="","",ABS(D126-G$5))</f>
        <v>8.6782663672614231E-3</v>
      </c>
    </row>
    <row r="127" spans="2:13" s="107" customFormat="1" ht="12.75" customHeight="1" x14ac:dyDescent="0.4">
      <c r="B127" s="109">
        <v>44000</v>
      </c>
      <c r="C127" s="5">
        <v>3097.74</v>
      </c>
      <c r="D127" s="7">
        <f t="shared" si="14"/>
        <v>0</v>
      </c>
      <c r="E127" s="5">
        <f t="shared" si="8"/>
        <v>4.6348691292451449E-2</v>
      </c>
      <c r="F127" s="5">
        <f t="shared" si="9"/>
        <v>0</v>
      </c>
      <c r="G127" s="5">
        <f t="shared" si="15"/>
        <v>4.0658626429348595E-2</v>
      </c>
      <c r="H127" s="6" t="str">
        <f t="shared" si="10"/>
        <v/>
      </c>
      <c r="I127" s="6" t="str">
        <f t="shared" si="11"/>
        <v/>
      </c>
      <c r="J127" s="6" t="str">
        <f t="shared" si="12"/>
        <v/>
      </c>
      <c r="K127" s="6" t="str">
        <f t="shared" si="13"/>
        <v/>
      </c>
      <c r="L127" s="6"/>
      <c r="M127" s="110">
        <f>IF(D127="","",ABS(D127-G$5))</f>
        <v>0</v>
      </c>
    </row>
    <row r="128" spans="2:13" s="107" customFormat="1" ht="12.75" customHeight="1" x14ac:dyDescent="0.4">
      <c r="B128" s="109">
        <v>44001</v>
      </c>
      <c r="C128" s="5">
        <v>3097.74</v>
      </c>
      <c r="D128" s="7">
        <f t="shared" si="14"/>
        <v>0</v>
      </c>
      <c r="E128" s="5">
        <f t="shared" si="8"/>
        <v>4.6348691292451449E-2</v>
      </c>
      <c r="F128" s="5">
        <f t="shared" si="9"/>
        <v>0</v>
      </c>
      <c r="G128" s="5">
        <f t="shared" si="15"/>
        <v>4.2854019808460764E-2</v>
      </c>
      <c r="H128" s="6" t="str">
        <f t="shared" si="10"/>
        <v/>
      </c>
      <c r="I128" s="6" t="str">
        <f t="shared" si="11"/>
        <v/>
      </c>
      <c r="J128" s="6" t="str">
        <f t="shared" si="12"/>
        <v/>
      </c>
      <c r="K128" s="6" t="str">
        <f t="shared" si="13"/>
        <v/>
      </c>
      <c r="L128" s="6"/>
      <c r="M128" s="110">
        <f>IF(D128="","",ABS(D128-G$5))</f>
        <v>0</v>
      </c>
    </row>
    <row r="129" spans="2:13" s="107" customFormat="1" ht="12.75" customHeight="1" x14ac:dyDescent="0.4">
      <c r="B129" s="109">
        <v>44004</v>
      </c>
      <c r="C129" s="6">
        <v>3117.86</v>
      </c>
      <c r="D129" s="6">
        <f t="shared" si="14"/>
        <v>6.4740556904391263E-3</v>
      </c>
      <c r="E129" s="6">
        <f t="shared" si="8"/>
        <v>0.34105869377748194</v>
      </c>
      <c r="F129" s="6">
        <f t="shared" si="9"/>
        <v>0.68132988613714462</v>
      </c>
      <c r="G129" s="6">
        <f t="shared" si="15"/>
        <v>0.33057944994337501</v>
      </c>
      <c r="H129" s="6" t="str">
        <f t="shared" si="10"/>
        <v/>
      </c>
      <c r="I129" s="6" t="str">
        <f t="shared" si="11"/>
        <v/>
      </c>
      <c r="J129" s="6" t="str">
        <f t="shared" si="12"/>
        <v/>
      </c>
      <c r="K129" s="6" t="str">
        <f t="shared" si="13"/>
        <v/>
      </c>
      <c r="L129" s="6"/>
      <c r="M129" s="110">
        <f>IF(D129="","",ABS(D129-G$5))</f>
        <v>6.4740556904391263E-3</v>
      </c>
    </row>
    <row r="130" spans="2:13" s="107" customFormat="1" ht="12.75" customHeight="1" x14ac:dyDescent="0.4">
      <c r="B130" s="109">
        <v>44005</v>
      </c>
      <c r="C130" s="5">
        <v>3131.29</v>
      </c>
      <c r="D130" s="6">
        <f t="shared" si="14"/>
        <v>4.2981911703125365E-3</v>
      </c>
      <c r="E130" s="6">
        <f t="shared" si="8"/>
        <v>0.21085499700459986</v>
      </c>
      <c r="F130" s="6">
        <f t="shared" si="9"/>
        <v>0.45234181488267144</v>
      </c>
      <c r="G130" s="6">
        <f t="shared" si="15"/>
        <v>0.21493339847956494</v>
      </c>
      <c r="H130" s="6" t="str">
        <f t="shared" si="10"/>
        <v/>
      </c>
      <c r="I130" s="6" t="str">
        <f t="shared" si="11"/>
        <v/>
      </c>
      <c r="J130" s="6" t="str">
        <f t="shared" si="12"/>
        <v/>
      </c>
      <c r="K130" s="6" t="str">
        <f t="shared" si="13"/>
        <v/>
      </c>
      <c r="L130" s="6"/>
      <c r="M130" s="110">
        <f>IF(D130="","",ABS(D130-G$5))</f>
        <v>4.2981911703125365E-3</v>
      </c>
    </row>
    <row r="131" spans="2:13" s="107" customFormat="1" ht="12.75" customHeight="1" x14ac:dyDescent="0.4">
      <c r="B131" s="109">
        <v>44006</v>
      </c>
      <c r="C131" s="5">
        <v>3083.76</v>
      </c>
      <c r="D131" s="7">
        <f t="shared" si="14"/>
        <v>-1.5295428559345094E-2</v>
      </c>
      <c r="E131" s="5">
        <f t="shared" si="8"/>
        <v>0.96162688243478589</v>
      </c>
      <c r="F131" s="5">
        <f t="shared" si="9"/>
        <v>1.6096915283177871</v>
      </c>
      <c r="G131" s="5">
        <f t="shared" si="15"/>
        <v>0.98215157781706453</v>
      </c>
      <c r="H131" s="6" t="str">
        <f t="shared" si="10"/>
        <v/>
      </c>
      <c r="I131" s="6" t="str">
        <f t="shared" si="11"/>
        <v/>
      </c>
      <c r="J131" s="6" t="str">
        <f t="shared" si="12"/>
        <v/>
      </c>
      <c r="K131" s="6" t="str">
        <f t="shared" si="13"/>
        <v/>
      </c>
      <c r="L131" s="6"/>
      <c r="M131" s="110">
        <f>IF(D131="","",ABS(D131-G$5))</f>
        <v>1.5295428559345094E-2</v>
      </c>
    </row>
    <row r="132" spans="2:13" s="107" customFormat="1" ht="12.75" customHeight="1" x14ac:dyDescent="0.4">
      <c r="B132" s="109">
        <v>44007</v>
      </c>
      <c r="C132" s="5">
        <v>3083.76</v>
      </c>
      <c r="D132" s="7">
        <f t="shared" si="14"/>
        <v>0</v>
      </c>
      <c r="E132" s="5">
        <f t="shared" si="8"/>
        <v>4.6348691292451449E-2</v>
      </c>
      <c r="F132" s="5">
        <f t="shared" si="9"/>
        <v>0</v>
      </c>
      <c r="G132" s="5">
        <f t="shared" si="15"/>
        <v>4.9892364227574378E-2</v>
      </c>
      <c r="H132" s="6" t="str">
        <f t="shared" si="10"/>
        <v/>
      </c>
      <c r="I132" s="6" t="str">
        <f t="shared" si="11"/>
        <v/>
      </c>
      <c r="J132" s="6" t="str">
        <f t="shared" si="12"/>
        <v/>
      </c>
      <c r="K132" s="6" t="str">
        <f t="shared" si="13"/>
        <v/>
      </c>
      <c r="L132" s="6"/>
      <c r="M132" s="110">
        <f>IF(D132="","",ABS(D132-G$5))</f>
        <v>0</v>
      </c>
    </row>
    <row r="133" spans="2:13" s="107" customFormat="1" ht="12.75" customHeight="1" x14ac:dyDescent="0.4">
      <c r="B133" s="109">
        <v>44008</v>
      </c>
      <c r="C133" s="5">
        <v>3083.76</v>
      </c>
      <c r="D133" s="7">
        <f t="shared" si="14"/>
        <v>0</v>
      </c>
      <c r="E133" s="5">
        <f t="shared" si="8"/>
        <v>4.6348691292451449E-2</v>
      </c>
      <c r="F133" s="5">
        <f t="shared" si="9"/>
        <v>0</v>
      </c>
      <c r="G133" s="5">
        <f t="shared" si="15"/>
        <v>5.2583898196930275E-2</v>
      </c>
      <c r="H133" s="6" t="str">
        <f t="shared" si="10"/>
        <v/>
      </c>
      <c r="I133" s="6" t="str">
        <f t="shared" si="11"/>
        <v/>
      </c>
      <c r="J133" s="6" t="str">
        <f t="shared" si="12"/>
        <v/>
      </c>
      <c r="K133" s="6" t="str">
        <f t="shared" si="13"/>
        <v/>
      </c>
      <c r="L133" s="6"/>
      <c r="M133" s="110">
        <f>IF(D133="","",ABS(D133-G$5))</f>
        <v>0</v>
      </c>
    </row>
    <row r="134" spans="2:13" s="107" customFormat="1" ht="12.75" customHeight="1" x14ac:dyDescent="0.4">
      <c r="B134" s="109">
        <v>44011</v>
      </c>
      <c r="C134" s="5">
        <v>3053.24</v>
      </c>
      <c r="D134" s="7">
        <f t="shared" si="14"/>
        <v>-9.9463097960595711E-3</v>
      </c>
      <c r="E134" s="5">
        <f t="shared" si="8"/>
        <v>0.64153570441583385</v>
      </c>
      <c r="F134" s="5">
        <f t="shared" si="9"/>
        <v>1.0467500504887344</v>
      </c>
      <c r="G134" s="5">
        <f t="shared" si="15"/>
        <v>0.74558187944612131</v>
      </c>
      <c r="H134" s="6" t="str">
        <f t="shared" si="10"/>
        <v/>
      </c>
      <c r="I134" s="6" t="str">
        <f t="shared" si="11"/>
        <v/>
      </c>
      <c r="J134" s="6" t="str">
        <f t="shared" si="12"/>
        <v/>
      </c>
      <c r="K134" s="6" t="str">
        <f t="shared" si="13"/>
        <v/>
      </c>
      <c r="L134" s="6"/>
      <c r="M134" s="110">
        <f>IF(D134="","",ABS(D134-G$5))</f>
        <v>9.9463097960595711E-3</v>
      </c>
    </row>
    <row r="135" spans="2:13" s="107" customFormat="1" ht="12.75" customHeight="1" x14ac:dyDescent="0.4">
      <c r="B135" s="109">
        <v>44012</v>
      </c>
      <c r="C135" s="5">
        <v>3100.29</v>
      </c>
      <c r="D135" s="7">
        <f t="shared" si="14"/>
        <v>1.529233363768146E-2</v>
      </c>
      <c r="E135" s="5">
        <f t="shared" si="8"/>
        <v>0.86874429978889578</v>
      </c>
      <c r="F135" s="5">
        <f t="shared" si="9"/>
        <v>1.6093658186350912</v>
      </c>
      <c r="G135" s="5">
        <f t="shared" si="15"/>
        <v>1.0086632934421413</v>
      </c>
      <c r="H135" s="6" t="str">
        <f t="shared" si="10"/>
        <v/>
      </c>
      <c r="I135" s="6" t="str">
        <f t="shared" si="11"/>
        <v/>
      </c>
      <c r="J135" s="6" t="str">
        <f t="shared" si="12"/>
        <v/>
      </c>
      <c r="K135" s="6" t="str">
        <f t="shared" si="13"/>
        <v/>
      </c>
      <c r="L135" s="6"/>
      <c r="M135" s="110">
        <f>IF(D135="","",ABS(D135-G$5))</f>
        <v>1.529233363768146E-2</v>
      </c>
    </row>
    <row r="136" spans="2:13" s="107" customFormat="1" ht="12.75" customHeight="1" x14ac:dyDescent="0.4">
      <c r="B136" s="109">
        <v>44013</v>
      </c>
      <c r="C136" s="5">
        <v>3130.01</v>
      </c>
      <c r="D136" s="7">
        <f t="shared" si="14"/>
        <v>9.5405439323174232E-3</v>
      </c>
      <c r="E136" s="5">
        <f t="shared" si="8"/>
        <v>0.52455729927884875</v>
      </c>
      <c r="F136" s="5">
        <f t="shared" si="9"/>
        <v>1.0040472343621982</v>
      </c>
      <c r="G136" s="5">
        <f t="shared" si="15"/>
        <v>0.62915230018089807</v>
      </c>
      <c r="H136" s="6" t="str">
        <f t="shared" si="10"/>
        <v/>
      </c>
      <c r="I136" s="6" t="str">
        <f t="shared" si="11"/>
        <v/>
      </c>
      <c r="J136" s="6" t="str">
        <f t="shared" si="12"/>
        <v/>
      </c>
      <c r="K136" s="6" t="str">
        <f t="shared" si="13"/>
        <v/>
      </c>
      <c r="L136" s="6"/>
      <c r="M136" s="110">
        <f>IF(D136="","",ABS(D136-G$5))</f>
        <v>9.5405439323174232E-3</v>
      </c>
    </row>
    <row r="137" spans="2:13" s="107" customFormat="1" ht="12.75" customHeight="1" x14ac:dyDescent="0.4">
      <c r="B137" s="109">
        <v>44014</v>
      </c>
      <c r="C137" s="5">
        <v>3130.01</v>
      </c>
      <c r="D137" s="7">
        <f t="shared" si="14"/>
        <v>0</v>
      </c>
      <c r="E137" s="5">
        <f t="shared" ref="E137:E200" si="16">IF(D137="","",ABS(D137-$E$5)/$F$5)</f>
        <v>4.6348691292451449E-2</v>
      </c>
      <c r="F137" s="5">
        <f t="shared" ref="F137:F200" si="17">IF(D137="","",ABS(D137-$G$5)/$H$5)</f>
        <v>0</v>
      </c>
      <c r="G137" s="5">
        <f t="shared" si="15"/>
        <v>5.8587440688370261E-2</v>
      </c>
      <c r="H137" s="6" t="str">
        <f t="shared" ref="H137:H200" si="18">IF(E137="","",IF(E137&gt;$I$5,"OUTLIER",""))</f>
        <v/>
      </c>
      <c r="I137" s="6" t="str">
        <f t="shared" ref="I137:I200" si="19">IF(F137="","",IF(F137&gt;$I$5,"OUTLIER",""))</f>
        <v/>
      </c>
      <c r="J137" s="6" t="str">
        <f t="shared" ref="J137:J200" si="20">IF(G137="","",IF(G137&gt;$I$5,"OUTLIER",""))</f>
        <v/>
      </c>
      <c r="K137" s="6" t="str">
        <f t="shared" ref="K137:K200" si="21">IF(C137="","MISSING","")</f>
        <v/>
      </c>
      <c r="L137" s="6"/>
      <c r="M137" s="110">
        <f>IF(D137="","",ABS(D137-G$5))</f>
        <v>0</v>
      </c>
    </row>
    <row r="138" spans="2:13" s="107" customFormat="1" ht="12.75" customHeight="1" x14ac:dyDescent="0.4">
      <c r="B138" s="109">
        <v>44018</v>
      </c>
      <c r="C138" s="5">
        <v>3179.72</v>
      </c>
      <c r="D138" s="7">
        <f t="shared" ref="D138:D201" si="22">IF(OR(C138="",C137=""),"",LN(C138/C137))</f>
        <v>1.5756943165826313E-2</v>
      </c>
      <c r="E138" s="5">
        <f t="shared" si="16"/>
        <v>0.89654652624224351</v>
      </c>
      <c r="F138" s="5">
        <f t="shared" si="17"/>
        <v>1.6582613444144956</v>
      </c>
      <c r="G138" s="5">
        <f t="shared" ref="G138:G201" si="23">IF(D138="","",ABS(D138-$E$5)/SQRT(0.9*(IF(G137="",($F$5)^2,(ABS(D137-$E$5)/MAX(G137,0.0000000001))^2))+0.1*(D138-$E$5)^2))</f>
        <v>1.117510687630449</v>
      </c>
      <c r="H138" s="6" t="str">
        <f t="shared" si="18"/>
        <v/>
      </c>
      <c r="I138" s="6" t="str">
        <f t="shared" si="19"/>
        <v/>
      </c>
      <c r="J138" s="6" t="str">
        <f t="shared" si="20"/>
        <v/>
      </c>
      <c r="K138" s="6" t="str">
        <f t="shared" si="21"/>
        <v/>
      </c>
      <c r="L138" s="6"/>
      <c r="M138" s="110">
        <f>IF(D138="","",ABS(D138-G$5))</f>
        <v>1.5756943165826313E-2</v>
      </c>
    </row>
    <row r="139" spans="2:13" s="107" customFormat="1" ht="12.75" customHeight="1" x14ac:dyDescent="0.4">
      <c r="B139" s="109">
        <v>44019</v>
      </c>
      <c r="C139" s="5">
        <v>3145.32</v>
      </c>
      <c r="D139" s="7">
        <f t="shared" si="22"/>
        <v>-1.0877508816987262E-2</v>
      </c>
      <c r="E139" s="5">
        <f t="shared" si="16"/>
        <v>0.69725863837360613</v>
      </c>
      <c r="F139" s="5">
        <f t="shared" si="17"/>
        <v>1.1447494736071737</v>
      </c>
      <c r="G139" s="5">
        <f t="shared" si="23"/>
        <v>0.87993670554444015</v>
      </c>
      <c r="H139" s="6" t="str">
        <f t="shared" si="18"/>
        <v/>
      </c>
      <c r="I139" s="6" t="str">
        <f t="shared" si="19"/>
        <v/>
      </c>
      <c r="J139" s="6" t="str">
        <f t="shared" si="20"/>
        <v/>
      </c>
      <c r="K139" s="6" t="str">
        <f t="shared" si="21"/>
        <v/>
      </c>
      <c r="L139" s="6"/>
      <c r="M139" s="110">
        <f>IF(D139="","",ABS(D139-G$5))</f>
        <v>1.0877508816987262E-2</v>
      </c>
    </row>
    <row r="140" spans="2:13" s="107" customFormat="1" ht="12.75" customHeight="1" x14ac:dyDescent="0.4">
      <c r="B140" s="109">
        <v>44020</v>
      </c>
      <c r="C140" s="5">
        <v>3169.94</v>
      </c>
      <c r="D140" s="7">
        <f t="shared" si="22"/>
        <v>7.7970264812917862E-3</v>
      </c>
      <c r="E140" s="5">
        <f t="shared" si="16"/>
        <v>0.42022524394556776</v>
      </c>
      <c r="F140" s="5">
        <f t="shared" si="17"/>
        <v>0.82055938637539039</v>
      </c>
      <c r="G140" s="5">
        <f t="shared" si="23"/>
        <v>0.55047377424765898</v>
      </c>
      <c r="H140" s="6" t="str">
        <f t="shared" si="18"/>
        <v/>
      </c>
      <c r="I140" s="6" t="str">
        <f t="shared" si="19"/>
        <v/>
      </c>
      <c r="J140" s="6" t="str">
        <f t="shared" si="20"/>
        <v/>
      </c>
      <c r="K140" s="6" t="str">
        <f t="shared" si="21"/>
        <v/>
      </c>
      <c r="L140" s="6"/>
      <c r="M140" s="110">
        <f>IF(D140="","",ABS(D140-G$5))</f>
        <v>7.7970264812917862E-3</v>
      </c>
    </row>
    <row r="141" spans="2:13" s="107" customFormat="1" ht="12.75" customHeight="1" x14ac:dyDescent="0.4">
      <c r="B141" s="109">
        <v>44021</v>
      </c>
      <c r="C141" s="5">
        <v>3152.05</v>
      </c>
      <c r="D141" s="7">
        <f t="shared" si="22"/>
        <v>-5.6596254512879147E-3</v>
      </c>
      <c r="E141" s="5">
        <f t="shared" si="16"/>
        <v>0.38502058436817704</v>
      </c>
      <c r="F141" s="5">
        <f t="shared" si="17"/>
        <v>0.595619214397479</v>
      </c>
      <c r="G141" s="5">
        <f t="shared" si="23"/>
        <v>0.52428189830876537</v>
      </c>
      <c r="H141" s="6" t="str">
        <f t="shared" si="18"/>
        <v/>
      </c>
      <c r="I141" s="6" t="str">
        <f t="shared" si="19"/>
        <v/>
      </c>
      <c r="J141" s="6" t="str">
        <f t="shared" si="20"/>
        <v/>
      </c>
      <c r="K141" s="6" t="str">
        <f t="shared" si="21"/>
        <v/>
      </c>
      <c r="L141" s="6"/>
      <c r="M141" s="110">
        <f>IF(D141="","",ABS(D141-G$5))</f>
        <v>5.6596254512879147E-3</v>
      </c>
    </row>
    <row r="142" spans="2:13" s="107" customFormat="1" ht="12.75" customHeight="1" x14ac:dyDescent="0.4">
      <c r="B142" s="109">
        <v>44022</v>
      </c>
      <c r="C142" s="5">
        <v>3185.04</v>
      </c>
      <c r="D142" s="7">
        <f t="shared" si="22"/>
        <v>1.0411813000986475E-2</v>
      </c>
      <c r="E142" s="5">
        <f t="shared" si="16"/>
        <v>0.57669402588808483</v>
      </c>
      <c r="F142" s="5">
        <f t="shared" si="17"/>
        <v>1.0957396268493003</v>
      </c>
      <c r="G142" s="5">
        <f t="shared" si="23"/>
        <v>0.80078146627482782</v>
      </c>
      <c r="H142" s="6" t="str">
        <f t="shared" si="18"/>
        <v/>
      </c>
      <c r="I142" s="6" t="str">
        <f t="shared" si="19"/>
        <v/>
      </c>
      <c r="J142" s="6" t="str">
        <f t="shared" si="20"/>
        <v/>
      </c>
      <c r="K142" s="6" t="str">
        <f t="shared" si="21"/>
        <v/>
      </c>
      <c r="L142" s="6"/>
      <c r="M142" s="110">
        <f>IF(D142="","",ABS(D142-G$5))</f>
        <v>1.0411813000986475E-2</v>
      </c>
    </row>
    <row r="143" spans="2:13" s="107" customFormat="1" ht="12.75" customHeight="1" x14ac:dyDescent="0.4">
      <c r="B143" s="109">
        <v>44025</v>
      </c>
      <c r="C143" s="5">
        <v>3155.22</v>
      </c>
      <c r="D143" s="7">
        <f t="shared" si="22"/>
        <v>-9.4066236664834702E-3</v>
      </c>
      <c r="E143" s="5">
        <f t="shared" si="16"/>
        <v>0.60924089537884074</v>
      </c>
      <c r="F143" s="5">
        <f t="shared" si="17"/>
        <v>0.98995346009843144</v>
      </c>
      <c r="G143" s="5">
        <f t="shared" si="23"/>
        <v>0.85826448566012026</v>
      </c>
      <c r="H143" s="6" t="str">
        <f t="shared" si="18"/>
        <v/>
      </c>
      <c r="I143" s="6" t="str">
        <f t="shared" si="19"/>
        <v/>
      </c>
      <c r="J143" s="6" t="str">
        <f t="shared" si="20"/>
        <v/>
      </c>
      <c r="K143" s="6" t="str">
        <f t="shared" si="21"/>
        <v/>
      </c>
      <c r="L143" s="6"/>
      <c r="M143" s="110">
        <f>IF(D143="","",ABS(D143-G$5))</f>
        <v>9.4066236664834702E-3</v>
      </c>
    </row>
    <row r="144" spans="2:13" s="107" customFormat="1" ht="12.75" customHeight="1" x14ac:dyDescent="0.4">
      <c r="B144" s="109">
        <v>44026</v>
      </c>
      <c r="C144" s="5">
        <v>3197.52</v>
      </c>
      <c r="D144" s="7">
        <f t="shared" si="22"/>
        <v>1.3317285189446137E-2</v>
      </c>
      <c r="E144" s="5">
        <f t="shared" si="16"/>
        <v>0.75055743342516557</v>
      </c>
      <c r="F144" s="5">
        <f t="shared" si="17"/>
        <v>1.4015116390149216</v>
      </c>
      <c r="G144" s="5">
        <f t="shared" si="23"/>
        <v>1.0511609681680947</v>
      </c>
      <c r="H144" s="6" t="str">
        <f t="shared" si="18"/>
        <v/>
      </c>
      <c r="I144" s="6" t="str">
        <f t="shared" si="19"/>
        <v/>
      </c>
      <c r="J144" s="6" t="str">
        <f t="shared" si="20"/>
        <v/>
      </c>
      <c r="K144" s="6" t="str">
        <f t="shared" si="21"/>
        <v/>
      </c>
      <c r="L144" s="6"/>
      <c r="M144" s="110">
        <f>IF(D144="","",ABS(D144-G$5))</f>
        <v>1.3317285189446137E-2</v>
      </c>
    </row>
    <row r="145" spans="2:13" s="107" customFormat="1" ht="12.75" customHeight="1" x14ac:dyDescent="0.4">
      <c r="B145" s="109">
        <v>44027</v>
      </c>
      <c r="C145" s="5">
        <v>3226.56</v>
      </c>
      <c r="D145" s="7">
        <f t="shared" si="22"/>
        <v>9.0410448847842075E-3</v>
      </c>
      <c r="E145" s="5">
        <f t="shared" si="16"/>
        <v>0.49466728456434145</v>
      </c>
      <c r="F145" s="5">
        <f t="shared" si="17"/>
        <v>0.95147993413275966</v>
      </c>
      <c r="G145" s="5">
        <f t="shared" si="23"/>
        <v>0.71153363818001636</v>
      </c>
      <c r="H145" s="6" t="str">
        <f t="shared" si="18"/>
        <v/>
      </c>
      <c r="I145" s="6" t="str">
        <f t="shared" si="19"/>
        <v/>
      </c>
      <c r="J145" s="6" t="str">
        <f t="shared" si="20"/>
        <v/>
      </c>
      <c r="K145" s="6" t="str">
        <f t="shared" si="21"/>
        <v/>
      </c>
      <c r="L145" s="6"/>
      <c r="M145" s="110">
        <f>IF(D145="","",ABS(D145-G$5))</f>
        <v>9.0410448847842075E-3</v>
      </c>
    </row>
    <row r="146" spans="2:13" s="107" customFormat="1" ht="12.75" customHeight="1" x14ac:dyDescent="0.4">
      <c r="B146" s="109">
        <v>44028</v>
      </c>
      <c r="C146" s="5">
        <v>3215.57</v>
      </c>
      <c r="D146" s="7">
        <f t="shared" si="22"/>
        <v>-3.4119183131618158E-3</v>
      </c>
      <c r="E146" s="5">
        <f t="shared" si="16"/>
        <v>0.25051782652653237</v>
      </c>
      <c r="F146" s="5">
        <f t="shared" si="17"/>
        <v>0.3590704230809762</v>
      </c>
      <c r="G146" s="5">
        <f t="shared" si="23"/>
        <v>0.37712824758160407</v>
      </c>
      <c r="H146" s="6" t="str">
        <f t="shared" si="18"/>
        <v/>
      </c>
      <c r="I146" s="6" t="str">
        <f t="shared" si="19"/>
        <v/>
      </c>
      <c r="J146" s="6" t="str">
        <f t="shared" si="20"/>
        <v/>
      </c>
      <c r="K146" s="6" t="str">
        <f t="shared" si="21"/>
        <v/>
      </c>
      <c r="L146" s="6"/>
      <c r="M146" s="110">
        <f>IF(D146="","",ABS(D146-G$5))</f>
        <v>3.4119183131618158E-3</v>
      </c>
    </row>
    <row r="147" spans="2:13" s="107" customFormat="1" ht="12.75" customHeight="1" x14ac:dyDescent="0.4">
      <c r="B147" s="109">
        <v>44029</v>
      </c>
      <c r="C147" s="5">
        <v>3224.73</v>
      </c>
      <c r="D147" s="7">
        <f t="shared" si="22"/>
        <v>2.8445899031588197E-3</v>
      </c>
      <c r="E147" s="5">
        <f t="shared" si="16"/>
        <v>0.12387152130265294</v>
      </c>
      <c r="F147" s="5">
        <f t="shared" si="17"/>
        <v>0.29936475796590051</v>
      </c>
      <c r="G147" s="5">
        <f t="shared" si="23"/>
        <v>0.19618385919734199</v>
      </c>
      <c r="H147" s="6" t="str">
        <f t="shared" si="18"/>
        <v/>
      </c>
      <c r="I147" s="6" t="str">
        <f t="shared" si="19"/>
        <v/>
      </c>
      <c r="J147" s="6" t="str">
        <f t="shared" si="20"/>
        <v/>
      </c>
      <c r="K147" s="6" t="str">
        <f t="shared" si="21"/>
        <v/>
      </c>
      <c r="L147" s="6"/>
      <c r="M147" s="110">
        <f>IF(D147="","",ABS(D147-G$5))</f>
        <v>2.8445899031588197E-3</v>
      </c>
    </row>
    <row r="148" spans="2:13" s="107" customFormat="1" ht="12.75" customHeight="1" x14ac:dyDescent="0.4">
      <c r="B148" s="109">
        <v>44032</v>
      </c>
      <c r="C148" s="5">
        <v>3251.84</v>
      </c>
      <c r="D148" s="7">
        <f t="shared" si="22"/>
        <v>8.3717641704647815E-3</v>
      </c>
      <c r="E148" s="5">
        <f t="shared" si="16"/>
        <v>0.45461753772710978</v>
      </c>
      <c r="F148" s="5">
        <f t="shared" si="17"/>
        <v>0.88104480433391308</v>
      </c>
      <c r="G148" s="5">
        <f t="shared" si="23"/>
        <v>0.73799889692253851</v>
      </c>
      <c r="H148" s="6" t="str">
        <f t="shared" si="18"/>
        <v/>
      </c>
      <c r="I148" s="6" t="str">
        <f t="shared" si="19"/>
        <v/>
      </c>
      <c r="J148" s="6" t="str">
        <f t="shared" si="20"/>
        <v/>
      </c>
      <c r="K148" s="6" t="str">
        <f t="shared" si="21"/>
        <v/>
      </c>
      <c r="L148" s="6"/>
      <c r="M148" s="110">
        <f>IF(D148="","",ABS(D148-G$5))</f>
        <v>8.3717641704647815E-3</v>
      </c>
    </row>
    <row r="149" spans="2:13" s="107" customFormat="1" ht="12.75" customHeight="1" x14ac:dyDescent="0.4">
      <c r="B149" s="109">
        <v>44033</v>
      </c>
      <c r="C149" s="5">
        <v>3257.3</v>
      </c>
      <c r="D149" s="7">
        <f t="shared" si="22"/>
        <v>1.6776413721593887E-3</v>
      </c>
      <c r="E149" s="5">
        <f t="shared" si="16"/>
        <v>5.404134057477826E-2</v>
      </c>
      <c r="F149" s="5">
        <f t="shared" si="17"/>
        <v>0.17655504674764227</v>
      </c>
      <c r="G149" s="5">
        <f t="shared" si="23"/>
        <v>9.2433368054579051E-2</v>
      </c>
      <c r="H149" s="6" t="str">
        <f t="shared" si="18"/>
        <v/>
      </c>
      <c r="I149" s="6" t="str">
        <f t="shared" si="19"/>
        <v/>
      </c>
      <c r="J149" s="6" t="str">
        <f t="shared" si="20"/>
        <v/>
      </c>
      <c r="K149" s="6" t="str">
        <f t="shared" si="21"/>
        <v/>
      </c>
      <c r="L149" s="6"/>
      <c r="M149" s="110">
        <f>IF(D149="","",ABS(D149-G$5))</f>
        <v>1.6776413721593887E-3</v>
      </c>
    </row>
    <row r="150" spans="2:13" s="107" customFormat="1" ht="12.75" customHeight="1" x14ac:dyDescent="0.4">
      <c r="B150" s="109">
        <v>44034</v>
      </c>
      <c r="C150" s="5">
        <v>3276.02</v>
      </c>
      <c r="D150" s="7">
        <f t="shared" si="22"/>
        <v>5.7306396229577271E-3</v>
      </c>
      <c r="E150" s="5">
        <f t="shared" si="16"/>
        <v>0.29657268863741693</v>
      </c>
      <c r="F150" s="5">
        <f t="shared" si="17"/>
        <v>0.60309274873382557</v>
      </c>
      <c r="G150" s="5">
        <f t="shared" si="23"/>
        <v>0.52721925425205274</v>
      </c>
      <c r="H150" s="6" t="str">
        <f t="shared" si="18"/>
        <v/>
      </c>
      <c r="I150" s="6" t="str">
        <f t="shared" si="19"/>
        <v/>
      </c>
      <c r="J150" s="6" t="str">
        <f t="shared" si="20"/>
        <v/>
      </c>
      <c r="K150" s="6" t="str">
        <f t="shared" si="21"/>
        <v/>
      </c>
      <c r="L150" s="6"/>
      <c r="M150" s="110">
        <f>IF(D150="","",ABS(D150-G$5))</f>
        <v>5.7306396229577271E-3</v>
      </c>
    </row>
    <row r="151" spans="2:13" s="107" customFormat="1" ht="12.75" customHeight="1" x14ac:dyDescent="0.4">
      <c r="B151" s="109">
        <v>44035</v>
      </c>
      <c r="C151" s="5">
        <v>3235.66</v>
      </c>
      <c r="D151" s="7">
        <f t="shared" si="22"/>
        <v>-1.2396345287241563E-2</v>
      </c>
      <c r="E151" s="5">
        <f t="shared" si="16"/>
        <v>0.78814578754642328</v>
      </c>
      <c r="F151" s="5">
        <f t="shared" si="17"/>
        <v>1.3045918859712717</v>
      </c>
      <c r="G151" s="5">
        <f t="shared" si="23"/>
        <v>1.3381376579535567</v>
      </c>
      <c r="H151" s="6" t="str">
        <f t="shared" si="18"/>
        <v/>
      </c>
      <c r="I151" s="6" t="str">
        <f t="shared" si="19"/>
        <v/>
      </c>
      <c r="J151" s="6" t="str">
        <f t="shared" si="20"/>
        <v/>
      </c>
      <c r="K151" s="6" t="str">
        <f t="shared" si="21"/>
        <v/>
      </c>
      <c r="L151" s="6"/>
      <c r="M151" s="110">
        <f>IF(D151="","",ABS(D151-G$5))</f>
        <v>1.2396345287241563E-2</v>
      </c>
    </row>
    <row r="152" spans="2:13" s="107" customFormat="1" ht="12.75" customHeight="1" x14ac:dyDescent="0.4">
      <c r="B152" s="109">
        <v>44036</v>
      </c>
      <c r="C152" s="5">
        <v>3215.63</v>
      </c>
      <c r="D152" s="7">
        <f t="shared" si="22"/>
        <v>-6.2096307443050324E-3</v>
      </c>
      <c r="E152" s="5">
        <f t="shared" si="16"/>
        <v>0.41793289197421984</v>
      </c>
      <c r="F152" s="5">
        <f t="shared" si="17"/>
        <v>0.65350179397114372</v>
      </c>
      <c r="G152" s="5">
        <f t="shared" si="23"/>
        <v>0.72787858337684641</v>
      </c>
      <c r="H152" s="6" t="str">
        <f t="shared" si="18"/>
        <v/>
      </c>
      <c r="I152" s="6" t="str">
        <f t="shared" si="19"/>
        <v/>
      </c>
      <c r="J152" s="6" t="str">
        <f t="shared" si="20"/>
        <v/>
      </c>
      <c r="K152" s="6" t="str">
        <f t="shared" si="21"/>
        <v/>
      </c>
      <c r="L152" s="6"/>
      <c r="M152" s="110">
        <f>IF(D152="","",ABS(D152-G$5))</f>
        <v>6.2096307443050324E-3</v>
      </c>
    </row>
    <row r="153" spans="2:13" s="107" customFormat="1" ht="12.75" customHeight="1" x14ac:dyDescent="0.4">
      <c r="B153" s="109">
        <v>44039</v>
      </c>
      <c r="C153" s="5">
        <v>3239.41</v>
      </c>
      <c r="D153" s="7">
        <f t="shared" si="22"/>
        <v>7.3679195100667611E-3</v>
      </c>
      <c r="E153" s="5">
        <f t="shared" si="16"/>
        <v>0.39454748990908828</v>
      </c>
      <c r="F153" s="5">
        <f t="shared" si="17"/>
        <v>0.77540015114095107</v>
      </c>
      <c r="G153" s="5">
        <f t="shared" si="23"/>
        <v>0.70603593900824191</v>
      </c>
      <c r="H153" s="6" t="str">
        <f t="shared" si="18"/>
        <v/>
      </c>
      <c r="I153" s="6" t="str">
        <f t="shared" si="19"/>
        <v/>
      </c>
      <c r="J153" s="6" t="str">
        <f t="shared" si="20"/>
        <v/>
      </c>
      <c r="K153" s="6" t="str">
        <f t="shared" si="21"/>
        <v/>
      </c>
      <c r="L153" s="6"/>
      <c r="M153" s="110">
        <f>IF(D153="","",ABS(D153-G$5))</f>
        <v>7.3679195100667611E-3</v>
      </c>
    </row>
    <row r="154" spans="2:13" s="107" customFormat="1" ht="12.75" customHeight="1" x14ac:dyDescent="0.4">
      <c r="B154" s="109">
        <v>44040</v>
      </c>
      <c r="C154" s="5">
        <v>3218.44</v>
      </c>
      <c r="D154" s="7">
        <f t="shared" si="22"/>
        <v>-6.4944443446863422E-3</v>
      </c>
      <c r="E154" s="5">
        <f t="shared" si="16"/>
        <v>0.43497613309416022</v>
      </c>
      <c r="F154" s="5">
        <f t="shared" si="17"/>
        <v>0.68347558894554949</v>
      </c>
      <c r="G154" s="5">
        <f t="shared" si="23"/>
        <v>0.7941899657648227</v>
      </c>
      <c r="H154" s="6" t="str">
        <f t="shared" si="18"/>
        <v/>
      </c>
      <c r="I154" s="6" t="str">
        <f t="shared" si="19"/>
        <v/>
      </c>
      <c r="J154" s="6" t="str">
        <f t="shared" si="20"/>
        <v/>
      </c>
      <c r="K154" s="6" t="str">
        <f t="shared" si="21"/>
        <v/>
      </c>
      <c r="L154" s="6"/>
      <c r="M154" s="110">
        <f>IF(D154="","",ABS(D154-G$5))</f>
        <v>6.4944443446863422E-3</v>
      </c>
    </row>
    <row r="155" spans="2:13" s="107" customFormat="1" ht="12.75" customHeight="1" x14ac:dyDescent="0.4">
      <c r="B155" s="109">
        <v>44041</v>
      </c>
      <c r="C155" s="5">
        <v>3258.44</v>
      </c>
      <c r="D155" s="7">
        <f t="shared" si="22"/>
        <v>1.2351783128253628E-2</v>
      </c>
      <c r="E155" s="5">
        <f t="shared" si="16"/>
        <v>0.69278180610725315</v>
      </c>
      <c r="F155" s="5">
        <f t="shared" si="17"/>
        <v>1.2999021625334408</v>
      </c>
      <c r="G155" s="5">
        <f t="shared" si="23"/>
        <v>1.228579304690131</v>
      </c>
      <c r="H155" s="6" t="str">
        <f t="shared" si="18"/>
        <v/>
      </c>
      <c r="I155" s="6" t="str">
        <f t="shared" si="19"/>
        <v/>
      </c>
      <c r="J155" s="6" t="str">
        <f t="shared" si="20"/>
        <v/>
      </c>
      <c r="K155" s="6" t="str">
        <f t="shared" si="21"/>
        <v/>
      </c>
      <c r="L155" s="6"/>
      <c r="M155" s="110">
        <f>IF(D155="","",ABS(D155-G$5))</f>
        <v>1.2351783128253628E-2</v>
      </c>
    </row>
    <row r="156" spans="2:13" s="107" customFormat="1" ht="12.75" customHeight="1" x14ac:dyDescent="0.4">
      <c r="B156" s="109">
        <v>44042</v>
      </c>
      <c r="C156" s="5">
        <v>3246.22</v>
      </c>
      <c r="D156" s="7">
        <f t="shared" si="22"/>
        <v>-3.7573107206831397E-3</v>
      </c>
      <c r="E156" s="5">
        <f t="shared" si="16"/>
        <v>0.2711861024603418</v>
      </c>
      <c r="F156" s="5">
        <f t="shared" si="17"/>
        <v>0.39541953420102216</v>
      </c>
      <c r="G156" s="5">
        <f t="shared" si="23"/>
        <v>0.50054492332887723</v>
      </c>
      <c r="H156" s="6" t="str">
        <f t="shared" si="18"/>
        <v/>
      </c>
      <c r="I156" s="6" t="str">
        <f t="shared" si="19"/>
        <v/>
      </c>
      <c r="J156" s="6" t="str">
        <f t="shared" si="20"/>
        <v/>
      </c>
      <c r="K156" s="6" t="str">
        <f t="shared" si="21"/>
        <v/>
      </c>
      <c r="L156" s="6"/>
      <c r="M156" s="110">
        <f>IF(D156="","",ABS(D156-G$5))</f>
        <v>3.7573107206831397E-3</v>
      </c>
    </row>
    <row r="157" spans="2:13" s="107" customFormat="1" ht="12.75" customHeight="1" x14ac:dyDescent="0.4">
      <c r="B157" s="109">
        <v>44043</v>
      </c>
      <c r="C157" s="5">
        <v>3271.12</v>
      </c>
      <c r="D157" s="7">
        <f t="shared" si="22"/>
        <v>7.6411913923716676E-3</v>
      </c>
      <c r="E157" s="5">
        <f t="shared" si="16"/>
        <v>0.41090007481088758</v>
      </c>
      <c r="F157" s="5">
        <f t="shared" si="17"/>
        <v>0.80415929523207275</v>
      </c>
      <c r="G157" s="5">
        <f t="shared" si="23"/>
        <v>0.77506438308251535</v>
      </c>
      <c r="H157" s="6" t="str">
        <f t="shared" si="18"/>
        <v/>
      </c>
      <c r="I157" s="6" t="str">
        <f t="shared" si="19"/>
        <v/>
      </c>
      <c r="J157" s="6" t="str">
        <f t="shared" si="20"/>
        <v/>
      </c>
      <c r="K157" s="6" t="str">
        <f t="shared" si="21"/>
        <v/>
      </c>
      <c r="L157" s="6"/>
      <c r="M157" s="110">
        <f>IF(D157="","",ABS(D157-G$5))</f>
        <v>7.6411913923716676E-3</v>
      </c>
    </row>
    <row r="158" spans="2:13" s="107" customFormat="1" ht="12.75" customHeight="1" x14ac:dyDescent="0.4">
      <c r="B158" s="109">
        <v>44046</v>
      </c>
      <c r="C158" s="5">
        <v>3294.61</v>
      </c>
      <c r="D158" s="7">
        <f t="shared" si="22"/>
        <v>7.1553658839056062E-3</v>
      </c>
      <c r="E158" s="5">
        <f t="shared" si="16"/>
        <v>0.38182828444722738</v>
      </c>
      <c r="F158" s="5">
        <f t="shared" si="17"/>
        <v>0.75303099881433677</v>
      </c>
      <c r="G158" s="5">
        <f t="shared" si="23"/>
        <v>0.73821048234233844</v>
      </c>
      <c r="H158" s="6" t="str">
        <f t="shared" si="18"/>
        <v/>
      </c>
      <c r="I158" s="6" t="str">
        <f t="shared" si="19"/>
        <v/>
      </c>
      <c r="J158" s="6" t="str">
        <f t="shared" si="20"/>
        <v/>
      </c>
      <c r="K158" s="6" t="str">
        <f t="shared" si="21"/>
        <v/>
      </c>
      <c r="L158" s="6"/>
      <c r="M158" s="110">
        <f>IF(D158="","",ABS(D158-G$5))</f>
        <v>7.1553658839056062E-3</v>
      </c>
    </row>
    <row r="159" spans="2:13" s="107" customFormat="1" ht="12.75" customHeight="1" x14ac:dyDescent="0.4">
      <c r="B159" s="109">
        <v>44047</v>
      </c>
      <c r="C159" s="5">
        <v>3306.51</v>
      </c>
      <c r="D159" s="7">
        <f t="shared" si="22"/>
        <v>3.6054526780178501E-3</v>
      </c>
      <c r="E159" s="5">
        <f t="shared" si="16"/>
        <v>0.16940153712264305</v>
      </c>
      <c r="F159" s="5">
        <f t="shared" si="17"/>
        <v>0.37943798756852271</v>
      </c>
      <c r="G159" s="5">
        <f t="shared" si="23"/>
        <v>0.343190664984867</v>
      </c>
      <c r="H159" s="6" t="str">
        <f t="shared" si="18"/>
        <v/>
      </c>
      <c r="I159" s="6" t="str">
        <f t="shared" si="19"/>
        <v/>
      </c>
      <c r="J159" s="6" t="str">
        <f t="shared" si="20"/>
        <v/>
      </c>
      <c r="K159" s="6" t="str">
        <f t="shared" si="21"/>
        <v/>
      </c>
      <c r="L159" s="6"/>
      <c r="M159" s="110">
        <f>IF(D159="","",ABS(D159-G$5))</f>
        <v>3.6054526780178501E-3</v>
      </c>
    </row>
    <row r="160" spans="2:13" s="107" customFormat="1" ht="12.75" customHeight="1" x14ac:dyDescent="0.4">
      <c r="B160" s="109">
        <v>44048</v>
      </c>
      <c r="C160" s="5">
        <v>3327.77</v>
      </c>
      <c r="D160" s="7">
        <f t="shared" si="22"/>
        <v>6.4091575198012216E-3</v>
      </c>
      <c r="E160" s="5">
        <f t="shared" si="16"/>
        <v>0.33717518832358495</v>
      </c>
      <c r="F160" s="5">
        <f t="shared" si="17"/>
        <v>0.67449999999999999</v>
      </c>
      <c r="G160" s="5">
        <f t="shared" si="23"/>
        <v>0.7020639088101619</v>
      </c>
      <c r="H160" s="6" t="str">
        <f t="shared" si="18"/>
        <v/>
      </c>
      <c r="I160" s="6" t="str">
        <f t="shared" si="19"/>
        <v/>
      </c>
      <c r="J160" s="6" t="str">
        <f t="shared" si="20"/>
        <v/>
      </c>
      <c r="K160" s="6" t="str">
        <f t="shared" si="21"/>
        <v/>
      </c>
      <c r="L160" s="6"/>
      <c r="M160" s="110">
        <f>IF(D160="","",ABS(D160-G$5))</f>
        <v>6.4091575198012216E-3</v>
      </c>
    </row>
    <row r="161" spans="2:13" s="107" customFormat="1" ht="12.75" customHeight="1" x14ac:dyDescent="0.4">
      <c r="B161" s="109">
        <v>44049</v>
      </c>
      <c r="C161" s="5">
        <v>3349.16</v>
      </c>
      <c r="D161" s="7">
        <f t="shared" si="22"/>
        <v>6.4071581324233757E-3</v>
      </c>
      <c r="E161" s="5">
        <f t="shared" si="16"/>
        <v>0.33705554501607726</v>
      </c>
      <c r="F161" s="5">
        <f t="shared" si="17"/>
        <v>0.6742895843904303</v>
      </c>
      <c r="G161" s="5">
        <f t="shared" si="23"/>
        <v>0.72032950804839058</v>
      </c>
      <c r="H161" s="6" t="str">
        <f t="shared" si="18"/>
        <v/>
      </c>
      <c r="I161" s="6" t="str">
        <f t="shared" si="19"/>
        <v/>
      </c>
      <c r="J161" s="6" t="str">
        <f t="shared" si="20"/>
        <v/>
      </c>
      <c r="K161" s="6" t="str">
        <f t="shared" si="21"/>
        <v/>
      </c>
      <c r="L161" s="6"/>
      <c r="M161" s="110">
        <f>IF(D161="","",ABS(D161-G$5))</f>
        <v>6.4071581324233757E-3</v>
      </c>
    </row>
    <row r="162" spans="2:13" s="107" customFormat="1" ht="12.75" customHeight="1" x14ac:dyDescent="0.4">
      <c r="B162" s="109">
        <v>44050</v>
      </c>
      <c r="C162" s="5">
        <v>3351.28</v>
      </c>
      <c r="D162" s="7">
        <f t="shared" si="22"/>
        <v>6.3279428537303944E-4</v>
      </c>
      <c r="E162" s="5">
        <f t="shared" si="16"/>
        <v>8.4822917578286187E-3</v>
      </c>
      <c r="F162" s="5">
        <f t="shared" si="17"/>
        <v>6.6595296521492389E-2</v>
      </c>
      <c r="G162" s="5">
        <f t="shared" si="23"/>
        <v>1.9107934892893013E-2</v>
      </c>
      <c r="H162" s="6" t="str">
        <f t="shared" si="18"/>
        <v/>
      </c>
      <c r="I162" s="6" t="str">
        <f t="shared" si="19"/>
        <v/>
      </c>
      <c r="J162" s="6" t="str">
        <f t="shared" si="20"/>
        <v/>
      </c>
      <c r="K162" s="6" t="str">
        <f t="shared" si="21"/>
        <v/>
      </c>
      <c r="L162" s="6"/>
      <c r="M162" s="110">
        <f>IF(D162="","",ABS(D162-G$5))</f>
        <v>6.3279428537303944E-4</v>
      </c>
    </row>
    <row r="163" spans="2:13" s="107" customFormat="1" ht="12.75" customHeight="1" x14ac:dyDescent="0.4">
      <c r="B163" s="109">
        <v>44053</v>
      </c>
      <c r="C163" s="5">
        <v>3360.47</v>
      </c>
      <c r="D163" s="7">
        <f t="shared" si="22"/>
        <v>2.7384827334759297E-3</v>
      </c>
      <c r="E163" s="5">
        <f t="shared" si="16"/>
        <v>0.11752207002982461</v>
      </c>
      <c r="F163" s="5">
        <f t="shared" si="17"/>
        <v>0.28819803508071712</v>
      </c>
      <c r="G163" s="5">
        <f t="shared" si="23"/>
        <v>0.27798044312245535</v>
      </c>
      <c r="H163" s="6" t="str">
        <f t="shared" si="18"/>
        <v/>
      </c>
      <c r="I163" s="6" t="str">
        <f t="shared" si="19"/>
        <v/>
      </c>
      <c r="J163" s="6" t="str">
        <f t="shared" si="20"/>
        <v/>
      </c>
      <c r="K163" s="6" t="str">
        <f t="shared" si="21"/>
        <v/>
      </c>
      <c r="L163" s="6"/>
      <c r="M163" s="110">
        <f>IF(D163="","",ABS(D163-G$5))</f>
        <v>2.7384827334759297E-3</v>
      </c>
    </row>
    <row r="164" spans="2:13" s="107" customFormat="1" ht="12.75" customHeight="1" x14ac:dyDescent="0.4">
      <c r="B164" s="109">
        <v>44054</v>
      </c>
      <c r="C164" s="5">
        <v>3333.69</v>
      </c>
      <c r="D164" s="7">
        <f t="shared" si="22"/>
        <v>-8.0010465432212886E-3</v>
      </c>
      <c r="E164" s="5">
        <f t="shared" si="16"/>
        <v>0.52513118365033584</v>
      </c>
      <c r="F164" s="5">
        <f t="shared" si="17"/>
        <v>0.84203046605260157</v>
      </c>
      <c r="G164" s="5">
        <f t="shared" si="23"/>
        <v>1.2097161900757978</v>
      </c>
      <c r="H164" s="6" t="str">
        <f t="shared" si="18"/>
        <v/>
      </c>
      <c r="I164" s="6" t="str">
        <f t="shared" si="19"/>
        <v/>
      </c>
      <c r="J164" s="6" t="str">
        <f t="shared" si="20"/>
        <v/>
      </c>
      <c r="K164" s="6" t="str">
        <f t="shared" si="21"/>
        <v/>
      </c>
      <c r="L164" s="6"/>
      <c r="M164" s="110">
        <f>IF(D164="","",ABS(D164-G$5))</f>
        <v>8.0010465432212886E-3</v>
      </c>
    </row>
    <row r="165" spans="2:13" s="107" customFormat="1" ht="12.75" customHeight="1" x14ac:dyDescent="0.4">
      <c r="B165" s="109">
        <v>44055</v>
      </c>
      <c r="C165" s="5">
        <v>3380.35</v>
      </c>
      <c r="D165" s="7">
        <f t="shared" si="22"/>
        <v>1.3899455827979215E-2</v>
      </c>
      <c r="E165" s="5">
        <f t="shared" si="16"/>
        <v>0.78539451477305477</v>
      </c>
      <c r="F165" s="5">
        <f t="shared" si="17"/>
        <v>1.4627793008686654</v>
      </c>
      <c r="G165" s="5">
        <f t="shared" si="23"/>
        <v>1.6331272850216447</v>
      </c>
      <c r="H165" s="6" t="str">
        <f t="shared" si="18"/>
        <v/>
      </c>
      <c r="I165" s="6" t="str">
        <f t="shared" si="19"/>
        <v/>
      </c>
      <c r="J165" s="6" t="str">
        <f t="shared" si="20"/>
        <v/>
      </c>
      <c r="K165" s="6" t="str">
        <f t="shared" si="21"/>
        <v/>
      </c>
      <c r="L165" s="6"/>
      <c r="M165" s="110">
        <f>IF(D165="","",ABS(D165-G$5))</f>
        <v>1.3899455827979215E-2</v>
      </c>
    </row>
    <row r="166" spans="2:13" s="107" customFormat="1" ht="12.75" customHeight="1" x14ac:dyDescent="0.4">
      <c r="B166" s="109">
        <v>44056</v>
      </c>
      <c r="C166" s="5">
        <v>3373.43</v>
      </c>
      <c r="D166" s="7">
        <f t="shared" si="22"/>
        <v>-2.0492235227105187E-3</v>
      </c>
      <c r="E166" s="5">
        <f t="shared" si="16"/>
        <v>0.16897419288173901</v>
      </c>
      <c r="F166" s="5">
        <f t="shared" si="17"/>
        <v>0.21566036749727341</v>
      </c>
      <c r="G166" s="5">
        <f t="shared" si="23"/>
        <v>0.36785181961358476</v>
      </c>
      <c r="H166" s="6" t="str">
        <f t="shared" si="18"/>
        <v/>
      </c>
      <c r="I166" s="6" t="str">
        <f t="shared" si="19"/>
        <v/>
      </c>
      <c r="J166" s="6" t="str">
        <f t="shared" si="20"/>
        <v/>
      </c>
      <c r="K166" s="6" t="str">
        <f t="shared" si="21"/>
        <v/>
      </c>
      <c r="L166" s="6"/>
      <c r="M166" s="110">
        <f>IF(D166="","",ABS(D166-G$5))</f>
        <v>2.0492235227105187E-3</v>
      </c>
    </row>
    <row r="167" spans="2:13" s="107" customFormat="1" ht="12.75" customHeight="1" x14ac:dyDescent="0.4">
      <c r="B167" s="109">
        <v>44057</v>
      </c>
      <c r="C167" s="5">
        <v>3372.85</v>
      </c>
      <c r="D167" s="7">
        <f t="shared" si="22"/>
        <v>-1.7194661396471121E-4</v>
      </c>
      <c r="E167" s="5">
        <f t="shared" si="16"/>
        <v>5.6637973818406948E-2</v>
      </c>
      <c r="F167" s="5">
        <f t="shared" si="17"/>
        <v>1.8095668699182593E-2</v>
      </c>
      <c r="G167" s="5">
        <f t="shared" si="23"/>
        <v>0.1298591298969633</v>
      </c>
      <c r="H167" s="6" t="str">
        <f t="shared" si="18"/>
        <v/>
      </c>
      <c r="I167" s="6" t="str">
        <f t="shared" si="19"/>
        <v/>
      </c>
      <c r="J167" s="6" t="str">
        <f t="shared" si="20"/>
        <v/>
      </c>
      <c r="K167" s="6" t="str">
        <f t="shared" si="21"/>
        <v/>
      </c>
      <c r="L167" s="6"/>
      <c r="M167" s="110">
        <f>IF(D167="","",ABS(D167-G$5))</f>
        <v>1.7194661396471121E-4</v>
      </c>
    </row>
    <row r="168" spans="2:13" s="107" customFormat="1" ht="12.75" customHeight="1" x14ac:dyDescent="0.4">
      <c r="B168" s="109">
        <v>44060</v>
      </c>
      <c r="C168" s="5">
        <v>3381.99</v>
      </c>
      <c r="D168" s="7">
        <f t="shared" si="22"/>
        <v>2.7062093485908582E-3</v>
      </c>
      <c r="E168" s="5">
        <f t="shared" si="16"/>
        <v>0.11559083121392358</v>
      </c>
      <c r="F168" s="5">
        <f t="shared" si="17"/>
        <v>0.28480158273300576</v>
      </c>
      <c r="G168" s="5">
        <f t="shared" si="23"/>
        <v>0.27827795889722073</v>
      </c>
      <c r="H168" s="6" t="str">
        <f t="shared" si="18"/>
        <v/>
      </c>
      <c r="I168" s="6" t="str">
        <f t="shared" si="19"/>
        <v/>
      </c>
      <c r="J168" s="6" t="str">
        <f t="shared" si="20"/>
        <v/>
      </c>
      <c r="K168" s="6" t="str">
        <f t="shared" si="21"/>
        <v/>
      </c>
      <c r="L168" s="6"/>
      <c r="M168" s="110">
        <f>IF(D168="","",ABS(D168-G$5))</f>
        <v>2.7062093485908582E-3</v>
      </c>
    </row>
    <row r="169" spans="2:13" s="107" customFormat="1" ht="12.75" customHeight="1" x14ac:dyDescent="0.4">
      <c r="B169" s="109">
        <v>44061</v>
      </c>
      <c r="C169" s="5">
        <v>3389.78</v>
      </c>
      <c r="D169" s="7">
        <f t="shared" si="22"/>
        <v>2.3007288895721292E-3</v>
      </c>
      <c r="E169" s="5">
        <f t="shared" si="16"/>
        <v>9.1326887275754096E-2</v>
      </c>
      <c r="F169" s="5">
        <f t="shared" si="17"/>
        <v>0.24212880261125663</v>
      </c>
      <c r="G169" s="5">
        <f t="shared" si="23"/>
        <v>0.23113707791554974</v>
      </c>
      <c r="H169" s="6" t="str">
        <f t="shared" si="18"/>
        <v/>
      </c>
      <c r="I169" s="6" t="str">
        <f t="shared" si="19"/>
        <v/>
      </c>
      <c r="J169" s="6" t="str">
        <f t="shared" si="20"/>
        <v/>
      </c>
      <c r="K169" s="6" t="str">
        <f t="shared" si="21"/>
        <v/>
      </c>
      <c r="L169" s="6"/>
      <c r="M169" s="110">
        <f>IF(D169="","",ABS(D169-G$5))</f>
        <v>2.3007288895721292E-3</v>
      </c>
    </row>
    <row r="170" spans="2:13" s="107" customFormat="1" ht="12.75" customHeight="1" x14ac:dyDescent="0.4">
      <c r="B170" s="109">
        <v>44062</v>
      </c>
      <c r="C170" s="5">
        <v>3374.85</v>
      </c>
      <c r="D170" s="7">
        <f t="shared" si="22"/>
        <v>-4.4141436389460408E-3</v>
      </c>
      <c r="E170" s="5">
        <f t="shared" si="16"/>
        <v>0.31049097338813947</v>
      </c>
      <c r="F170" s="5">
        <f t="shared" si="17"/>
        <v>0.46454465743282991</v>
      </c>
      <c r="G170" s="5">
        <f t="shared" si="23"/>
        <v>0.80128820585670291</v>
      </c>
      <c r="H170" s="6" t="str">
        <f t="shared" si="18"/>
        <v/>
      </c>
      <c r="I170" s="6" t="str">
        <f t="shared" si="19"/>
        <v/>
      </c>
      <c r="J170" s="6" t="str">
        <f t="shared" si="20"/>
        <v/>
      </c>
      <c r="K170" s="6" t="str">
        <f t="shared" si="21"/>
        <v/>
      </c>
      <c r="L170" s="6"/>
      <c r="M170" s="110">
        <f>IF(D170="","",ABS(D170-G$5))</f>
        <v>4.4141436389460408E-3</v>
      </c>
    </row>
    <row r="171" spans="2:13" s="107" customFormat="1" ht="12.75" customHeight="1" x14ac:dyDescent="0.4">
      <c r="B171" s="109">
        <v>44063</v>
      </c>
      <c r="C171" s="5">
        <v>3385.51</v>
      </c>
      <c r="D171" s="7">
        <f t="shared" si="22"/>
        <v>3.1536808202811935E-3</v>
      </c>
      <c r="E171" s="5">
        <f t="shared" si="16"/>
        <v>0.14236751665346281</v>
      </c>
      <c r="F171" s="5">
        <f t="shared" si="17"/>
        <v>0.33189349874890234</v>
      </c>
      <c r="G171" s="5">
        <f t="shared" si="23"/>
        <v>0.3844117418981467</v>
      </c>
      <c r="H171" s="6" t="str">
        <f t="shared" si="18"/>
        <v/>
      </c>
      <c r="I171" s="6" t="str">
        <f t="shared" si="19"/>
        <v/>
      </c>
      <c r="J171" s="6" t="str">
        <f t="shared" si="20"/>
        <v/>
      </c>
      <c r="K171" s="6" t="str">
        <f t="shared" si="21"/>
        <v/>
      </c>
      <c r="L171" s="6"/>
      <c r="M171" s="110">
        <f>IF(D171="","",ABS(D171-G$5))</f>
        <v>3.1536808202811935E-3</v>
      </c>
    </row>
    <row r="172" spans="2:13" s="107" customFormat="1" ht="12.75" customHeight="1" x14ac:dyDescent="0.4">
      <c r="B172" s="109">
        <v>44064</v>
      </c>
      <c r="C172" s="5">
        <v>3397.16</v>
      </c>
      <c r="D172" s="7">
        <f t="shared" si="22"/>
        <v>3.4352287393030465E-3</v>
      </c>
      <c r="E172" s="5">
        <f t="shared" si="16"/>
        <v>0.15921533945505184</v>
      </c>
      <c r="F172" s="5">
        <f t="shared" si="17"/>
        <v>0.36152361328322724</v>
      </c>
      <c r="G172" s="5">
        <f t="shared" si="23"/>
        <v>0.44857533976343006</v>
      </c>
      <c r="H172" s="6" t="str">
        <f t="shared" si="18"/>
        <v/>
      </c>
      <c r="I172" s="6" t="str">
        <f t="shared" si="19"/>
        <v/>
      </c>
      <c r="J172" s="6" t="str">
        <f t="shared" si="20"/>
        <v/>
      </c>
      <c r="K172" s="6" t="str">
        <f t="shared" si="21"/>
        <v/>
      </c>
      <c r="L172" s="6"/>
      <c r="M172" s="110">
        <f>IF(D172="","",ABS(D172-G$5))</f>
        <v>3.4352287393030465E-3</v>
      </c>
    </row>
    <row r="173" spans="2:13" s="107" customFormat="1" ht="12.75" customHeight="1" x14ac:dyDescent="0.4">
      <c r="B173" s="109">
        <v>44067</v>
      </c>
      <c r="C173" s="5">
        <v>3431.28</v>
      </c>
      <c r="D173" s="7">
        <f t="shared" si="22"/>
        <v>9.9935809549321058E-3</v>
      </c>
      <c r="E173" s="5">
        <f t="shared" si="16"/>
        <v>0.55166702719333294</v>
      </c>
      <c r="F173" s="5">
        <f t="shared" si="17"/>
        <v>1.0517248691854222</v>
      </c>
      <c r="G173" s="5">
        <f t="shared" si="23"/>
        <v>1.4547051232526447</v>
      </c>
      <c r="H173" s="6" t="str">
        <f t="shared" si="18"/>
        <v/>
      </c>
      <c r="I173" s="6" t="str">
        <f t="shared" si="19"/>
        <v/>
      </c>
      <c r="J173" s="6" t="str">
        <f t="shared" si="20"/>
        <v/>
      </c>
      <c r="K173" s="6" t="str">
        <f t="shared" si="21"/>
        <v/>
      </c>
      <c r="L173" s="6"/>
      <c r="M173" s="110">
        <f>IF(D173="","",ABS(D173-G$5))</f>
        <v>9.9935809549321058E-3</v>
      </c>
    </row>
    <row r="174" spans="2:13" s="107" customFormat="1" ht="12.75" customHeight="1" x14ac:dyDescent="0.4">
      <c r="B174" s="109">
        <v>44068</v>
      </c>
      <c r="C174" s="5">
        <v>3443.62</v>
      </c>
      <c r="D174" s="7">
        <f t="shared" si="22"/>
        <v>3.58987425339455E-3</v>
      </c>
      <c r="E174" s="5">
        <f t="shared" si="16"/>
        <v>0.16846932445173035</v>
      </c>
      <c r="F174" s="5">
        <f t="shared" si="17"/>
        <v>0.3777985135228385</v>
      </c>
      <c r="G174" s="5">
        <f t="shared" si="23"/>
        <v>0.46322011942240082</v>
      </c>
      <c r="H174" s="6" t="str">
        <f t="shared" si="18"/>
        <v/>
      </c>
      <c r="I174" s="6" t="str">
        <f t="shared" si="19"/>
        <v/>
      </c>
      <c r="J174" s="6" t="str">
        <f t="shared" si="20"/>
        <v/>
      </c>
      <c r="K174" s="6" t="str">
        <f t="shared" si="21"/>
        <v/>
      </c>
      <c r="L174" s="6"/>
      <c r="M174" s="110">
        <f>IF(D174="","",ABS(D174-G$5))</f>
        <v>3.58987425339455E-3</v>
      </c>
    </row>
    <row r="175" spans="2:13" s="107" customFormat="1" ht="12.75" customHeight="1" x14ac:dyDescent="0.4">
      <c r="B175" s="109">
        <v>44069</v>
      </c>
      <c r="C175" s="5">
        <v>3478.73</v>
      </c>
      <c r="D175" s="7">
        <f t="shared" si="22"/>
        <v>1.0144040989640822E-2</v>
      </c>
      <c r="E175" s="5">
        <f t="shared" si="16"/>
        <v>0.56067055317320935</v>
      </c>
      <c r="F175" s="5">
        <f t="shared" si="17"/>
        <v>1.0675592894032884</v>
      </c>
      <c r="G175" s="5">
        <f t="shared" si="23"/>
        <v>1.4453361318944555</v>
      </c>
      <c r="H175" s="6" t="str">
        <f t="shared" si="18"/>
        <v/>
      </c>
      <c r="I175" s="6" t="str">
        <f t="shared" si="19"/>
        <v/>
      </c>
      <c r="J175" s="6" t="str">
        <f t="shared" si="20"/>
        <v/>
      </c>
      <c r="K175" s="6" t="str">
        <f t="shared" si="21"/>
        <v/>
      </c>
      <c r="L175" s="6"/>
      <c r="M175" s="110">
        <f>IF(D175="","",ABS(D175-G$5))</f>
        <v>1.0144040989640822E-2</v>
      </c>
    </row>
    <row r="176" spans="2:13" s="107" customFormat="1" ht="12.75" customHeight="1" x14ac:dyDescent="0.4">
      <c r="B176" s="109">
        <v>44070</v>
      </c>
      <c r="C176" s="5">
        <v>3484.55</v>
      </c>
      <c r="D176" s="7">
        <f t="shared" si="22"/>
        <v>1.6716264045830256E-3</v>
      </c>
      <c r="E176" s="5">
        <f t="shared" si="16"/>
        <v>5.3681405014835433E-2</v>
      </c>
      <c r="F176" s="5">
        <f t="shared" si="17"/>
        <v>0.17592203131344167</v>
      </c>
      <c r="G176" s="5">
        <f t="shared" si="23"/>
        <v>0.14571430206570676</v>
      </c>
      <c r="H176" s="6" t="str">
        <f t="shared" si="18"/>
        <v/>
      </c>
      <c r="I176" s="6" t="str">
        <f t="shared" si="19"/>
        <v/>
      </c>
      <c r="J176" s="6" t="str">
        <f t="shared" si="20"/>
        <v/>
      </c>
      <c r="K176" s="6" t="str">
        <f t="shared" si="21"/>
        <v/>
      </c>
      <c r="L176" s="6"/>
      <c r="M176" s="110">
        <f>IF(D176="","",ABS(D176-G$5))</f>
        <v>1.6716264045830256E-3</v>
      </c>
    </row>
    <row r="177" spans="2:13" s="107" customFormat="1" ht="12.75" customHeight="1" x14ac:dyDescent="0.4">
      <c r="B177" s="109">
        <v>44071</v>
      </c>
      <c r="C177" s="5">
        <v>3508.01</v>
      </c>
      <c r="D177" s="7">
        <f t="shared" si="22"/>
        <v>6.7100140785116896E-3</v>
      </c>
      <c r="E177" s="5">
        <f t="shared" si="16"/>
        <v>0.35517843980368702</v>
      </c>
      <c r="F177" s="5">
        <f t="shared" si="17"/>
        <v>0.70616215656632886</v>
      </c>
      <c r="G177" s="5">
        <f t="shared" si="23"/>
        <v>0.96752276468865772</v>
      </c>
      <c r="H177" s="6" t="str">
        <f t="shared" si="18"/>
        <v/>
      </c>
      <c r="I177" s="6" t="str">
        <f t="shared" si="19"/>
        <v/>
      </c>
      <c r="J177" s="6" t="str">
        <f t="shared" si="20"/>
        <v/>
      </c>
      <c r="K177" s="6" t="str">
        <f t="shared" si="21"/>
        <v/>
      </c>
      <c r="L177" s="6"/>
      <c r="M177" s="110">
        <f>IF(D177="","",ABS(D177-G$5))</f>
        <v>6.7100140785116896E-3</v>
      </c>
    </row>
    <row r="178" spans="2:13" s="107" customFormat="1" ht="12.75" customHeight="1" x14ac:dyDescent="0.4">
      <c r="B178" s="109">
        <v>44074</v>
      </c>
      <c r="C178" s="5">
        <v>3500.31</v>
      </c>
      <c r="D178" s="7">
        <f t="shared" si="22"/>
        <v>-2.1973891312895358E-3</v>
      </c>
      <c r="E178" s="5">
        <f t="shared" si="16"/>
        <v>0.17784042044009341</v>
      </c>
      <c r="F178" s="5">
        <f t="shared" si="17"/>
        <v>0.23125332221523553</v>
      </c>
      <c r="G178" s="5">
        <f t="shared" si="23"/>
        <v>0.50412004844799063</v>
      </c>
      <c r="H178" s="6" t="str">
        <f t="shared" si="18"/>
        <v/>
      </c>
      <c r="I178" s="6" t="str">
        <f t="shared" si="19"/>
        <v/>
      </c>
      <c r="J178" s="6" t="str">
        <f t="shared" si="20"/>
        <v/>
      </c>
      <c r="K178" s="6" t="str">
        <f t="shared" si="21"/>
        <v/>
      </c>
      <c r="L178" s="6"/>
      <c r="M178" s="110">
        <f>IF(D178="","",ABS(D178-G$5))</f>
        <v>2.1973891312895358E-3</v>
      </c>
    </row>
    <row r="179" spans="2:13" s="107" customFormat="1" ht="12.75" customHeight="1" x14ac:dyDescent="0.4">
      <c r="B179" s="109">
        <v>44075</v>
      </c>
      <c r="C179" s="5">
        <v>3526.65</v>
      </c>
      <c r="D179" s="7">
        <f t="shared" si="22"/>
        <v>7.496875851234013E-3</v>
      </c>
      <c r="E179" s="5">
        <f t="shared" si="16"/>
        <v>0.40226423522432714</v>
      </c>
      <c r="F179" s="5">
        <f t="shared" si="17"/>
        <v>0.78897152176939667</v>
      </c>
      <c r="G179" s="5">
        <f t="shared" si="23"/>
        <v>1.1235459653629021</v>
      </c>
      <c r="H179" s="6" t="str">
        <f t="shared" si="18"/>
        <v/>
      </c>
      <c r="I179" s="6" t="str">
        <f t="shared" si="19"/>
        <v/>
      </c>
      <c r="J179" s="6" t="str">
        <f t="shared" si="20"/>
        <v/>
      </c>
      <c r="K179" s="6" t="str">
        <f t="shared" si="21"/>
        <v/>
      </c>
      <c r="L179" s="6"/>
      <c r="M179" s="110">
        <f>IF(D179="","",ABS(D179-G$5))</f>
        <v>7.496875851234013E-3</v>
      </c>
    </row>
    <row r="180" spans="2:13" s="107" customFormat="1" ht="12.75" customHeight="1" x14ac:dyDescent="0.4">
      <c r="B180" s="109">
        <v>44076</v>
      </c>
      <c r="C180" s="5">
        <v>3580.84</v>
      </c>
      <c r="D180" s="7">
        <f t="shared" si="22"/>
        <v>1.5248997908235747E-2</v>
      </c>
      <c r="E180" s="5">
        <f t="shared" si="16"/>
        <v>0.86615109045808092</v>
      </c>
      <c r="F180" s="5">
        <f t="shared" si="17"/>
        <v>1.604805164692537</v>
      </c>
      <c r="G180" s="5">
        <f t="shared" si="23"/>
        <v>1.9850541833770312</v>
      </c>
      <c r="H180" s="6" t="str">
        <f t="shared" si="18"/>
        <v/>
      </c>
      <c r="I180" s="6" t="str">
        <f t="shared" si="19"/>
        <v/>
      </c>
      <c r="J180" s="6" t="str">
        <f t="shared" si="20"/>
        <v/>
      </c>
      <c r="K180" s="6" t="str">
        <f t="shared" si="21"/>
        <v/>
      </c>
      <c r="L180" s="6"/>
      <c r="M180" s="110">
        <f>IF(D180="","",ABS(D180-G$5))</f>
        <v>1.5248997908235747E-2</v>
      </c>
    </row>
    <row r="181" spans="2:13" s="107" customFormat="1" ht="12.75" customHeight="1" x14ac:dyDescent="0.4">
      <c r="B181" s="109">
        <v>44077</v>
      </c>
      <c r="C181" s="5">
        <v>3455.06</v>
      </c>
      <c r="D181" s="7">
        <f t="shared" si="22"/>
        <v>-3.5757586556313434E-2</v>
      </c>
      <c r="E181" s="5">
        <f t="shared" si="16"/>
        <v>2.1860820773754459</v>
      </c>
      <c r="F181" s="5">
        <f t="shared" si="17"/>
        <v>3.7631298743585004</v>
      </c>
      <c r="G181" s="5">
        <f t="shared" si="23"/>
        <v>2.7130754091420108</v>
      </c>
      <c r="H181" s="6" t="str">
        <f t="shared" si="18"/>
        <v/>
      </c>
      <c r="I181" s="6" t="str">
        <f t="shared" si="19"/>
        <v>OUTLIER</v>
      </c>
      <c r="J181" s="6" t="str">
        <f t="shared" si="20"/>
        <v/>
      </c>
      <c r="K181" s="6" t="str">
        <f t="shared" si="21"/>
        <v/>
      </c>
      <c r="L181" s="6"/>
      <c r="M181" s="110">
        <f>IF(D181="","",ABS(D181-G$5))</f>
        <v>3.5757586556313434E-2</v>
      </c>
    </row>
    <row r="182" spans="2:13" s="107" customFormat="1" ht="12.75" customHeight="1" x14ac:dyDescent="0.4">
      <c r="B182" s="109">
        <v>44078</v>
      </c>
      <c r="C182" s="5">
        <v>3426.96</v>
      </c>
      <c r="D182" s="7">
        <f t="shared" si="22"/>
        <v>-8.1662523968659001E-3</v>
      </c>
      <c r="E182" s="5">
        <f t="shared" si="16"/>
        <v>0.53501709919060891</v>
      </c>
      <c r="F182" s="5">
        <f t="shared" si="17"/>
        <v>0.85941673685949327</v>
      </c>
      <c r="G182" s="5">
        <f t="shared" si="23"/>
        <v>0.68337123020788404</v>
      </c>
      <c r="H182" s="6" t="str">
        <f t="shared" si="18"/>
        <v/>
      </c>
      <c r="I182" s="6" t="str">
        <f t="shared" si="19"/>
        <v/>
      </c>
      <c r="J182" s="6" t="str">
        <f t="shared" si="20"/>
        <v/>
      </c>
      <c r="K182" s="6" t="str">
        <f t="shared" si="21"/>
        <v/>
      </c>
      <c r="L182" s="6"/>
      <c r="M182" s="110">
        <f>IF(D182="","",ABS(D182-G$5))</f>
        <v>8.1662523968659001E-3</v>
      </c>
    </row>
    <row r="183" spans="2:13" s="107" customFormat="1" ht="12.75" customHeight="1" x14ac:dyDescent="0.4">
      <c r="B183" s="109">
        <v>44081</v>
      </c>
      <c r="C183" s="5"/>
      <c r="D183" s="7" t="str">
        <f t="shared" si="22"/>
        <v/>
      </c>
      <c r="E183" s="5" t="str">
        <f t="shared" si="16"/>
        <v/>
      </c>
      <c r="F183" s="5" t="str">
        <f t="shared" si="17"/>
        <v/>
      </c>
      <c r="G183" s="5" t="str">
        <f t="shared" si="23"/>
        <v/>
      </c>
      <c r="H183" s="6" t="str">
        <f t="shared" si="18"/>
        <v/>
      </c>
      <c r="I183" s="6" t="str">
        <f t="shared" si="19"/>
        <v/>
      </c>
      <c r="J183" s="6" t="str">
        <f t="shared" si="20"/>
        <v/>
      </c>
      <c r="K183" s="6" t="str">
        <f t="shared" si="21"/>
        <v>MISSING</v>
      </c>
      <c r="L183" s="6"/>
      <c r="M183" s="110" t="str">
        <f>IF(D183="","",ABS(D183-G$5))</f>
        <v/>
      </c>
    </row>
    <row r="184" spans="2:13" s="107" customFormat="1" ht="12.75" customHeight="1" x14ac:dyDescent="0.4">
      <c r="B184" s="109">
        <v>44082</v>
      </c>
      <c r="C184" s="5">
        <v>3331.84</v>
      </c>
      <c r="D184" s="7" t="str">
        <f t="shared" si="22"/>
        <v/>
      </c>
      <c r="E184" s="5" t="str">
        <f t="shared" si="16"/>
        <v/>
      </c>
      <c r="F184" s="5" t="str">
        <f t="shared" si="17"/>
        <v/>
      </c>
      <c r="G184" s="5" t="str">
        <f t="shared" si="23"/>
        <v/>
      </c>
      <c r="H184" s="6" t="str">
        <f t="shared" si="18"/>
        <v/>
      </c>
      <c r="I184" s="6" t="str">
        <f t="shared" si="19"/>
        <v/>
      </c>
      <c r="J184" s="6" t="str">
        <f t="shared" si="20"/>
        <v/>
      </c>
      <c r="K184" s="6" t="str">
        <f t="shared" si="21"/>
        <v/>
      </c>
      <c r="L184" s="6"/>
      <c r="M184" s="110" t="str">
        <f>IF(D184="","",ABS(D184-G$5))</f>
        <v/>
      </c>
    </row>
    <row r="185" spans="2:13" s="107" customFormat="1" ht="12.75" customHeight="1" x14ac:dyDescent="0.4">
      <c r="B185" s="109">
        <v>44083</v>
      </c>
      <c r="C185" s="5">
        <v>3398.96</v>
      </c>
      <c r="D185" s="7">
        <f t="shared" si="22"/>
        <v>1.9944798533671326E-2</v>
      </c>
      <c r="E185" s="5">
        <f t="shared" si="16"/>
        <v>1.1471477219508142</v>
      </c>
      <c r="F185" s="5">
        <f t="shared" si="17"/>
        <v>2.09899141492446</v>
      </c>
      <c r="G185" s="5">
        <f t="shared" si="23"/>
        <v>1.1294441935345845</v>
      </c>
      <c r="H185" s="6" t="str">
        <f t="shared" si="18"/>
        <v/>
      </c>
      <c r="I185" s="6" t="str">
        <f t="shared" si="19"/>
        <v/>
      </c>
      <c r="J185" s="6" t="str">
        <f t="shared" si="20"/>
        <v/>
      </c>
      <c r="K185" s="6" t="str">
        <f t="shared" si="21"/>
        <v/>
      </c>
      <c r="L185" s="6"/>
      <c r="M185" s="110">
        <f>IF(D185="","",ABS(D185-G$5))</f>
        <v>1.9944798533671326E-2</v>
      </c>
    </row>
    <row r="186" spans="2:13" s="107" customFormat="1" ht="12.75" customHeight="1" x14ac:dyDescent="0.4">
      <c r="B186" s="109">
        <v>44084</v>
      </c>
      <c r="C186" s="5">
        <v>3339.19</v>
      </c>
      <c r="D186" s="7">
        <f t="shared" si="22"/>
        <v>-1.774123987058698E-2</v>
      </c>
      <c r="E186" s="5">
        <f t="shared" si="16"/>
        <v>1.1079841907078654</v>
      </c>
      <c r="F186" s="5">
        <f t="shared" si="17"/>
        <v>1.8670888109303412</v>
      </c>
      <c r="G186" s="5">
        <f t="shared" si="23"/>
        <v>1.0806654277599823</v>
      </c>
      <c r="H186" s="6" t="str">
        <f t="shared" si="18"/>
        <v/>
      </c>
      <c r="I186" s="6" t="str">
        <f t="shared" si="19"/>
        <v/>
      </c>
      <c r="J186" s="6" t="str">
        <f t="shared" si="20"/>
        <v/>
      </c>
      <c r="K186" s="6" t="str">
        <f t="shared" si="21"/>
        <v/>
      </c>
      <c r="L186" s="6"/>
      <c r="M186" s="110">
        <f>IF(D186="","",ABS(D186-G$5))</f>
        <v>1.774123987058698E-2</v>
      </c>
    </row>
    <row r="187" spans="2:13" s="107" customFormat="1" ht="12.75" customHeight="1" x14ac:dyDescent="0.4">
      <c r="B187" s="109">
        <v>44085</v>
      </c>
      <c r="C187" s="5">
        <v>3340.97</v>
      </c>
      <c r="D187" s="7">
        <f t="shared" si="22"/>
        <v>5.32921379765575E-4</v>
      </c>
      <c r="E187" s="5">
        <f t="shared" si="16"/>
        <v>1.4458684771849742E-2</v>
      </c>
      <c r="F187" s="5">
        <f t="shared" si="17"/>
        <v>5.6084667843056657E-2</v>
      </c>
      <c r="G187" s="5">
        <f t="shared" si="23"/>
        <v>1.4864846559376225E-2</v>
      </c>
      <c r="H187" s="6" t="str">
        <f t="shared" si="18"/>
        <v/>
      </c>
      <c r="I187" s="6" t="str">
        <f t="shared" si="19"/>
        <v/>
      </c>
      <c r="J187" s="6" t="str">
        <f t="shared" si="20"/>
        <v/>
      </c>
      <c r="K187" s="6" t="str">
        <f t="shared" si="21"/>
        <v/>
      </c>
      <c r="L187" s="6"/>
      <c r="M187" s="110">
        <f>IF(D187="","",ABS(D187-G$5))</f>
        <v>5.32921379765575E-4</v>
      </c>
    </row>
    <row r="188" spans="2:13" s="107" customFormat="1" ht="12.75" customHeight="1" x14ac:dyDescent="0.4">
      <c r="B188" s="109">
        <v>44088</v>
      </c>
      <c r="C188" s="5">
        <v>3383.54</v>
      </c>
      <c r="D188" s="7">
        <f t="shared" si="22"/>
        <v>1.2661314711189059E-2</v>
      </c>
      <c r="E188" s="5">
        <f t="shared" si="16"/>
        <v>0.71130417089300291</v>
      </c>
      <c r="F188" s="5">
        <f t="shared" si="17"/>
        <v>1.3324772790046651</v>
      </c>
      <c r="G188" s="5">
        <f t="shared" si="23"/>
        <v>0.74891355428146955</v>
      </c>
      <c r="H188" s="6" t="str">
        <f t="shared" si="18"/>
        <v/>
      </c>
      <c r="I188" s="6" t="str">
        <f t="shared" si="19"/>
        <v/>
      </c>
      <c r="J188" s="6" t="str">
        <f t="shared" si="20"/>
        <v/>
      </c>
      <c r="K188" s="6" t="str">
        <f t="shared" si="21"/>
        <v/>
      </c>
      <c r="L188" s="6"/>
      <c r="M188" s="110">
        <f>IF(D188="","",ABS(D188-G$5))</f>
        <v>1.2661314711189059E-2</v>
      </c>
    </row>
    <row r="189" spans="2:13" s="107" customFormat="1" ht="12.75" customHeight="1" x14ac:dyDescent="0.4">
      <c r="B189" s="109">
        <v>44089</v>
      </c>
      <c r="C189" s="5">
        <v>3401.2</v>
      </c>
      <c r="D189" s="7">
        <f t="shared" si="22"/>
        <v>5.2058118315071811E-3</v>
      </c>
      <c r="E189" s="5">
        <f t="shared" si="16"/>
        <v>0.2651670023072622</v>
      </c>
      <c r="F189" s="5">
        <f t="shared" si="17"/>
        <v>0.54785985045667851</v>
      </c>
      <c r="G189" s="5">
        <f t="shared" si="23"/>
        <v>0.29302321322759478</v>
      </c>
      <c r="H189" s="6" t="str">
        <f t="shared" si="18"/>
        <v/>
      </c>
      <c r="I189" s="6" t="str">
        <f t="shared" si="19"/>
        <v/>
      </c>
      <c r="J189" s="6" t="str">
        <f t="shared" si="20"/>
        <v/>
      </c>
      <c r="K189" s="6" t="str">
        <f t="shared" si="21"/>
        <v/>
      </c>
      <c r="L189" s="6"/>
      <c r="M189" s="110">
        <f>IF(D189="","",ABS(D189-G$5))</f>
        <v>5.2058118315071811E-3</v>
      </c>
    </row>
    <row r="190" spans="2:13" s="107" customFormat="1" ht="12.75" customHeight="1" x14ac:dyDescent="0.4">
      <c r="B190" s="109">
        <v>44090</v>
      </c>
      <c r="C190" s="5">
        <v>3385.49</v>
      </c>
      <c r="D190" s="7">
        <f t="shared" si="22"/>
        <v>-4.6296583637453039E-3</v>
      </c>
      <c r="E190" s="5">
        <f t="shared" si="16"/>
        <v>0.32338737094336123</v>
      </c>
      <c r="F190" s="5">
        <f t="shared" si="17"/>
        <v>0.48722543590145012</v>
      </c>
      <c r="G190" s="5">
        <f t="shared" si="23"/>
        <v>0.37404579963775786</v>
      </c>
      <c r="H190" s="6" t="str">
        <f t="shared" si="18"/>
        <v/>
      </c>
      <c r="I190" s="6" t="str">
        <f t="shared" si="19"/>
        <v/>
      </c>
      <c r="J190" s="6" t="str">
        <f t="shared" si="20"/>
        <v/>
      </c>
      <c r="K190" s="6" t="str">
        <f t="shared" si="21"/>
        <v/>
      </c>
      <c r="L190" s="6"/>
      <c r="M190" s="110">
        <f>IF(D190="","",ABS(D190-G$5))</f>
        <v>4.6296583637453039E-3</v>
      </c>
    </row>
    <row r="191" spans="2:13" s="107" customFormat="1" ht="12.75" customHeight="1" x14ac:dyDescent="0.4">
      <c r="B191" s="109">
        <v>44091</v>
      </c>
      <c r="C191" s="5">
        <v>3357.01</v>
      </c>
      <c r="D191" s="7">
        <f t="shared" si="22"/>
        <v>-8.4479553221299946E-3</v>
      </c>
      <c r="E191" s="5">
        <f t="shared" si="16"/>
        <v>0.55187419756316114</v>
      </c>
      <c r="F191" s="5">
        <f t="shared" si="17"/>
        <v>0.88906316425710308</v>
      </c>
      <c r="G191" s="5">
        <f t="shared" si="23"/>
        <v>0.6581208576312132</v>
      </c>
      <c r="H191" s="6" t="str">
        <f t="shared" si="18"/>
        <v/>
      </c>
      <c r="I191" s="6" t="str">
        <f t="shared" si="19"/>
        <v/>
      </c>
      <c r="J191" s="6" t="str">
        <f t="shared" si="20"/>
        <v/>
      </c>
      <c r="K191" s="6" t="str">
        <f t="shared" si="21"/>
        <v/>
      </c>
      <c r="L191" s="6"/>
      <c r="M191" s="110">
        <f>IF(D191="","",ABS(D191-G$5))</f>
        <v>8.4479553221299946E-3</v>
      </c>
    </row>
    <row r="192" spans="2:13" s="107" customFormat="1" ht="12.75" customHeight="1" x14ac:dyDescent="0.4">
      <c r="B192" s="109">
        <v>44092</v>
      </c>
      <c r="C192" s="5">
        <v>3319.47</v>
      </c>
      <c r="D192" s="7">
        <f t="shared" si="22"/>
        <v>-1.1245565213035068E-2</v>
      </c>
      <c r="E192" s="5">
        <f t="shared" si="16"/>
        <v>0.71928312700469987</v>
      </c>
      <c r="F192" s="5">
        <f t="shared" si="17"/>
        <v>1.1834837438084067</v>
      </c>
      <c r="G192" s="5">
        <f t="shared" si="23"/>
        <v>0.86932207649358995</v>
      </c>
      <c r="H192" s="6" t="str">
        <f t="shared" si="18"/>
        <v/>
      </c>
      <c r="I192" s="6" t="str">
        <f t="shared" si="19"/>
        <v/>
      </c>
      <c r="J192" s="6" t="str">
        <f t="shared" si="20"/>
        <v/>
      </c>
      <c r="K192" s="6" t="str">
        <f t="shared" si="21"/>
        <v/>
      </c>
      <c r="L192" s="6"/>
      <c r="M192" s="110">
        <f>IF(D192="","",ABS(D192-G$5))</f>
        <v>1.1245565213035068E-2</v>
      </c>
    </row>
    <row r="193" spans="2:13" s="107" customFormat="1" ht="12.75" customHeight="1" x14ac:dyDescent="0.4">
      <c r="B193" s="109">
        <v>44095</v>
      </c>
      <c r="C193" s="5">
        <v>3281.06</v>
      </c>
      <c r="D193" s="7">
        <f t="shared" si="22"/>
        <v>-1.1638590711243436E-2</v>
      </c>
      <c r="E193" s="5">
        <f t="shared" si="16"/>
        <v>0.74280176629468475</v>
      </c>
      <c r="F193" s="5">
        <f t="shared" si="17"/>
        <v>1.2248457633441299</v>
      </c>
      <c r="G193" s="5">
        <f t="shared" si="23"/>
        <v>0.90658587867126772</v>
      </c>
      <c r="H193" s="6" t="str">
        <f t="shared" si="18"/>
        <v/>
      </c>
      <c r="I193" s="6" t="str">
        <f t="shared" si="19"/>
        <v/>
      </c>
      <c r="J193" s="6" t="str">
        <f t="shared" si="20"/>
        <v/>
      </c>
      <c r="K193" s="6" t="str">
        <f t="shared" si="21"/>
        <v/>
      </c>
      <c r="L193" s="6"/>
      <c r="M193" s="110">
        <f>IF(D193="","",ABS(D193-G$5))</f>
        <v>1.1638590711243436E-2</v>
      </c>
    </row>
    <row r="194" spans="2:13" s="107" customFormat="1" ht="12.75" customHeight="1" x14ac:dyDescent="0.4">
      <c r="B194" s="109">
        <v>44096</v>
      </c>
      <c r="C194" s="5">
        <v>3315.57</v>
      </c>
      <c r="D194" s="7">
        <f t="shared" si="22"/>
        <v>1.0463013638868866E-2</v>
      </c>
      <c r="E194" s="5">
        <f t="shared" si="16"/>
        <v>0.5797578712092214</v>
      </c>
      <c r="F194" s="5">
        <f t="shared" si="17"/>
        <v>1.1011279840779964</v>
      </c>
      <c r="G194" s="5">
        <f t="shared" si="23"/>
        <v>0.72594747004464144</v>
      </c>
      <c r="H194" s="6" t="str">
        <f t="shared" si="18"/>
        <v/>
      </c>
      <c r="I194" s="6" t="str">
        <f t="shared" si="19"/>
        <v/>
      </c>
      <c r="J194" s="6" t="str">
        <f t="shared" si="20"/>
        <v/>
      </c>
      <c r="K194" s="6" t="str">
        <f t="shared" si="21"/>
        <v/>
      </c>
      <c r="L194" s="6"/>
      <c r="M194" s="110">
        <f>IF(D194="","",ABS(D194-G$5))</f>
        <v>1.0463013638868866E-2</v>
      </c>
    </row>
    <row r="195" spans="2:13" s="107" customFormat="1" ht="12.75" customHeight="1" x14ac:dyDescent="0.4">
      <c r="B195" s="109">
        <v>44097</v>
      </c>
      <c r="C195" s="5">
        <v>3236.92</v>
      </c>
      <c r="D195" s="7">
        <f t="shared" si="22"/>
        <v>-2.4007294161091854E-2</v>
      </c>
      <c r="E195" s="5">
        <f t="shared" si="16"/>
        <v>1.4829447754578051</v>
      </c>
      <c r="F195" s="5">
        <f t="shared" si="17"/>
        <v>2.5265286212155189</v>
      </c>
      <c r="G195" s="5">
        <f t="shared" si="23"/>
        <v>1.6643082299595904</v>
      </c>
      <c r="H195" s="6" t="str">
        <f t="shared" si="18"/>
        <v/>
      </c>
      <c r="I195" s="6" t="str">
        <f t="shared" si="19"/>
        <v/>
      </c>
      <c r="J195" s="6" t="str">
        <f t="shared" si="20"/>
        <v/>
      </c>
      <c r="K195" s="6" t="str">
        <f t="shared" si="21"/>
        <v/>
      </c>
      <c r="L195" s="6"/>
      <c r="M195" s="110">
        <f>IF(D195="","",ABS(D195-G$5))</f>
        <v>2.4007294161091854E-2</v>
      </c>
    </row>
    <row r="196" spans="2:13" s="107" customFormat="1" ht="12.75" customHeight="1" x14ac:dyDescent="0.4">
      <c r="B196" s="109">
        <v>44098</v>
      </c>
      <c r="C196" s="5">
        <v>3246.59</v>
      </c>
      <c r="D196" s="7">
        <f t="shared" si="22"/>
        <v>2.9829543473573147E-3</v>
      </c>
      <c r="E196" s="5">
        <f t="shared" si="16"/>
        <v>0.13215124734714082</v>
      </c>
      <c r="F196" s="5">
        <f t="shared" si="17"/>
        <v>0.31392623774285244</v>
      </c>
      <c r="G196" s="5">
        <f t="shared" si="23"/>
        <v>0.15614522724923721</v>
      </c>
      <c r="H196" s="6" t="str">
        <f t="shared" si="18"/>
        <v/>
      </c>
      <c r="I196" s="6" t="str">
        <f t="shared" si="19"/>
        <v/>
      </c>
      <c r="J196" s="6" t="str">
        <f t="shared" si="20"/>
        <v/>
      </c>
      <c r="K196" s="6" t="str">
        <f t="shared" si="21"/>
        <v/>
      </c>
      <c r="L196" s="6"/>
      <c r="M196" s="110">
        <f>IF(D196="","",ABS(D196-G$5))</f>
        <v>2.9829543473573147E-3</v>
      </c>
    </row>
    <row r="197" spans="2:13" s="107" customFormat="1" ht="12.75" customHeight="1" x14ac:dyDescent="0.4">
      <c r="B197" s="109">
        <v>44099</v>
      </c>
      <c r="C197" s="5">
        <v>3298.46</v>
      </c>
      <c r="D197" s="7">
        <f t="shared" si="22"/>
        <v>1.5850478138509476E-2</v>
      </c>
      <c r="E197" s="5">
        <f t="shared" si="16"/>
        <v>0.90214365745526126</v>
      </c>
      <c r="F197" s="5">
        <f t="shared" si="17"/>
        <v>1.66810496877228</v>
      </c>
      <c r="G197" s="5">
        <f t="shared" si="23"/>
        <v>1.0587536409830629</v>
      </c>
      <c r="H197" s="6" t="str">
        <f t="shared" si="18"/>
        <v/>
      </c>
      <c r="I197" s="6" t="str">
        <f t="shared" si="19"/>
        <v/>
      </c>
      <c r="J197" s="6" t="str">
        <f t="shared" si="20"/>
        <v/>
      </c>
      <c r="K197" s="6" t="str">
        <f t="shared" si="21"/>
        <v/>
      </c>
      <c r="L197" s="6"/>
      <c r="M197" s="110">
        <f>IF(D197="","",ABS(D197-G$5))</f>
        <v>1.5850478138509476E-2</v>
      </c>
    </row>
    <row r="198" spans="2:13" s="107" customFormat="1" ht="12.75" customHeight="1" x14ac:dyDescent="0.4">
      <c r="B198" s="109">
        <v>44102</v>
      </c>
      <c r="C198" s="5">
        <v>3351.6</v>
      </c>
      <c r="D198" s="7">
        <f t="shared" si="22"/>
        <v>1.5982150874003724E-2</v>
      </c>
      <c r="E198" s="5">
        <f t="shared" si="16"/>
        <v>0.91002295176194514</v>
      </c>
      <c r="F198" s="5">
        <f t="shared" si="17"/>
        <v>1.6819622128510034</v>
      </c>
      <c r="G198" s="5">
        <f t="shared" si="23"/>
        <v>1.0605696324254779</v>
      </c>
      <c r="H198" s="6" t="str">
        <f t="shared" si="18"/>
        <v/>
      </c>
      <c r="I198" s="6" t="str">
        <f t="shared" si="19"/>
        <v/>
      </c>
      <c r="J198" s="6" t="str">
        <f t="shared" si="20"/>
        <v/>
      </c>
      <c r="K198" s="6" t="str">
        <f t="shared" si="21"/>
        <v/>
      </c>
      <c r="L198" s="6"/>
      <c r="M198" s="110">
        <f>IF(D198="","",ABS(D198-G$5))</f>
        <v>1.5982150874003724E-2</v>
      </c>
    </row>
    <row r="199" spans="2:13" s="107" customFormat="1" ht="12.75" customHeight="1" x14ac:dyDescent="0.4">
      <c r="B199" s="109">
        <v>44103</v>
      </c>
      <c r="C199" s="5">
        <v>3335.47</v>
      </c>
      <c r="D199" s="7">
        <f t="shared" si="22"/>
        <v>-4.8242447838090239E-3</v>
      </c>
      <c r="E199" s="5">
        <f t="shared" si="16"/>
        <v>0.3350314190905424</v>
      </c>
      <c r="F199" s="5">
        <f t="shared" si="17"/>
        <v>0.50770371872216158</v>
      </c>
      <c r="G199" s="5">
        <f t="shared" si="23"/>
        <v>0.40813472954582464</v>
      </c>
      <c r="H199" s="6" t="str">
        <f t="shared" si="18"/>
        <v/>
      </c>
      <c r="I199" s="6" t="str">
        <f t="shared" si="19"/>
        <v/>
      </c>
      <c r="J199" s="6" t="str">
        <f t="shared" si="20"/>
        <v/>
      </c>
      <c r="K199" s="6" t="str">
        <f t="shared" si="21"/>
        <v/>
      </c>
      <c r="L199" s="6"/>
      <c r="M199" s="110">
        <f>IF(D199="","",ABS(D199-G$5))</f>
        <v>4.8242447838090239E-3</v>
      </c>
    </row>
    <row r="200" spans="2:13" s="107" customFormat="1" ht="12.75" customHeight="1" x14ac:dyDescent="0.4">
      <c r="B200" s="109">
        <v>44104</v>
      </c>
      <c r="C200" s="5">
        <v>3363</v>
      </c>
      <c r="D200" s="7">
        <f t="shared" si="22"/>
        <v>8.2198337849473339E-3</v>
      </c>
      <c r="E200" s="5">
        <f t="shared" si="16"/>
        <v>0.44552602597924146</v>
      </c>
      <c r="F200" s="5">
        <f t="shared" si="17"/>
        <v>0.86505564433668825</v>
      </c>
      <c r="G200" s="5">
        <f t="shared" si="23"/>
        <v>0.56295871018675037</v>
      </c>
      <c r="H200" s="6" t="str">
        <f t="shared" si="18"/>
        <v/>
      </c>
      <c r="I200" s="6" t="str">
        <f t="shared" si="19"/>
        <v/>
      </c>
      <c r="J200" s="6" t="str">
        <f t="shared" si="20"/>
        <v/>
      </c>
      <c r="K200" s="6" t="str">
        <f t="shared" si="21"/>
        <v/>
      </c>
      <c r="L200" s="6"/>
      <c r="M200" s="110">
        <f>IF(D200="","",ABS(D200-G$5))</f>
        <v>8.2198337849473339E-3</v>
      </c>
    </row>
    <row r="201" spans="2:13" s="107" customFormat="1" ht="12.75" customHeight="1" x14ac:dyDescent="0.4">
      <c r="B201" s="109">
        <v>44105</v>
      </c>
      <c r="C201" s="5">
        <v>3380.8</v>
      </c>
      <c r="D201" s="7">
        <f t="shared" si="22"/>
        <v>5.2789351215227383E-3</v>
      </c>
      <c r="E201" s="5">
        <f t="shared" ref="E201:E262" si="24">IF(D201="","",ABS(D201-$E$5)/$F$5)</f>
        <v>0.26954269876821063</v>
      </c>
      <c r="F201" s="5">
        <f t="shared" ref="F201:F267" si="25">IF(D201="","",ABS(D201-$G$5)/$H$5)</f>
        <v>0.55555534849415267</v>
      </c>
      <c r="G201" s="5">
        <f t="shared" si="23"/>
        <v>0.35672114402626875</v>
      </c>
      <c r="H201" s="6" t="str">
        <f t="shared" ref="H201:H262" si="26">IF(E201="","",IF(E201&gt;$I$5,"OUTLIER",""))</f>
        <v/>
      </c>
      <c r="I201" s="6" t="str">
        <f t="shared" ref="I201:I262" si="27">IF(F201="","",IF(F201&gt;$I$5,"OUTLIER",""))</f>
        <v/>
      </c>
      <c r="J201" s="6" t="str">
        <f t="shared" ref="J201:J262" si="28">IF(G201="","",IF(G201&gt;$I$5,"OUTLIER",""))</f>
        <v/>
      </c>
      <c r="K201" s="6" t="str">
        <f t="shared" ref="K201:K262" si="29">IF(C201="","MISSING","")</f>
        <v/>
      </c>
      <c r="L201" s="6"/>
      <c r="M201" s="110">
        <f>IF(D201="","",ABS(D201-G$5))</f>
        <v>5.2789351215227383E-3</v>
      </c>
    </row>
    <row r="202" spans="2:13" s="107" customFormat="1" ht="12.75" customHeight="1" x14ac:dyDescent="0.4">
      <c r="B202" s="109">
        <v>44106</v>
      </c>
      <c r="C202" s="5">
        <v>3348.44</v>
      </c>
      <c r="D202" s="7">
        <f t="shared" ref="D202:D261" si="30">IF(OR(C202="",C201=""),"",LN(C202/C201))</f>
        <v>-9.6178021431822455E-3</v>
      </c>
      <c r="E202" s="5">
        <f t="shared" si="24"/>
        <v>0.62187781191969538</v>
      </c>
      <c r="F202" s="5">
        <f t="shared" si="25"/>
        <v>1.0121778916392778</v>
      </c>
      <c r="G202" s="5">
        <f t="shared" ref="G202:G262" si="31">IF(D202="","",ABS(D202-$E$5)/SQRT(0.9*(IF(G201="",($F$5)^2,(ABS(D201-$E$5)/MAX(G201,0.0000000001))^2))+0.1*(D202-$E$5)^2))</f>
        <v>0.83661978946250226</v>
      </c>
      <c r="H202" s="6" t="str">
        <f t="shared" si="26"/>
        <v/>
      </c>
      <c r="I202" s="6" t="str">
        <f t="shared" si="27"/>
        <v/>
      </c>
      <c r="J202" s="6" t="str">
        <f t="shared" si="28"/>
        <v/>
      </c>
      <c r="K202" s="6" t="str">
        <f t="shared" si="29"/>
        <v/>
      </c>
      <c r="L202" s="6"/>
      <c r="M202" s="110">
        <f>IF(D202="","",ABS(D202-G$5))</f>
        <v>9.6178021431822455E-3</v>
      </c>
    </row>
    <row r="203" spans="2:13" s="107" customFormat="1" ht="12.75" customHeight="1" x14ac:dyDescent="0.4">
      <c r="B203" s="109">
        <v>44109</v>
      </c>
      <c r="C203" s="5">
        <v>3408.63</v>
      </c>
      <c r="D203" s="7">
        <f t="shared" si="30"/>
        <v>1.7815885301177808E-2</v>
      </c>
      <c r="E203" s="5">
        <f t="shared" si="24"/>
        <v>1.0197535894506733</v>
      </c>
      <c r="F203" s="5">
        <f t="shared" si="25"/>
        <v>1.8749444991043269</v>
      </c>
      <c r="G203" s="5">
        <f t="shared" si="31"/>
        <v>1.3151112182074804</v>
      </c>
      <c r="H203" s="6" t="str">
        <f t="shared" si="26"/>
        <v/>
      </c>
      <c r="I203" s="6" t="str">
        <f t="shared" si="27"/>
        <v/>
      </c>
      <c r="J203" s="6" t="str">
        <f t="shared" si="28"/>
        <v/>
      </c>
      <c r="K203" s="6" t="str">
        <f t="shared" si="29"/>
        <v/>
      </c>
      <c r="L203" s="6"/>
      <c r="M203" s="110">
        <f>IF(D203="","",ABS(D203-G$5))</f>
        <v>1.7815885301177808E-2</v>
      </c>
    </row>
    <row r="204" spans="2:13" s="107" customFormat="1" ht="12.75" customHeight="1" x14ac:dyDescent="0.4">
      <c r="B204" s="109">
        <v>44110</v>
      </c>
      <c r="C204" s="5">
        <v>3360.95</v>
      </c>
      <c r="D204" s="7">
        <f t="shared" si="30"/>
        <v>-1.4086778930182592E-2</v>
      </c>
      <c r="E204" s="5">
        <f t="shared" si="24"/>
        <v>0.88930130868492074</v>
      </c>
      <c r="F204" s="5">
        <f t="shared" si="25"/>
        <v>1.4824931918201389</v>
      </c>
      <c r="G204" s="5">
        <f t="shared" si="31"/>
        <v>1.1292101158179026</v>
      </c>
      <c r="H204" s="6" t="str">
        <f t="shared" si="26"/>
        <v/>
      </c>
      <c r="I204" s="6" t="str">
        <f t="shared" si="27"/>
        <v/>
      </c>
      <c r="J204" s="6" t="str">
        <f t="shared" si="28"/>
        <v/>
      </c>
      <c r="K204" s="6" t="str">
        <f t="shared" si="29"/>
        <v/>
      </c>
      <c r="L204" s="6"/>
      <c r="M204" s="110">
        <f>IF(D204="","",ABS(D204-G$5))</f>
        <v>1.4086778930182592E-2</v>
      </c>
    </row>
    <row r="205" spans="2:13" s="107" customFormat="1" ht="12.75" customHeight="1" x14ac:dyDescent="0.4">
      <c r="B205" s="109">
        <v>44111</v>
      </c>
      <c r="C205" s="5">
        <v>3419.45</v>
      </c>
      <c r="D205" s="7">
        <f t="shared" si="30"/>
        <v>1.725604732087949E-2</v>
      </c>
      <c r="E205" s="5">
        <f t="shared" si="24"/>
        <v>0.98625289400091065</v>
      </c>
      <c r="F205" s="5">
        <f t="shared" si="25"/>
        <v>1.8160271271182928</v>
      </c>
      <c r="G205" s="5">
        <f t="shared" si="31"/>
        <v>1.2181804341469922</v>
      </c>
      <c r="H205" s="6" t="str">
        <f t="shared" si="26"/>
        <v/>
      </c>
      <c r="I205" s="6" t="str">
        <f t="shared" si="27"/>
        <v/>
      </c>
      <c r="J205" s="6" t="str">
        <f t="shared" si="28"/>
        <v/>
      </c>
      <c r="K205" s="6" t="str">
        <f t="shared" si="29"/>
        <v/>
      </c>
      <c r="L205" s="6"/>
      <c r="M205" s="110">
        <f>IF(D205="","",ABS(D205-G$5))</f>
        <v>1.725604732087949E-2</v>
      </c>
    </row>
    <row r="206" spans="2:13" s="107" customFormat="1" ht="12.75" customHeight="1" x14ac:dyDescent="0.4">
      <c r="B206" s="109">
        <v>44112</v>
      </c>
      <c r="C206" s="5">
        <v>3446.83</v>
      </c>
      <c r="D206" s="7">
        <f t="shared" si="30"/>
        <v>7.9752486424442184E-3</v>
      </c>
      <c r="E206" s="5">
        <f t="shared" si="24"/>
        <v>0.43089005511108508</v>
      </c>
      <c r="F206" s="5">
        <f t="shared" si="25"/>
        <v>0.83931549391775018</v>
      </c>
      <c r="G206" s="5">
        <f t="shared" si="31"/>
        <v>0.55238214112418094</v>
      </c>
      <c r="H206" s="6" t="str">
        <f t="shared" si="26"/>
        <v/>
      </c>
      <c r="I206" s="6" t="str">
        <f t="shared" si="27"/>
        <v/>
      </c>
      <c r="J206" s="6" t="str">
        <f t="shared" si="28"/>
        <v/>
      </c>
      <c r="K206" s="6" t="str">
        <f t="shared" si="29"/>
        <v/>
      </c>
      <c r="L206" s="6"/>
      <c r="M206" s="110">
        <f>IF(D206="","",ABS(D206-G$5))</f>
        <v>7.9752486424442184E-3</v>
      </c>
    </row>
    <row r="207" spans="2:13" s="107" customFormat="1" ht="12.75" customHeight="1" x14ac:dyDescent="0.4">
      <c r="B207" s="109">
        <v>44113</v>
      </c>
      <c r="C207" s="5">
        <v>3477.13</v>
      </c>
      <c r="D207" s="7">
        <f t="shared" si="30"/>
        <v>8.7522728093486473E-3</v>
      </c>
      <c r="E207" s="5">
        <f t="shared" si="24"/>
        <v>0.47738716836285111</v>
      </c>
      <c r="F207" s="5">
        <f t="shared" si="25"/>
        <v>0.92108954908144547</v>
      </c>
      <c r="G207" s="5">
        <f t="shared" si="31"/>
        <v>0.63207574391802424</v>
      </c>
      <c r="H207" s="6" t="str">
        <f t="shared" si="26"/>
        <v/>
      </c>
      <c r="I207" s="6" t="str">
        <f t="shared" si="27"/>
        <v/>
      </c>
      <c r="J207" s="6" t="str">
        <f t="shared" si="28"/>
        <v/>
      </c>
      <c r="K207" s="6" t="str">
        <f t="shared" si="29"/>
        <v/>
      </c>
      <c r="L207" s="6"/>
      <c r="M207" s="110">
        <f>IF(D207="","",ABS(D207-G$5))</f>
        <v>8.7522728093486473E-3</v>
      </c>
    </row>
    <row r="208" spans="2:13" s="107" customFormat="1" ht="12.75" customHeight="1" x14ac:dyDescent="0.4">
      <c r="B208" s="109">
        <v>44116</v>
      </c>
      <c r="C208" s="5">
        <v>3534.22</v>
      </c>
      <c r="D208" s="7">
        <f t="shared" si="30"/>
        <v>1.628538348497012E-2</v>
      </c>
      <c r="E208" s="5">
        <f t="shared" si="24"/>
        <v>0.92816838616960806</v>
      </c>
      <c r="F208" s="5">
        <f t="shared" si="25"/>
        <v>1.7138744252541052</v>
      </c>
      <c r="G208" s="5">
        <f t="shared" si="31"/>
        <v>1.1987221396716761</v>
      </c>
      <c r="H208" s="6" t="str">
        <f t="shared" si="26"/>
        <v/>
      </c>
      <c r="I208" s="6" t="str">
        <f t="shared" si="27"/>
        <v/>
      </c>
      <c r="J208" s="6" t="str">
        <f t="shared" si="28"/>
        <v/>
      </c>
      <c r="K208" s="6" t="str">
        <f t="shared" si="29"/>
        <v/>
      </c>
      <c r="L208" s="6"/>
      <c r="M208" s="110">
        <f>IF(D208="","",ABS(D208-G$5))</f>
        <v>1.628538348497012E-2</v>
      </c>
    </row>
    <row r="209" spans="2:13" s="107" customFormat="1" ht="12.75" customHeight="1" x14ac:dyDescent="0.4">
      <c r="B209" s="109">
        <v>44117</v>
      </c>
      <c r="C209" s="5">
        <v>3511.93</v>
      </c>
      <c r="D209" s="7">
        <f t="shared" si="30"/>
        <v>-6.3268804537488111E-3</v>
      </c>
      <c r="E209" s="5">
        <f t="shared" si="24"/>
        <v>0.42494911264141383</v>
      </c>
      <c r="F209" s="5">
        <f t="shared" si="25"/>
        <v>0.66584115819733003</v>
      </c>
      <c r="G209" s="5">
        <f t="shared" si="31"/>
        <v>0.56906143009230858</v>
      </c>
      <c r="H209" s="6" t="str">
        <f t="shared" si="26"/>
        <v/>
      </c>
      <c r="I209" s="6" t="str">
        <f t="shared" si="27"/>
        <v/>
      </c>
      <c r="J209" s="6" t="str">
        <f t="shared" si="28"/>
        <v/>
      </c>
      <c r="K209" s="6" t="str">
        <f t="shared" si="29"/>
        <v/>
      </c>
      <c r="L209" s="6"/>
      <c r="M209" s="110">
        <f>IF(D209="","",ABS(D209-G$5))</f>
        <v>6.3268804537488111E-3</v>
      </c>
    </row>
    <row r="210" spans="2:13" s="107" customFormat="1" ht="12.75" customHeight="1" x14ac:dyDescent="0.4">
      <c r="B210" s="109">
        <v>44118</v>
      </c>
      <c r="C210" s="5">
        <v>3488.67</v>
      </c>
      <c r="D210" s="7">
        <f t="shared" si="30"/>
        <v>-6.6451691550408936E-3</v>
      </c>
      <c r="E210" s="5">
        <f t="shared" si="24"/>
        <v>0.44399550324428905</v>
      </c>
      <c r="F210" s="5">
        <f t="shared" si="25"/>
        <v>0.69933787416323256</v>
      </c>
      <c r="G210" s="5">
        <f t="shared" si="31"/>
        <v>0.61477116673366516</v>
      </c>
      <c r="H210" s="6" t="str">
        <f t="shared" si="26"/>
        <v/>
      </c>
      <c r="I210" s="6" t="str">
        <f t="shared" si="27"/>
        <v/>
      </c>
      <c r="J210" s="6" t="str">
        <f t="shared" si="28"/>
        <v/>
      </c>
      <c r="K210" s="6" t="str">
        <f t="shared" si="29"/>
        <v/>
      </c>
      <c r="L210" s="6"/>
      <c r="M210" s="110">
        <f>IF(D210="","",ABS(D210-G$5))</f>
        <v>6.6451691550408936E-3</v>
      </c>
    </row>
    <row r="211" spans="2:13" s="107" customFormat="1" ht="12.75" customHeight="1" x14ac:dyDescent="0.4">
      <c r="B211" s="109">
        <v>44119</v>
      </c>
      <c r="C211" s="5">
        <v>3483.34</v>
      </c>
      <c r="D211" s="7">
        <f t="shared" si="30"/>
        <v>-1.5289711398439405E-3</v>
      </c>
      <c r="E211" s="5">
        <f t="shared" si="24"/>
        <v>0.13784229892531369</v>
      </c>
      <c r="F211" s="5">
        <f t="shared" si="25"/>
        <v>0.16090898540698109</v>
      </c>
      <c r="G211" s="5">
        <f t="shared" si="31"/>
        <v>0.20077934412245624</v>
      </c>
      <c r="H211" s="6" t="str">
        <f t="shared" si="26"/>
        <v/>
      </c>
      <c r="I211" s="6" t="str">
        <f t="shared" si="27"/>
        <v/>
      </c>
      <c r="J211" s="6" t="str">
        <f t="shared" si="28"/>
        <v/>
      </c>
      <c r="K211" s="6" t="str">
        <f t="shared" si="29"/>
        <v/>
      </c>
      <c r="L211" s="6"/>
      <c r="M211" s="110">
        <f>IF(D211="","",ABS(D211-G$5))</f>
        <v>1.5289711398439405E-3</v>
      </c>
    </row>
    <row r="212" spans="2:13" s="107" customFormat="1" ht="12.75" customHeight="1" x14ac:dyDescent="0.4">
      <c r="B212" s="109">
        <v>44120</v>
      </c>
      <c r="C212" s="5">
        <v>3483.81</v>
      </c>
      <c r="D212" s="7">
        <f t="shared" si="30"/>
        <v>1.3491886946954788E-4</v>
      </c>
      <c r="E212" s="5">
        <f t="shared" si="24"/>
        <v>3.827514838255968E-2</v>
      </c>
      <c r="F212" s="5">
        <f t="shared" si="25"/>
        <v>1.4198867351294631E-2</v>
      </c>
      <c r="G212" s="5">
        <f t="shared" si="31"/>
        <v>5.8756669695479324E-2</v>
      </c>
      <c r="H212" s="6" t="str">
        <f t="shared" si="26"/>
        <v/>
      </c>
      <c r="I212" s="6" t="str">
        <f t="shared" si="27"/>
        <v/>
      </c>
      <c r="J212" s="6" t="str">
        <f t="shared" si="28"/>
        <v/>
      </c>
      <c r="K212" s="6" t="str">
        <f t="shared" si="29"/>
        <v/>
      </c>
      <c r="L212" s="6"/>
      <c r="M212" s="110">
        <f>IF(D212="","",ABS(D212-G$5))</f>
        <v>1.3491886946954788E-4</v>
      </c>
    </row>
    <row r="213" spans="2:13" s="107" customFormat="1" ht="12.75" customHeight="1" x14ac:dyDescent="0.4">
      <c r="B213" s="109">
        <v>44123</v>
      </c>
      <c r="C213" s="5">
        <v>3426.92</v>
      </c>
      <c r="D213" s="7">
        <f t="shared" si="30"/>
        <v>-1.6464623898632638E-2</v>
      </c>
      <c r="E213" s="5">
        <f t="shared" si="24"/>
        <v>1.0315915121333323</v>
      </c>
      <c r="F213" s="5">
        <f t="shared" si="25"/>
        <v>1.7327376937323495</v>
      </c>
      <c r="G213" s="5">
        <f t="shared" si="31"/>
        <v>1.4762215735522073</v>
      </c>
      <c r="H213" s="6" t="str">
        <f t="shared" si="26"/>
        <v/>
      </c>
      <c r="I213" s="6" t="str">
        <f t="shared" si="27"/>
        <v/>
      </c>
      <c r="J213" s="6" t="str">
        <f t="shared" si="28"/>
        <v/>
      </c>
      <c r="K213" s="6" t="str">
        <f t="shared" si="29"/>
        <v/>
      </c>
      <c r="L213" s="6"/>
      <c r="M213" s="110">
        <f>IF(D213="","",ABS(D213-G$5))</f>
        <v>1.6464623898632638E-2</v>
      </c>
    </row>
    <row r="214" spans="2:13" s="107" customFormat="1" ht="12.75" customHeight="1" x14ac:dyDescent="0.4">
      <c r="B214" s="109">
        <v>44124</v>
      </c>
      <c r="C214" s="5">
        <v>3443.12</v>
      </c>
      <c r="D214" s="7">
        <f t="shared" si="30"/>
        <v>4.7161384872977134E-3</v>
      </c>
      <c r="E214" s="5">
        <f t="shared" si="24"/>
        <v>0.23586495751657677</v>
      </c>
      <c r="F214" s="5">
        <f t="shared" si="25"/>
        <v>0.49632660764764081</v>
      </c>
      <c r="G214" s="5">
        <f t="shared" si="31"/>
        <v>0.35355298953934072</v>
      </c>
      <c r="H214" s="6" t="str">
        <f t="shared" si="26"/>
        <v/>
      </c>
      <c r="I214" s="6" t="str">
        <f t="shared" si="27"/>
        <v/>
      </c>
      <c r="J214" s="6" t="str">
        <f t="shared" si="28"/>
        <v/>
      </c>
      <c r="K214" s="6" t="str">
        <f t="shared" si="29"/>
        <v/>
      </c>
      <c r="L214" s="6"/>
      <c r="M214" s="110">
        <f>IF(D214="","",ABS(D214-G$5))</f>
        <v>4.7161384872977134E-3</v>
      </c>
    </row>
    <row r="215" spans="2:13" s="107" customFormat="1" ht="12.75" customHeight="1" x14ac:dyDescent="0.4">
      <c r="B215" s="109">
        <v>44125</v>
      </c>
      <c r="C215" s="5">
        <v>3435.56</v>
      </c>
      <c r="D215" s="7">
        <f t="shared" si="30"/>
        <v>-2.1980970313859494E-3</v>
      </c>
      <c r="E215" s="5">
        <f t="shared" si="24"/>
        <v>0.17788278117011416</v>
      </c>
      <c r="F215" s="5">
        <f t="shared" si="25"/>
        <v>0.23132782165038843</v>
      </c>
      <c r="G215" s="5">
        <f t="shared" si="31"/>
        <v>0.27995943076172841</v>
      </c>
      <c r="H215" s="6" t="str">
        <f t="shared" si="26"/>
        <v/>
      </c>
      <c r="I215" s="6" t="str">
        <f t="shared" si="27"/>
        <v/>
      </c>
      <c r="J215" s="6" t="str">
        <f t="shared" si="28"/>
        <v/>
      </c>
      <c r="K215" s="6" t="str">
        <f t="shared" si="29"/>
        <v/>
      </c>
      <c r="L215" s="6"/>
      <c r="M215" s="110">
        <f>IF(D215="","",ABS(D215-G$5))</f>
        <v>2.1980970313859494E-3</v>
      </c>
    </row>
    <row r="216" spans="2:13" s="107" customFormat="1" ht="12.75" customHeight="1" x14ac:dyDescent="0.4">
      <c r="B216" s="109">
        <v>44126</v>
      </c>
      <c r="C216" s="5">
        <v>3453.49</v>
      </c>
      <c r="D216" s="7">
        <f t="shared" si="30"/>
        <v>5.2053738863262616E-3</v>
      </c>
      <c r="E216" s="5">
        <f t="shared" si="24"/>
        <v>0.26514079567490434</v>
      </c>
      <c r="F216" s="5">
        <f t="shared" si="25"/>
        <v>0.54781376108789359</v>
      </c>
      <c r="G216" s="5">
        <f t="shared" si="31"/>
        <v>0.43566761997858222</v>
      </c>
      <c r="H216" s="6" t="str">
        <f t="shared" si="26"/>
        <v/>
      </c>
      <c r="I216" s="6" t="str">
        <f t="shared" si="27"/>
        <v/>
      </c>
      <c r="J216" s="6" t="str">
        <f t="shared" si="28"/>
        <v/>
      </c>
      <c r="K216" s="6" t="str">
        <f t="shared" si="29"/>
        <v/>
      </c>
      <c r="L216" s="6"/>
      <c r="M216" s="110">
        <f>IF(D216="","",ABS(D216-G$5))</f>
        <v>5.2053738863262616E-3</v>
      </c>
    </row>
    <row r="217" spans="2:13" s="107" customFormat="1" ht="12.75" customHeight="1" x14ac:dyDescent="0.4">
      <c r="B217" s="109">
        <v>44127</v>
      </c>
      <c r="C217" s="5">
        <v>3465.39</v>
      </c>
      <c r="D217" s="7">
        <f t="shared" si="30"/>
        <v>3.4398664911297477E-3</v>
      </c>
      <c r="E217" s="5">
        <f t="shared" si="24"/>
        <v>0.15949286244739169</v>
      </c>
      <c r="F217" s="5">
        <f t="shared" si="25"/>
        <v>0.3620116904755018</v>
      </c>
      <c r="G217" s="5">
        <f t="shared" si="31"/>
        <v>0.27519966760106079</v>
      </c>
      <c r="H217" s="6" t="str">
        <f t="shared" si="26"/>
        <v/>
      </c>
      <c r="I217" s="6" t="str">
        <f t="shared" si="27"/>
        <v/>
      </c>
      <c r="J217" s="6" t="str">
        <f t="shared" si="28"/>
        <v/>
      </c>
      <c r="K217" s="6" t="str">
        <f t="shared" si="29"/>
        <v/>
      </c>
      <c r="L217" s="6"/>
      <c r="M217" s="110">
        <f>IF(D217="","",ABS(D217-G$5))</f>
        <v>3.4398664911297477E-3</v>
      </c>
    </row>
    <row r="218" spans="2:13" s="107" customFormat="1" ht="12.75" customHeight="1" x14ac:dyDescent="0.4">
      <c r="B218" s="109">
        <v>44130</v>
      </c>
      <c r="C218" s="5">
        <v>3400.97</v>
      </c>
      <c r="D218" s="7">
        <f t="shared" si="30"/>
        <v>-1.8764495369547173E-2</v>
      </c>
      <c r="E218" s="5">
        <f t="shared" si="24"/>
        <v>1.1692157827832976</v>
      </c>
      <c r="F218" s="5">
        <f t="shared" si="25"/>
        <v>1.9747762615689481</v>
      </c>
      <c r="G218" s="5">
        <f t="shared" si="31"/>
        <v>1.7646648931988254</v>
      </c>
      <c r="H218" s="6" t="str">
        <f t="shared" si="26"/>
        <v/>
      </c>
      <c r="I218" s="6" t="str">
        <f t="shared" si="27"/>
        <v/>
      </c>
      <c r="J218" s="6" t="str">
        <f t="shared" si="28"/>
        <v/>
      </c>
      <c r="K218" s="6" t="str">
        <f t="shared" si="29"/>
        <v/>
      </c>
      <c r="L218" s="6"/>
      <c r="M218" s="110">
        <f>IF(D218="","",ABS(D218-G$5))</f>
        <v>1.8764495369547173E-2</v>
      </c>
    </row>
    <row r="219" spans="2:13" s="107" customFormat="1" ht="12.75" customHeight="1" x14ac:dyDescent="0.4">
      <c r="B219" s="109">
        <v>44131</v>
      </c>
      <c r="C219" s="5">
        <v>3390.68</v>
      </c>
      <c r="D219" s="7">
        <f t="shared" si="30"/>
        <v>-3.0301938037524704E-3</v>
      </c>
      <c r="E219" s="5">
        <f t="shared" si="24"/>
        <v>0.22767543821872546</v>
      </c>
      <c r="F219" s="5">
        <f t="shared" si="25"/>
        <v>0.31889772006952188</v>
      </c>
      <c r="G219" s="5">
        <f t="shared" si="31"/>
        <v>0.35985879044192948</v>
      </c>
      <c r="H219" s="6" t="str">
        <f t="shared" si="26"/>
        <v/>
      </c>
      <c r="I219" s="6" t="str">
        <f t="shared" si="27"/>
        <v/>
      </c>
      <c r="J219" s="6" t="str">
        <f t="shared" si="28"/>
        <v/>
      </c>
      <c r="K219" s="6" t="str">
        <f t="shared" si="29"/>
        <v/>
      </c>
      <c r="L219" s="6"/>
      <c r="M219" s="110">
        <f>IF(D219="","",ABS(D219-G$5))</f>
        <v>3.0301938037524704E-3</v>
      </c>
    </row>
    <row r="220" spans="2:13" s="107" customFormat="1" ht="12.75" customHeight="1" x14ac:dyDescent="0.4">
      <c r="B220" s="109">
        <v>44132</v>
      </c>
      <c r="C220" s="5">
        <v>3271.03</v>
      </c>
      <c r="D220" s="7">
        <f t="shared" si="30"/>
        <v>-3.5925571226008889E-2</v>
      </c>
      <c r="E220" s="5">
        <f t="shared" si="24"/>
        <v>2.1961342772220833</v>
      </c>
      <c r="F220" s="5">
        <f t="shared" si="25"/>
        <v>3.7808085878804452</v>
      </c>
      <c r="G220" s="5">
        <f t="shared" si="31"/>
        <v>2.3925414947985986</v>
      </c>
      <c r="H220" s="6" t="str">
        <f t="shared" si="26"/>
        <v/>
      </c>
      <c r="I220" s="6" t="str">
        <f t="shared" si="27"/>
        <v>OUTLIER</v>
      </c>
      <c r="J220" s="6" t="str">
        <f t="shared" si="28"/>
        <v/>
      </c>
      <c r="K220" s="6" t="str">
        <f t="shared" si="29"/>
        <v/>
      </c>
      <c r="L220" s="6"/>
      <c r="M220" s="110">
        <f>IF(D220="","",ABS(D220-G$5))</f>
        <v>3.5925571226008889E-2</v>
      </c>
    </row>
    <row r="221" spans="2:13" s="107" customFormat="1" ht="12.75" customHeight="1" x14ac:dyDescent="0.4">
      <c r="B221" s="109">
        <v>44133</v>
      </c>
      <c r="C221" s="5">
        <v>3310.11</v>
      </c>
      <c r="D221" s="7">
        <f t="shared" si="30"/>
        <v>1.18765014438055E-2</v>
      </c>
      <c r="E221" s="5">
        <f t="shared" si="24"/>
        <v>0.66434095799783677</v>
      </c>
      <c r="F221" s="5">
        <f t="shared" si="25"/>
        <v>1.2498834985873868</v>
      </c>
      <c r="G221" s="5">
        <f t="shared" si="31"/>
        <v>0.74162779053687256</v>
      </c>
      <c r="H221" s="6" t="str">
        <f t="shared" si="26"/>
        <v/>
      </c>
      <c r="I221" s="6" t="str">
        <f t="shared" si="27"/>
        <v/>
      </c>
      <c r="J221" s="6" t="str">
        <f t="shared" si="28"/>
        <v/>
      </c>
      <c r="K221" s="6" t="str">
        <f t="shared" si="29"/>
        <v/>
      </c>
      <c r="L221" s="6"/>
      <c r="M221" s="110">
        <f>IF(D221="","",ABS(D221-G$5))</f>
        <v>1.18765014438055E-2</v>
      </c>
    </row>
    <row r="222" spans="2:13" s="107" customFormat="1" ht="12.75" customHeight="1" x14ac:dyDescent="0.4">
      <c r="B222" s="109">
        <v>44134</v>
      </c>
      <c r="C222" s="5">
        <v>3269.96</v>
      </c>
      <c r="D222" s="7">
        <f t="shared" si="30"/>
        <v>-1.2203669046735501E-2</v>
      </c>
      <c r="E222" s="5">
        <f t="shared" si="24"/>
        <v>0.77661604451227029</v>
      </c>
      <c r="F222" s="5">
        <f t="shared" si="25"/>
        <v>1.284314630525478</v>
      </c>
      <c r="G222" s="5">
        <f t="shared" si="31"/>
        <v>0.87793583139740017</v>
      </c>
      <c r="H222" s="6" t="str">
        <f t="shared" si="26"/>
        <v/>
      </c>
      <c r="I222" s="6" t="str">
        <f t="shared" si="27"/>
        <v/>
      </c>
      <c r="J222" s="6" t="str">
        <f t="shared" si="28"/>
        <v/>
      </c>
      <c r="K222" s="6" t="str">
        <f t="shared" si="29"/>
        <v/>
      </c>
      <c r="L222" s="6"/>
      <c r="M222" s="110">
        <f>IF(D222="","",ABS(D222-G$5))</f>
        <v>1.2203669046735501E-2</v>
      </c>
    </row>
    <row r="223" spans="2:13" s="107" customFormat="1" ht="12.75" customHeight="1" x14ac:dyDescent="0.4">
      <c r="B223" s="109">
        <v>44137</v>
      </c>
      <c r="C223" s="5">
        <v>3310.24</v>
      </c>
      <c r="D223" s="7">
        <f t="shared" si="30"/>
        <v>1.2242941894852779E-2</v>
      </c>
      <c r="E223" s="5">
        <f t="shared" si="24"/>
        <v>0.68626874850691777</v>
      </c>
      <c r="F223" s="5">
        <f t="shared" si="25"/>
        <v>1.2884477066705506</v>
      </c>
      <c r="G223" s="5">
        <f t="shared" si="31"/>
        <v>0.7917221068630016</v>
      </c>
      <c r="H223" s="6" t="str">
        <f t="shared" si="26"/>
        <v/>
      </c>
      <c r="I223" s="6" t="str">
        <f t="shared" si="27"/>
        <v/>
      </c>
      <c r="J223" s="6" t="str">
        <f t="shared" si="28"/>
        <v/>
      </c>
      <c r="K223" s="6" t="str">
        <f t="shared" si="29"/>
        <v/>
      </c>
      <c r="L223" s="6"/>
      <c r="M223" s="110">
        <f>IF(D223="","",ABS(D223-G$5))</f>
        <v>1.2242941894852779E-2</v>
      </c>
    </row>
    <row r="224" spans="2:13" s="107" customFormat="1" ht="12.75" customHeight="1" x14ac:dyDescent="0.4">
      <c r="B224" s="109">
        <v>44138</v>
      </c>
      <c r="C224" s="5">
        <v>3369.16</v>
      </c>
      <c r="D224" s="7">
        <f t="shared" si="30"/>
        <v>1.7642760820758659E-2</v>
      </c>
      <c r="E224" s="5">
        <f t="shared" si="24"/>
        <v>1.0093938234156326</v>
      </c>
      <c r="F224" s="5">
        <f t="shared" si="25"/>
        <v>1.8567248716912159</v>
      </c>
      <c r="G224" s="5">
        <f t="shared" si="31"/>
        <v>1.144305400120522</v>
      </c>
      <c r="H224" s="6" t="str">
        <f t="shared" si="26"/>
        <v/>
      </c>
      <c r="I224" s="6" t="str">
        <f t="shared" si="27"/>
        <v/>
      </c>
      <c r="J224" s="6" t="str">
        <f t="shared" si="28"/>
        <v/>
      </c>
      <c r="K224" s="6" t="str">
        <f t="shared" si="29"/>
        <v/>
      </c>
      <c r="L224" s="6"/>
      <c r="M224" s="110">
        <f>IF(D224="","",ABS(D224-G$5))</f>
        <v>1.7642760820758659E-2</v>
      </c>
    </row>
    <row r="225" spans="2:13" s="107" customFormat="1" ht="12.75" customHeight="1" x14ac:dyDescent="0.4">
      <c r="B225" s="109">
        <v>44139</v>
      </c>
      <c r="C225" s="5">
        <v>3443.44</v>
      </c>
      <c r="D225" s="7">
        <f t="shared" si="30"/>
        <v>2.1807516584335981E-2</v>
      </c>
      <c r="E225" s="5">
        <f t="shared" si="24"/>
        <v>1.2586127391881945</v>
      </c>
      <c r="F225" s="5">
        <f t="shared" si="25"/>
        <v>2.2950239389015392</v>
      </c>
      <c r="G225" s="5">
        <f t="shared" si="31"/>
        <v>1.3582209773348548</v>
      </c>
      <c r="H225" s="6" t="str">
        <f t="shared" si="26"/>
        <v/>
      </c>
      <c r="I225" s="6" t="str">
        <f t="shared" si="27"/>
        <v/>
      </c>
      <c r="J225" s="6" t="str">
        <f t="shared" si="28"/>
        <v/>
      </c>
      <c r="K225" s="6" t="str">
        <f t="shared" si="29"/>
        <v/>
      </c>
      <c r="L225" s="6"/>
      <c r="M225" s="110">
        <f>IF(D225="","",ABS(D225-G$5))</f>
        <v>2.1807516584335981E-2</v>
      </c>
    </row>
    <row r="226" spans="2:13" s="107" customFormat="1" ht="12.75" customHeight="1" x14ac:dyDescent="0.4">
      <c r="B226" s="109">
        <v>44140</v>
      </c>
      <c r="C226" s="5">
        <v>3510.45</v>
      </c>
      <c r="D226" s="7">
        <f t="shared" si="30"/>
        <v>1.9273262670013912E-2</v>
      </c>
      <c r="E226" s="5">
        <f t="shared" si="24"/>
        <v>1.1069630270146247</v>
      </c>
      <c r="F226" s="5">
        <f t="shared" si="25"/>
        <v>2.0283189531168784</v>
      </c>
      <c r="G226" s="5">
        <f t="shared" si="31"/>
        <v>1.1698544084922953</v>
      </c>
      <c r="H226" s="6" t="str">
        <f t="shared" si="26"/>
        <v/>
      </c>
      <c r="I226" s="6" t="str">
        <f t="shared" si="27"/>
        <v/>
      </c>
      <c r="J226" s="6" t="str">
        <f t="shared" si="28"/>
        <v/>
      </c>
      <c r="K226" s="6" t="str">
        <f t="shared" si="29"/>
        <v/>
      </c>
      <c r="L226" s="6"/>
      <c r="M226" s="110">
        <f>IF(D226="","",ABS(D226-G$5))</f>
        <v>1.9273262670013912E-2</v>
      </c>
    </row>
    <row r="227" spans="2:13" s="107" customFormat="1" ht="12.75" customHeight="1" x14ac:dyDescent="0.4">
      <c r="B227" s="109">
        <v>44141</v>
      </c>
      <c r="C227" s="5">
        <v>3509.44</v>
      </c>
      <c r="D227" s="7">
        <f t="shared" si="30"/>
        <v>-2.8775379869741254E-4</v>
      </c>
      <c r="E227" s="5">
        <f t="shared" si="24"/>
        <v>6.3567873830830762E-2</v>
      </c>
      <c r="F227" s="5">
        <f t="shared" si="25"/>
        <v>3.0283221565667557E-2</v>
      </c>
      <c r="G227" s="5">
        <f t="shared" si="31"/>
        <v>7.0795600462632557E-2</v>
      </c>
      <c r="H227" s="6" t="str">
        <f t="shared" si="26"/>
        <v/>
      </c>
      <c r="I227" s="6" t="str">
        <f t="shared" si="27"/>
        <v/>
      </c>
      <c r="J227" s="6" t="str">
        <f t="shared" si="28"/>
        <v/>
      </c>
      <c r="K227" s="6" t="str">
        <f t="shared" si="29"/>
        <v/>
      </c>
      <c r="L227" s="6"/>
      <c r="M227" s="110">
        <f>IF(D227="","",ABS(D227-G$5))</f>
        <v>2.8775379869741254E-4</v>
      </c>
    </row>
    <row r="228" spans="2:13" s="107" customFormat="1" ht="12.75" customHeight="1" x14ac:dyDescent="0.4">
      <c r="B228" s="109">
        <v>44144</v>
      </c>
      <c r="C228" s="5">
        <v>3550.5</v>
      </c>
      <c r="D228" s="7">
        <f t="shared" si="30"/>
        <v>1.1631958050304203E-2</v>
      </c>
      <c r="E228" s="5">
        <f t="shared" si="24"/>
        <v>0.64970748538925627</v>
      </c>
      <c r="F228" s="5">
        <f t="shared" si="25"/>
        <v>1.2241477418351108</v>
      </c>
      <c r="G228" s="5">
        <f t="shared" si="31"/>
        <v>0.74145810325998751</v>
      </c>
      <c r="H228" s="6" t="str">
        <f t="shared" si="26"/>
        <v/>
      </c>
      <c r="I228" s="6" t="str">
        <f t="shared" si="27"/>
        <v/>
      </c>
      <c r="J228" s="6" t="str">
        <f t="shared" si="28"/>
        <v/>
      </c>
      <c r="K228" s="6" t="str">
        <f t="shared" si="29"/>
        <v/>
      </c>
      <c r="L228" s="6"/>
      <c r="M228" s="110">
        <f>IF(D228="","",ABS(D228-G$5))</f>
        <v>1.1631958050304203E-2</v>
      </c>
    </row>
    <row r="229" spans="2:13" s="107" customFormat="1" ht="12.75" customHeight="1" x14ac:dyDescent="0.4">
      <c r="B229" s="109">
        <v>44145</v>
      </c>
      <c r="C229" s="5">
        <v>3545.53</v>
      </c>
      <c r="D229" s="7">
        <f t="shared" si="30"/>
        <v>-1.4007834839128777E-3</v>
      </c>
      <c r="E229" s="5">
        <f t="shared" si="24"/>
        <v>0.13017155172185105</v>
      </c>
      <c r="F229" s="5">
        <f t="shared" si="25"/>
        <v>0.14741851124428904</v>
      </c>
      <c r="G229" s="5">
        <f t="shared" si="31"/>
        <v>0.15639820748615499</v>
      </c>
      <c r="H229" s="6" t="str">
        <f t="shared" si="26"/>
        <v/>
      </c>
      <c r="I229" s="6" t="str">
        <f t="shared" si="27"/>
        <v/>
      </c>
      <c r="J229" s="6" t="str">
        <f t="shared" si="28"/>
        <v/>
      </c>
      <c r="K229" s="6" t="str">
        <f t="shared" si="29"/>
        <v/>
      </c>
      <c r="L229" s="6"/>
      <c r="M229" s="110">
        <f>IF(D229="","",ABS(D229-G$5))</f>
        <v>1.4007834839128777E-3</v>
      </c>
    </row>
    <row r="230" spans="2:13" s="107" customFormat="1" ht="12.75" customHeight="1" x14ac:dyDescent="0.4">
      <c r="B230" s="109">
        <v>44146</v>
      </c>
      <c r="C230" s="5">
        <v>3572.66</v>
      </c>
      <c r="D230" s="7">
        <f t="shared" si="30"/>
        <v>7.622761226929676E-3</v>
      </c>
      <c r="E230" s="5">
        <f t="shared" si="24"/>
        <v>0.40979721401671299</v>
      </c>
      <c r="F230" s="5">
        <f t="shared" si="25"/>
        <v>0.8022197038657789</v>
      </c>
      <c r="G230" s="5">
        <f t="shared" si="31"/>
        <v>0.51214369266982107</v>
      </c>
      <c r="H230" s="6" t="str">
        <f t="shared" si="26"/>
        <v/>
      </c>
      <c r="I230" s="6" t="str">
        <f t="shared" si="27"/>
        <v/>
      </c>
      <c r="J230" s="6" t="str">
        <f t="shared" si="28"/>
        <v/>
      </c>
      <c r="K230" s="6" t="str">
        <f t="shared" si="29"/>
        <v/>
      </c>
      <c r="L230" s="6"/>
      <c r="M230" s="110">
        <f>IF(D230="","",ABS(D230-G$5))</f>
        <v>7.622761226929676E-3</v>
      </c>
    </row>
    <row r="231" spans="2:13" s="107" customFormat="1" ht="12.75" customHeight="1" x14ac:dyDescent="0.4">
      <c r="B231" s="109">
        <v>44147</v>
      </c>
      <c r="C231" s="5">
        <v>3537.01</v>
      </c>
      <c r="D231" s="7">
        <f t="shared" si="30"/>
        <v>-1.0028678908945363E-2</v>
      </c>
      <c r="E231" s="5">
        <f t="shared" si="24"/>
        <v>0.6464646707638898</v>
      </c>
      <c r="F231" s="5">
        <f t="shared" si="25"/>
        <v>1.055418579303921</v>
      </c>
      <c r="G231" s="5">
        <f t="shared" si="31"/>
        <v>0.82232309359264211</v>
      </c>
      <c r="H231" s="6" t="str">
        <f t="shared" si="26"/>
        <v/>
      </c>
      <c r="I231" s="6" t="str">
        <f t="shared" si="27"/>
        <v/>
      </c>
      <c r="J231" s="6" t="str">
        <f t="shared" si="28"/>
        <v/>
      </c>
      <c r="K231" s="6" t="str">
        <f t="shared" si="29"/>
        <v/>
      </c>
      <c r="L231" s="6"/>
      <c r="M231" s="110">
        <f>IF(D231="","",ABS(D231-G$5))</f>
        <v>1.0028678908945363E-2</v>
      </c>
    </row>
    <row r="232" spans="2:13" s="107" customFormat="1" ht="12.75" customHeight="1" x14ac:dyDescent="0.4">
      <c r="B232" s="109">
        <v>44148</v>
      </c>
      <c r="C232" s="5">
        <v>3585.15</v>
      </c>
      <c r="D232" s="7">
        <f t="shared" si="30"/>
        <v>1.3518576706374859E-2</v>
      </c>
      <c r="E232" s="5">
        <f t="shared" si="24"/>
        <v>0.76260271445746797</v>
      </c>
      <c r="F232" s="5">
        <f t="shared" si="25"/>
        <v>1.4226955665044481</v>
      </c>
      <c r="G232" s="5">
        <f t="shared" si="31"/>
        <v>0.97292840953724335</v>
      </c>
      <c r="H232" s="6" t="str">
        <f t="shared" si="26"/>
        <v/>
      </c>
      <c r="I232" s="6" t="str">
        <f t="shared" si="27"/>
        <v/>
      </c>
      <c r="J232" s="6" t="str">
        <f t="shared" si="28"/>
        <v/>
      </c>
      <c r="K232" s="6" t="str">
        <f t="shared" si="29"/>
        <v/>
      </c>
      <c r="L232" s="6"/>
      <c r="M232" s="110">
        <f>IF(D232="","",ABS(D232-G$5))</f>
        <v>1.3518576706374859E-2</v>
      </c>
    </row>
    <row r="233" spans="2:13" s="107" customFormat="1" ht="12.75" customHeight="1" x14ac:dyDescent="0.4">
      <c r="B233" s="109">
        <v>44151</v>
      </c>
      <c r="C233" s="5">
        <v>3626.91</v>
      </c>
      <c r="D233" s="7">
        <f t="shared" si="30"/>
        <v>1.1580731916656505E-2</v>
      </c>
      <c r="E233" s="5">
        <f t="shared" si="24"/>
        <v>0.64664211440194685</v>
      </c>
      <c r="F233" s="5">
        <f t="shared" si="25"/>
        <v>1.218756701431029</v>
      </c>
      <c r="G233" s="5">
        <f t="shared" si="31"/>
        <v>0.8384850960448379</v>
      </c>
      <c r="H233" s="6" t="str">
        <f t="shared" si="26"/>
        <v/>
      </c>
      <c r="I233" s="6" t="str">
        <f t="shared" si="27"/>
        <v/>
      </c>
      <c r="J233" s="6" t="str">
        <f t="shared" si="28"/>
        <v/>
      </c>
      <c r="K233" s="6" t="str">
        <f t="shared" si="29"/>
        <v/>
      </c>
      <c r="L233" s="6"/>
      <c r="M233" s="110">
        <f>IF(D233="","",ABS(D233-G$5))</f>
        <v>1.1580731916656505E-2</v>
      </c>
    </row>
    <row r="234" spans="2:13" s="107" customFormat="1" ht="12.75" customHeight="1" x14ac:dyDescent="0.4">
      <c r="B234" s="109">
        <v>44152</v>
      </c>
      <c r="C234" s="5">
        <v>3609.53</v>
      </c>
      <c r="D234" s="7">
        <f t="shared" si="30"/>
        <v>-4.8034761341036901E-3</v>
      </c>
      <c r="E234" s="5">
        <f t="shared" si="24"/>
        <v>0.33378862343685983</v>
      </c>
      <c r="F234" s="5">
        <f t="shared" si="25"/>
        <v>0.50551802517617395</v>
      </c>
      <c r="G234" s="5">
        <f t="shared" si="31"/>
        <v>0.45155249873202163</v>
      </c>
      <c r="H234" s="6" t="str">
        <f t="shared" si="26"/>
        <v/>
      </c>
      <c r="I234" s="6" t="str">
        <f t="shared" si="27"/>
        <v/>
      </c>
      <c r="J234" s="6" t="str">
        <f t="shared" si="28"/>
        <v/>
      </c>
      <c r="K234" s="6" t="str">
        <f t="shared" si="29"/>
        <v/>
      </c>
      <c r="L234" s="6"/>
      <c r="M234" s="110">
        <f>IF(D234="","",ABS(D234-G$5))</f>
        <v>4.8034761341036901E-3</v>
      </c>
    </row>
    <row r="235" spans="2:13" s="107" customFormat="1" ht="12.75" customHeight="1" x14ac:dyDescent="0.4">
      <c r="B235" s="109">
        <v>44153</v>
      </c>
      <c r="C235" s="5">
        <v>3567.79</v>
      </c>
      <c r="D235" s="7">
        <f t="shared" si="30"/>
        <v>-1.1631213479601318E-2</v>
      </c>
      <c r="E235" s="5">
        <f t="shared" si="24"/>
        <v>0.74236031287565574</v>
      </c>
      <c r="F235" s="5">
        <f t="shared" si="25"/>
        <v>1.2240693831838303</v>
      </c>
      <c r="G235" s="5">
        <f t="shared" si="31"/>
        <v>1.0038425655556875</v>
      </c>
      <c r="H235" s="6" t="str">
        <f t="shared" si="26"/>
        <v/>
      </c>
      <c r="I235" s="6" t="str">
        <f t="shared" si="27"/>
        <v/>
      </c>
      <c r="J235" s="6" t="str">
        <f t="shared" si="28"/>
        <v/>
      </c>
      <c r="K235" s="6" t="str">
        <f t="shared" si="29"/>
        <v/>
      </c>
      <c r="L235" s="6"/>
      <c r="M235" s="110">
        <f>IF(D235="","",ABS(D235-G$5))</f>
        <v>1.1631213479601318E-2</v>
      </c>
    </row>
    <row r="236" spans="2:13" s="107" customFormat="1" ht="12.75" customHeight="1" x14ac:dyDescent="0.4">
      <c r="B236" s="109">
        <v>44154</v>
      </c>
      <c r="C236" s="5">
        <v>3581.87</v>
      </c>
      <c r="D236" s="7">
        <f t="shared" si="30"/>
        <v>3.9386539225387159E-3</v>
      </c>
      <c r="E236" s="5">
        <f t="shared" si="24"/>
        <v>0.18934029406483432</v>
      </c>
      <c r="F236" s="5">
        <f t="shared" si="25"/>
        <v>0.41450410019486589</v>
      </c>
      <c r="G236" s="5">
        <f t="shared" si="31"/>
        <v>0.26890369796030866</v>
      </c>
      <c r="H236" s="6" t="str">
        <f t="shared" si="26"/>
        <v/>
      </c>
      <c r="I236" s="6" t="str">
        <f t="shared" si="27"/>
        <v/>
      </c>
      <c r="J236" s="6" t="str">
        <f t="shared" si="28"/>
        <v/>
      </c>
      <c r="K236" s="6" t="str">
        <f t="shared" si="29"/>
        <v/>
      </c>
      <c r="L236" s="6"/>
      <c r="M236" s="110">
        <f>IF(D236="","",ABS(D236-G$5))</f>
        <v>3.9386539225387159E-3</v>
      </c>
    </row>
    <row r="237" spans="2:13" s="107" customFormat="1" ht="12.75" customHeight="1" x14ac:dyDescent="0.4">
      <c r="B237" s="109">
        <v>44155</v>
      </c>
      <c r="C237" s="5">
        <v>3557.54</v>
      </c>
      <c r="D237" s="7">
        <f t="shared" si="30"/>
        <v>-6.8157156362698918E-3</v>
      </c>
      <c r="E237" s="5">
        <f t="shared" si="24"/>
        <v>0.45420100185057666</v>
      </c>
      <c r="F237" s="5">
        <f t="shared" si="25"/>
        <v>0.71728619283593809</v>
      </c>
      <c r="G237" s="5">
        <f t="shared" si="31"/>
        <v>0.66476195056224807</v>
      </c>
      <c r="H237" s="6" t="str">
        <f t="shared" si="26"/>
        <v/>
      </c>
      <c r="I237" s="6" t="str">
        <f t="shared" si="27"/>
        <v/>
      </c>
      <c r="J237" s="6" t="str">
        <f t="shared" si="28"/>
        <v/>
      </c>
      <c r="K237" s="6" t="str">
        <f t="shared" si="29"/>
        <v/>
      </c>
      <c r="L237" s="6"/>
      <c r="M237" s="110">
        <f>IF(D237="","",ABS(D237-G$5))</f>
        <v>6.8157156362698918E-3</v>
      </c>
    </row>
    <row r="238" spans="2:13" s="107" customFormat="1" ht="12.75" customHeight="1" x14ac:dyDescent="0.4">
      <c r="B238" s="109">
        <v>44158</v>
      </c>
      <c r="C238" s="5">
        <v>3577.59</v>
      </c>
      <c r="D238" s="7">
        <f t="shared" si="30"/>
        <v>5.6200945950578216E-3</v>
      </c>
      <c r="E238" s="5">
        <f t="shared" si="24"/>
        <v>0.2899576760025348</v>
      </c>
      <c r="F238" s="5">
        <f t="shared" si="25"/>
        <v>0.59145898546804165</v>
      </c>
      <c r="G238" s="5">
        <f t="shared" si="31"/>
        <v>0.4429238353441069</v>
      </c>
      <c r="H238" s="6" t="str">
        <f t="shared" si="26"/>
        <v/>
      </c>
      <c r="I238" s="6" t="str">
        <f t="shared" si="27"/>
        <v/>
      </c>
      <c r="J238" s="6" t="str">
        <f t="shared" si="28"/>
        <v/>
      </c>
      <c r="K238" s="6" t="str">
        <f t="shared" si="29"/>
        <v/>
      </c>
      <c r="L238" s="6"/>
      <c r="M238" s="110">
        <f>IF(D238="","",ABS(D238-G$5))</f>
        <v>5.6200945950578216E-3</v>
      </c>
    </row>
    <row r="239" spans="2:13" s="107" customFormat="1" ht="12.75" customHeight="1" x14ac:dyDescent="0.4">
      <c r="B239" s="109">
        <v>44159</v>
      </c>
      <c r="C239" s="5">
        <v>3635.41</v>
      </c>
      <c r="D239" s="7">
        <f t="shared" si="30"/>
        <v>1.6032507557285768E-2</v>
      </c>
      <c r="E239" s="5">
        <f t="shared" si="24"/>
        <v>0.91303629485380355</v>
      </c>
      <c r="F239" s="5">
        <f t="shared" si="25"/>
        <v>1.6872617522629778</v>
      </c>
      <c r="G239" s="5">
        <f t="shared" si="31"/>
        <v>1.333124070154879</v>
      </c>
      <c r="H239" s="6" t="str">
        <f t="shared" si="26"/>
        <v/>
      </c>
      <c r="I239" s="6" t="str">
        <f t="shared" si="27"/>
        <v/>
      </c>
      <c r="J239" s="6" t="str">
        <f t="shared" si="28"/>
        <v/>
      </c>
      <c r="K239" s="6" t="str">
        <f t="shared" si="29"/>
        <v/>
      </c>
      <c r="L239" s="6"/>
      <c r="M239" s="110">
        <f>IF(D239="","",ABS(D239-G$5))</f>
        <v>1.6032507557285768E-2</v>
      </c>
    </row>
    <row r="240" spans="2:13" s="107" customFormat="1" ht="12.75" customHeight="1" x14ac:dyDescent="0.4">
      <c r="B240" s="109">
        <v>44160</v>
      </c>
      <c r="C240" s="5">
        <v>3629.65</v>
      </c>
      <c r="D240" s="7">
        <f t="shared" si="30"/>
        <v>-1.5856720266289198E-3</v>
      </c>
      <c r="E240" s="5">
        <f t="shared" si="24"/>
        <v>0.14123527904949687</v>
      </c>
      <c r="F240" s="5">
        <f t="shared" si="25"/>
        <v>0.16687618905555901</v>
      </c>
      <c r="G240" s="5">
        <f t="shared" si="31"/>
        <v>0.21686069463304142</v>
      </c>
      <c r="H240" s="6" t="str">
        <f t="shared" si="26"/>
        <v/>
      </c>
      <c r="I240" s="6" t="str">
        <f t="shared" si="27"/>
        <v/>
      </c>
      <c r="J240" s="6" t="str">
        <f t="shared" si="28"/>
        <v/>
      </c>
      <c r="K240" s="6" t="str">
        <f t="shared" si="29"/>
        <v/>
      </c>
      <c r="L240" s="6"/>
      <c r="M240" s="110">
        <f>IF(D240="","",ABS(D240-G$5))</f>
        <v>1.5856720266289198E-3</v>
      </c>
    </row>
    <row r="241" spans="2:13" s="107" customFormat="1" ht="12.75" customHeight="1" x14ac:dyDescent="0.4">
      <c r="B241" s="109">
        <v>44161</v>
      </c>
      <c r="C241" s="5">
        <v>3629.65</v>
      </c>
      <c r="D241" s="7">
        <f t="shared" si="30"/>
        <v>0</v>
      </c>
      <c r="E241" s="5">
        <f t="shared" si="24"/>
        <v>4.6348691292451449E-2</v>
      </c>
      <c r="F241" s="5">
        <f t="shared" si="25"/>
        <v>0</v>
      </c>
      <c r="G241" s="5">
        <f t="shared" si="31"/>
        <v>7.4994896531899113E-2</v>
      </c>
      <c r="H241" s="6" t="str">
        <f t="shared" si="26"/>
        <v/>
      </c>
      <c r="I241" s="6" t="str">
        <f t="shared" si="27"/>
        <v/>
      </c>
      <c r="J241" s="6" t="str">
        <f t="shared" si="28"/>
        <v/>
      </c>
      <c r="K241" s="6" t="str">
        <f t="shared" si="29"/>
        <v/>
      </c>
      <c r="L241" s="6"/>
      <c r="M241" s="110">
        <f>IF(D241="","",ABS(D241-G$5))</f>
        <v>0</v>
      </c>
    </row>
    <row r="242" spans="2:13" s="107" customFormat="1" ht="12.75" customHeight="1" x14ac:dyDescent="0.4">
      <c r="B242" s="109">
        <v>44162</v>
      </c>
      <c r="C242" s="5">
        <v>3638.35</v>
      </c>
      <c r="D242" s="7">
        <f t="shared" si="30"/>
        <v>2.3940572799516376E-3</v>
      </c>
      <c r="E242" s="5">
        <f t="shared" si="24"/>
        <v>9.6911656607149649E-2</v>
      </c>
      <c r="F242" s="5">
        <f t="shared" si="25"/>
        <v>0.25195068623893985</v>
      </c>
      <c r="G242" s="5">
        <f t="shared" si="31"/>
        <v>0.16506558531978871</v>
      </c>
      <c r="H242" s="6" t="str">
        <f t="shared" si="26"/>
        <v/>
      </c>
      <c r="I242" s="6" t="str">
        <f t="shared" si="27"/>
        <v/>
      </c>
      <c r="J242" s="6" t="str">
        <f t="shared" si="28"/>
        <v/>
      </c>
      <c r="K242" s="6" t="str">
        <f t="shared" si="29"/>
        <v/>
      </c>
      <c r="L242" s="6"/>
      <c r="M242" s="110">
        <f>IF(D242="","",ABS(D242-G$5))</f>
        <v>2.3940572799516376E-3</v>
      </c>
    </row>
    <row r="243" spans="2:13" s="107" customFormat="1" ht="12.75" customHeight="1" x14ac:dyDescent="0.4">
      <c r="B243" s="109">
        <v>44165</v>
      </c>
      <c r="C243" s="5">
        <v>3621.63</v>
      </c>
      <c r="D243" s="7">
        <f t="shared" si="30"/>
        <v>-4.6060814384970977E-3</v>
      </c>
      <c r="E243" s="5">
        <f t="shared" si="24"/>
        <v>0.32197652812780042</v>
      </c>
      <c r="F243" s="5">
        <f t="shared" si="25"/>
        <v>0.48474419932226115</v>
      </c>
      <c r="G243" s="5">
        <f t="shared" si="31"/>
        <v>0.56865083934670779</v>
      </c>
      <c r="H243" s="6" t="str">
        <f t="shared" si="26"/>
        <v/>
      </c>
      <c r="I243" s="6" t="str">
        <f t="shared" si="27"/>
        <v/>
      </c>
      <c r="J243" s="6" t="str">
        <f t="shared" si="28"/>
        <v/>
      </c>
      <c r="K243" s="6" t="str">
        <f t="shared" si="29"/>
        <v/>
      </c>
      <c r="L243" s="6"/>
      <c r="M243" s="110">
        <f>IF(D243="","",ABS(D243-G$5))</f>
        <v>4.6060814384970977E-3</v>
      </c>
    </row>
    <row r="244" spans="2:13" s="107" customFormat="1" ht="12.75" customHeight="1" x14ac:dyDescent="0.4">
      <c r="B244" s="109">
        <v>44166</v>
      </c>
      <c r="C244" s="5">
        <v>3662.45</v>
      </c>
      <c r="D244" s="7">
        <f t="shared" si="30"/>
        <v>1.1208121636017976E-2</v>
      </c>
      <c r="E244" s="5">
        <f t="shared" si="24"/>
        <v>0.6243451213925223</v>
      </c>
      <c r="F244" s="5">
        <f t="shared" si="25"/>
        <v>1.1795431802288723</v>
      </c>
      <c r="G244" s="5">
        <f t="shared" si="31"/>
        <v>1.0909584311168066</v>
      </c>
      <c r="H244" s="6" t="str">
        <f t="shared" si="26"/>
        <v/>
      </c>
      <c r="I244" s="6" t="str">
        <f t="shared" si="27"/>
        <v/>
      </c>
      <c r="J244" s="6" t="str">
        <f t="shared" si="28"/>
        <v/>
      </c>
      <c r="K244" s="6" t="str">
        <f t="shared" si="29"/>
        <v/>
      </c>
      <c r="L244" s="6"/>
      <c r="M244" s="110">
        <f>IF(D244="","",ABS(D244-G$5))</f>
        <v>1.1208121636017976E-2</v>
      </c>
    </row>
    <row r="245" spans="2:13" s="107" customFormat="1" ht="12.75" customHeight="1" x14ac:dyDescent="0.4">
      <c r="B245" s="109">
        <v>44167</v>
      </c>
      <c r="C245" s="5">
        <v>3669.01</v>
      </c>
      <c r="D245" s="7">
        <f t="shared" si="30"/>
        <v>1.7895485348597621E-3</v>
      </c>
      <c r="E245" s="5">
        <f t="shared" si="24"/>
        <v>6.0737863333513852E-2</v>
      </c>
      <c r="F245" s="5">
        <f t="shared" si="25"/>
        <v>0.18833216113564108</v>
      </c>
      <c r="G245" s="5">
        <f t="shared" si="31"/>
        <v>0.11180214554881432</v>
      </c>
      <c r="H245" s="6" t="str">
        <f t="shared" si="26"/>
        <v/>
      </c>
      <c r="I245" s="6" t="str">
        <f t="shared" si="27"/>
        <v/>
      </c>
      <c r="J245" s="6" t="str">
        <f t="shared" si="28"/>
        <v/>
      </c>
      <c r="K245" s="6" t="str">
        <f t="shared" si="29"/>
        <v/>
      </c>
      <c r="L245" s="6"/>
      <c r="M245" s="110">
        <f>IF(D245="","",ABS(D245-G$5))</f>
        <v>1.7895485348597621E-3</v>
      </c>
    </row>
    <row r="246" spans="2:13" s="107" customFormat="1" ht="12.75" customHeight="1" x14ac:dyDescent="0.4">
      <c r="B246" s="109">
        <v>44168</v>
      </c>
      <c r="C246" s="5">
        <v>3666.72</v>
      </c>
      <c r="D246" s="7">
        <f t="shared" si="30"/>
        <v>-6.2434142870242462E-4</v>
      </c>
      <c r="E246" s="5">
        <f t="shared" si="24"/>
        <v>8.3709272024191567E-2</v>
      </c>
      <c r="F246" s="5">
        <f t="shared" si="25"/>
        <v>6.5705717539119912E-2</v>
      </c>
      <c r="G246" s="5">
        <f t="shared" si="31"/>
        <v>0.16220746741482256</v>
      </c>
      <c r="H246" s="6" t="str">
        <f t="shared" si="26"/>
        <v/>
      </c>
      <c r="I246" s="6" t="str">
        <f t="shared" si="27"/>
        <v/>
      </c>
      <c r="J246" s="6" t="str">
        <f t="shared" si="28"/>
        <v/>
      </c>
      <c r="K246" s="6" t="str">
        <f t="shared" si="29"/>
        <v/>
      </c>
      <c r="L246" s="6"/>
      <c r="M246" s="110">
        <f>IF(D246="","",ABS(D246-G$5))</f>
        <v>6.2434142870242462E-4</v>
      </c>
    </row>
    <row r="247" spans="2:13" s="107" customFormat="1" ht="12.75" customHeight="1" x14ac:dyDescent="0.4">
      <c r="B247" s="109">
        <v>44169</v>
      </c>
      <c r="C247" s="5">
        <v>3699.12</v>
      </c>
      <c r="D247" s="7">
        <f t="shared" si="30"/>
        <v>8.7974240454147031E-3</v>
      </c>
      <c r="E247" s="5">
        <f t="shared" si="24"/>
        <v>0.48008901757969641</v>
      </c>
      <c r="F247" s="5">
        <f t="shared" si="25"/>
        <v>0.92584126701511527</v>
      </c>
      <c r="G247" s="5">
        <f t="shared" si="31"/>
        <v>0.93661426965726313</v>
      </c>
      <c r="H247" s="6" t="str">
        <f t="shared" si="26"/>
        <v/>
      </c>
      <c r="I247" s="6" t="str">
        <f t="shared" si="27"/>
        <v/>
      </c>
      <c r="J247" s="6" t="str">
        <f t="shared" si="28"/>
        <v/>
      </c>
      <c r="K247" s="6" t="str">
        <f t="shared" si="29"/>
        <v/>
      </c>
      <c r="L247" s="6"/>
      <c r="M247" s="110">
        <f>IF(D247="","",ABS(D247-G$5))</f>
        <v>8.7974240454147031E-3</v>
      </c>
    </row>
    <row r="248" spans="2:13" s="107" customFormat="1" ht="12.75" customHeight="1" x14ac:dyDescent="0.4">
      <c r="B248" s="109">
        <v>44172</v>
      </c>
      <c r="C248" s="5">
        <v>3691.96</v>
      </c>
      <c r="D248" s="7">
        <f t="shared" si="30"/>
        <v>-1.9374711787083175E-3</v>
      </c>
      <c r="E248" s="5">
        <f t="shared" si="24"/>
        <v>0.16228693447133263</v>
      </c>
      <c r="F248" s="5">
        <f t="shared" si="25"/>
        <v>0.20389954623541393</v>
      </c>
      <c r="G248" s="5">
        <f t="shared" si="31"/>
        <v>0.33189148493096154</v>
      </c>
      <c r="H248" s="6" t="str">
        <f t="shared" si="26"/>
        <v/>
      </c>
      <c r="I248" s="6" t="str">
        <f t="shared" si="27"/>
        <v/>
      </c>
      <c r="J248" s="6" t="str">
        <f t="shared" si="28"/>
        <v/>
      </c>
      <c r="K248" s="6" t="str">
        <f t="shared" si="29"/>
        <v/>
      </c>
      <c r="L248" s="6"/>
      <c r="M248" s="110">
        <f>IF(D248="","",ABS(D248-G$5))</f>
        <v>1.9374711787083175E-3</v>
      </c>
    </row>
    <row r="249" spans="2:13" s="107" customFormat="1" ht="12.75" customHeight="1" x14ac:dyDescent="0.4">
      <c r="B249" s="109">
        <v>44173</v>
      </c>
      <c r="C249" s="5">
        <v>3702.25</v>
      </c>
      <c r="D249" s="7">
        <f t="shared" si="30"/>
        <v>2.7832605897471193E-3</v>
      </c>
      <c r="E249" s="5">
        <f t="shared" si="24"/>
        <v>0.12020157620594189</v>
      </c>
      <c r="F249" s="5">
        <f t="shared" si="25"/>
        <v>0.292910458509476</v>
      </c>
      <c r="G249" s="5">
        <f t="shared" si="31"/>
        <v>0.25825476023093002</v>
      </c>
      <c r="H249" s="6" t="str">
        <f t="shared" si="26"/>
        <v/>
      </c>
      <c r="I249" s="6" t="str">
        <f t="shared" si="27"/>
        <v/>
      </c>
      <c r="J249" s="6" t="str">
        <f t="shared" si="28"/>
        <v/>
      </c>
      <c r="K249" s="6" t="str">
        <f t="shared" si="29"/>
        <v/>
      </c>
      <c r="L249" s="6"/>
      <c r="M249" s="110">
        <f>IF(D249="","",ABS(D249-G$5))</f>
        <v>2.7832605897471193E-3</v>
      </c>
    </row>
    <row r="250" spans="2:13" s="107" customFormat="1" ht="12.75" customHeight="1" x14ac:dyDescent="0.4">
      <c r="B250" s="109">
        <v>44174</v>
      </c>
      <c r="C250" s="5">
        <v>3672.82</v>
      </c>
      <c r="D250" s="7">
        <f t="shared" si="30"/>
        <v>-7.9809835607026966E-3</v>
      </c>
      <c r="E250" s="5">
        <f t="shared" si="24"/>
        <v>0.52393061510939642</v>
      </c>
      <c r="F250" s="5">
        <f t="shared" si="25"/>
        <v>0.83991903695026149</v>
      </c>
      <c r="G250" s="5">
        <f t="shared" si="31"/>
        <v>1.1109314216991653</v>
      </c>
      <c r="H250" s="6" t="str">
        <f t="shared" si="26"/>
        <v/>
      </c>
      <c r="I250" s="6" t="str">
        <f t="shared" si="27"/>
        <v/>
      </c>
      <c r="J250" s="6" t="str">
        <f t="shared" si="28"/>
        <v/>
      </c>
      <c r="K250" s="6" t="str">
        <f t="shared" si="29"/>
        <v/>
      </c>
      <c r="L250" s="6"/>
      <c r="M250" s="110">
        <f>IF(D250="","",ABS(D250-G$5))</f>
        <v>7.9809835607026966E-3</v>
      </c>
    </row>
    <row r="251" spans="2:13" s="107" customFormat="1" ht="12.75" customHeight="1" x14ac:dyDescent="0.4">
      <c r="B251" s="109">
        <v>44175</v>
      </c>
      <c r="C251" s="5">
        <v>3668.1</v>
      </c>
      <c r="D251" s="7">
        <f t="shared" si="30"/>
        <v>-1.2859425386560199E-3</v>
      </c>
      <c r="E251" s="5">
        <f t="shared" si="24"/>
        <v>0.12329947146362563</v>
      </c>
      <c r="F251" s="5">
        <f t="shared" si="25"/>
        <v>0.13533264545983364</v>
      </c>
      <c r="G251" s="5">
        <f t="shared" si="31"/>
        <v>0.27454308608942662</v>
      </c>
      <c r="H251" s="6" t="str">
        <f t="shared" si="26"/>
        <v/>
      </c>
      <c r="I251" s="6" t="str">
        <f t="shared" si="27"/>
        <v/>
      </c>
      <c r="J251" s="6" t="str">
        <f t="shared" si="28"/>
        <v/>
      </c>
      <c r="K251" s="6" t="str">
        <f t="shared" si="29"/>
        <v/>
      </c>
      <c r="L251" s="6"/>
      <c r="M251" s="110">
        <f>IF(D251="","",ABS(D251-G$5))</f>
        <v>1.2859425386560199E-3</v>
      </c>
    </row>
    <row r="252" spans="2:13" s="107" customFormat="1" ht="12.75" customHeight="1" x14ac:dyDescent="0.4">
      <c r="B252" s="109">
        <v>44176</v>
      </c>
      <c r="C252" s="5">
        <v>3663.46</v>
      </c>
      <c r="D252" s="7">
        <f t="shared" si="30"/>
        <v>-1.2657607983834493E-3</v>
      </c>
      <c r="E252" s="5">
        <f t="shared" si="24"/>
        <v>0.122091796460659</v>
      </c>
      <c r="F252" s="5">
        <f t="shared" si="25"/>
        <v>0.13320871828659869</v>
      </c>
      <c r="G252" s="5">
        <f t="shared" si="31"/>
        <v>0.28538995002618756</v>
      </c>
      <c r="H252" s="6" t="str">
        <f t="shared" si="26"/>
        <v/>
      </c>
      <c r="I252" s="6" t="str">
        <f t="shared" si="27"/>
        <v/>
      </c>
      <c r="J252" s="6" t="str">
        <f t="shared" si="28"/>
        <v/>
      </c>
      <c r="K252" s="6" t="str">
        <f t="shared" si="29"/>
        <v/>
      </c>
      <c r="L252" s="6"/>
      <c r="M252" s="110">
        <f>IF(D252="","",ABS(D252-G$5))</f>
        <v>1.2657607983834493E-3</v>
      </c>
    </row>
    <row r="253" spans="2:13" s="107" customFormat="1" ht="12.75" customHeight="1" x14ac:dyDescent="0.4">
      <c r="B253" s="109">
        <v>44179</v>
      </c>
      <c r="C253" s="5">
        <v>3647.49</v>
      </c>
      <c r="D253" s="7">
        <f t="shared" si="30"/>
        <v>-4.3687962305264194E-3</v>
      </c>
      <c r="E253" s="5">
        <f t="shared" si="24"/>
        <v>0.30777738522091252</v>
      </c>
      <c r="F253" s="5">
        <f t="shared" si="25"/>
        <v>0.45977229431263261</v>
      </c>
      <c r="G253" s="5">
        <f t="shared" si="31"/>
        <v>0.73743818309817954</v>
      </c>
      <c r="H253" s="6" t="str">
        <f t="shared" si="26"/>
        <v/>
      </c>
      <c r="I253" s="6" t="str">
        <f t="shared" si="27"/>
        <v/>
      </c>
      <c r="J253" s="6" t="str">
        <f t="shared" si="28"/>
        <v/>
      </c>
      <c r="K253" s="6" t="str">
        <f t="shared" si="29"/>
        <v/>
      </c>
      <c r="L253" s="6"/>
      <c r="M253" s="110">
        <f>IF(D253="","",ABS(D253-G$5))</f>
        <v>4.3687962305264194E-3</v>
      </c>
    </row>
    <row r="254" spans="2:13" s="107" customFormat="1" ht="12.75" customHeight="1" x14ac:dyDescent="0.4">
      <c r="B254" s="109">
        <v>44180</v>
      </c>
      <c r="C254" s="5">
        <v>3694.62</v>
      </c>
      <c r="D254" s="7">
        <f t="shared" si="30"/>
        <v>1.2838447626446777E-2</v>
      </c>
      <c r="E254" s="5">
        <f t="shared" si="24"/>
        <v>0.72190380160225809</v>
      </c>
      <c r="F254" s="5">
        <f t="shared" si="25"/>
        <v>1.3511187542644332</v>
      </c>
      <c r="G254" s="5">
        <f t="shared" si="31"/>
        <v>1.5795215856185096</v>
      </c>
      <c r="H254" s="6" t="str">
        <f t="shared" si="26"/>
        <v/>
      </c>
      <c r="I254" s="6" t="str">
        <f t="shared" si="27"/>
        <v/>
      </c>
      <c r="J254" s="6" t="str">
        <f t="shared" si="28"/>
        <v/>
      </c>
      <c r="K254" s="6" t="str">
        <f t="shared" si="29"/>
        <v/>
      </c>
      <c r="L254" s="6"/>
      <c r="M254" s="110">
        <f>IF(D254="","",ABS(D254-G$5))</f>
        <v>1.2838447626446777E-2</v>
      </c>
    </row>
    <row r="255" spans="2:13" s="107" customFormat="1" ht="12.75" customHeight="1" x14ac:dyDescent="0.4">
      <c r="B255" s="109">
        <v>44181</v>
      </c>
      <c r="C255" s="5">
        <v>3701.17</v>
      </c>
      <c r="D255" s="7">
        <f t="shared" si="30"/>
        <v>1.7712784469306416E-3</v>
      </c>
      <c r="E255" s="5">
        <f t="shared" si="24"/>
        <v>5.9644581575052757E-2</v>
      </c>
      <c r="F255" s="5">
        <f t="shared" si="25"/>
        <v>0.18640941633336106</v>
      </c>
      <c r="G255" s="5">
        <f t="shared" si="31"/>
        <v>0.13743123736081578</v>
      </c>
      <c r="H255" s="6" t="str">
        <f t="shared" si="26"/>
        <v/>
      </c>
      <c r="I255" s="6" t="str">
        <f t="shared" si="27"/>
        <v/>
      </c>
      <c r="J255" s="6" t="str">
        <f t="shared" si="28"/>
        <v/>
      </c>
      <c r="K255" s="6" t="str">
        <f t="shared" si="29"/>
        <v/>
      </c>
      <c r="L255" s="6"/>
      <c r="M255" s="110">
        <f>IF(D255="","",ABS(D255-G$5))</f>
        <v>1.7712784469306416E-3</v>
      </c>
    </row>
    <row r="256" spans="2:13" s="107" customFormat="1" ht="12.75" customHeight="1" x14ac:dyDescent="0.4">
      <c r="B256" s="109">
        <v>44182</v>
      </c>
      <c r="C256" s="5">
        <v>3722.48</v>
      </c>
      <c r="D256" s="7">
        <f t="shared" si="30"/>
        <v>5.7411269476310561E-3</v>
      </c>
      <c r="E256" s="5">
        <f t="shared" si="24"/>
        <v>0.29720024997181721</v>
      </c>
      <c r="F256" s="5">
        <f t="shared" si="25"/>
        <v>0.60419643521216626</v>
      </c>
      <c r="G256" s="5">
        <f t="shared" si="31"/>
        <v>0.70374075291591787</v>
      </c>
      <c r="H256" s="6" t="str">
        <f t="shared" si="26"/>
        <v/>
      </c>
      <c r="I256" s="6" t="str">
        <f t="shared" si="27"/>
        <v/>
      </c>
      <c r="J256" s="6" t="str">
        <f t="shared" si="28"/>
        <v/>
      </c>
      <c r="K256" s="6" t="str">
        <f t="shared" si="29"/>
        <v/>
      </c>
      <c r="L256" s="6"/>
      <c r="M256" s="110">
        <f>IF(D256="","",ABS(D256-G$5))</f>
        <v>5.7411269476310561E-3</v>
      </c>
    </row>
    <row r="257" spans="2:13" s="107" customFormat="1" ht="12.75" customHeight="1" x14ac:dyDescent="0.4">
      <c r="B257" s="109">
        <v>44183</v>
      </c>
      <c r="C257" s="5">
        <v>3709.41</v>
      </c>
      <c r="D257" s="7">
        <f t="shared" si="30"/>
        <v>-3.5172785050231921E-3</v>
      </c>
      <c r="E257" s="5">
        <f t="shared" si="24"/>
        <v>0.25682257865891844</v>
      </c>
      <c r="F257" s="5">
        <f t="shared" si="25"/>
        <v>0.3701585339896159</v>
      </c>
      <c r="G257" s="5">
        <f t="shared" si="31"/>
        <v>0.62824790437959266</v>
      </c>
      <c r="H257" s="6" t="str">
        <f t="shared" si="26"/>
        <v/>
      </c>
      <c r="I257" s="6" t="str">
        <f t="shared" si="27"/>
        <v/>
      </c>
      <c r="J257" s="6" t="str">
        <f t="shared" si="28"/>
        <v/>
      </c>
      <c r="K257" s="6" t="str">
        <f t="shared" si="29"/>
        <v/>
      </c>
      <c r="L257" s="6"/>
      <c r="M257" s="110">
        <f>IF(D257="","",ABS(D257-G$5))</f>
        <v>3.5172785050231921E-3</v>
      </c>
    </row>
    <row r="258" spans="2:13" s="107" customFormat="1" ht="12.75" customHeight="1" x14ac:dyDescent="0.4">
      <c r="B258" s="109">
        <v>44186</v>
      </c>
      <c r="C258" s="5">
        <v>3694.92</v>
      </c>
      <c r="D258" s="7">
        <f t="shared" si="30"/>
        <v>-3.913931036978114E-3</v>
      </c>
      <c r="E258" s="5">
        <f t="shared" si="24"/>
        <v>0.28055825958810143</v>
      </c>
      <c r="F258" s="5">
        <f t="shared" si="25"/>
        <v>0.4119022627054445</v>
      </c>
      <c r="G258" s="5">
        <f t="shared" si="31"/>
        <v>0.70521650340808506</v>
      </c>
      <c r="H258" s="6" t="str">
        <f t="shared" si="26"/>
        <v/>
      </c>
      <c r="I258" s="6" t="str">
        <f t="shared" si="27"/>
        <v/>
      </c>
      <c r="J258" s="6" t="str">
        <f t="shared" si="28"/>
        <v/>
      </c>
      <c r="K258" s="6" t="str">
        <f t="shared" si="29"/>
        <v/>
      </c>
      <c r="L258" s="6"/>
      <c r="M258" s="110">
        <f>IF(D258="","",ABS(D258-G$5))</f>
        <v>3.913931036978114E-3</v>
      </c>
    </row>
    <row r="259" spans="2:13" s="107" customFormat="1" ht="12.75" customHeight="1" x14ac:dyDescent="0.4">
      <c r="B259" s="109">
        <v>44187</v>
      </c>
      <c r="C259" s="5">
        <v>3687.26</v>
      </c>
      <c r="D259" s="7">
        <f t="shared" si="30"/>
        <v>-2.0752684841428568E-3</v>
      </c>
      <c r="E259" s="5">
        <f t="shared" si="24"/>
        <v>0.17053272294159785</v>
      </c>
      <c r="F259" s="5">
        <f t="shared" si="25"/>
        <v>0.21840134030560857</v>
      </c>
      <c r="G259" s="5">
        <f t="shared" si="31"/>
        <v>0.44729829144684241</v>
      </c>
      <c r="H259" s="6" t="str">
        <f t="shared" si="26"/>
        <v/>
      </c>
      <c r="I259" s="6" t="str">
        <f t="shared" si="27"/>
        <v/>
      </c>
      <c r="J259" s="6" t="str">
        <f t="shared" si="28"/>
        <v/>
      </c>
      <c r="K259" s="6" t="str">
        <f t="shared" si="29"/>
        <v/>
      </c>
      <c r="L259" s="6"/>
      <c r="M259" s="110">
        <f>IF(D259="","",ABS(D259-G$5))</f>
        <v>2.0752684841428568E-3</v>
      </c>
    </row>
    <row r="260" spans="2:13" s="107" customFormat="1" ht="12.75" customHeight="1" x14ac:dyDescent="0.4">
      <c r="B260" s="109">
        <v>44188</v>
      </c>
      <c r="C260" s="5">
        <v>3690.01</v>
      </c>
      <c r="D260" s="7">
        <f t="shared" si="30"/>
        <v>7.4553327379252537E-4</v>
      </c>
      <c r="E260" s="5">
        <f t="shared" si="24"/>
        <v>1.7359925618666409E-3</v>
      </c>
      <c r="F260" s="5">
        <f t="shared" si="25"/>
        <v>7.8459952282254788E-2</v>
      </c>
      <c r="G260" s="5">
        <f t="shared" si="31"/>
        <v>4.7997168498637739E-3</v>
      </c>
      <c r="H260" s="6" t="str">
        <f t="shared" si="26"/>
        <v/>
      </c>
      <c r="I260" s="6" t="str">
        <f t="shared" si="27"/>
        <v/>
      </c>
      <c r="J260" s="6" t="str">
        <f t="shared" si="28"/>
        <v/>
      </c>
      <c r="K260" s="6" t="str">
        <f t="shared" si="29"/>
        <v/>
      </c>
      <c r="L260" s="6"/>
      <c r="M260" s="110">
        <f>IF(D260="","",ABS(D260-G$5))</f>
        <v>7.4553327379252537E-4</v>
      </c>
    </row>
    <row r="261" spans="2:13" s="107" customFormat="1" ht="12.75" customHeight="1" x14ac:dyDescent="0.4">
      <c r="B261" s="109">
        <v>44189</v>
      </c>
      <c r="C261" s="5">
        <v>3703.06</v>
      </c>
      <c r="D261" s="7">
        <f t="shared" si="30"/>
        <v>3.5303368029281483E-3</v>
      </c>
      <c r="E261" s="5">
        <f t="shared" si="24"/>
        <v>0.16490660440392754</v>
      </c>
      <c r="F261" s="5">
        <f t="shared" si="25"/>
        <v>0.37153278979619908</v>
      </c>
      <c r="G261" s="5">
        <f t="shared" si="31"/>
        <v>0.47514481442550272</v>
      </c>
      <c r="H261" s="6" t="str">
        <f t="shared" si="26"/>
        <v/>
      </c>
      <c r="I261" s="6" t="str">
        <f t="shared" si="27"/>
        <v/>
      </c>
      <c r="J261" s="6" t="str">
        <f t="shared" si="28"/>
        <v/>
      </c>
      <c r="K261" s="6" t="str">
        <f t="shared" si="29"/>
        <v/>
      </c>
      <c r="L261" s="6"/>
      <c r="M261" s="110">
        <f>IF(D261="","",ABS(D261-G$5))</f>
        <v>3.5303368029281483E-3</v>
      </c>
    </row>
    <row r="262" spans="2:13" s="107" customFormat="1" ht="12.75" customHeight="1" x14ac:dyDescent="0.4">
      <c r="B262" s="109">
        <v>44190</v>
      </c>
      <c r="C262" s="5"/>
      <c r="D262" s="7"/>
      <c r="E262" s="5" t="str">
        <f t="shared" si="24"/>
        <v/>
      </c>
      <c r="F262" s="5" t="str">
        <f t="shared" si="25"/>
        <v/>
      </c>
      <c r="G262" s="5" t="str">
        <f t="shared" si="31"/>
        <v/>
      </c>
      <c r="H262" s="6" t="str">
        <f t="shared" si="26"/>
        <v/>
      </c>
      <c r="I262" s="6" t="str">
        <f t="shared" si="27"/>
        <v/>
      </c>
      <c r="J262" s="6" t="str">
        <f t="shared" si="28"/>
        <v/>
      </c>
      <c r="K262" s="6" t="str">
        <f t="shared" si="29"/>
        <v>MISSING</v>
      </c>
      <c r="L262" s="6"/>
      <c r="M262" s="110" t="str">
        <f>IF(D262="","",ABS(D262-G$5))</f>
        <v/>
      </c>
    </row>
    <row r="263" spans="2:13" s="107" customFormat="1" ht="12.75" customHeight="1" x14ac:dyDescent="0.4">
      <c r="B263" s="109">
        <v>44193</v>
      </c>
      <c r="C263" s="5">
        <v>3735.36</v>
      </c>
      <c r="D263" s="7"/>
      <c r="E263" s="5"/>
      <c r="F263" s="5" t="str">
        <f t="shared" si="25"/>
        <v/>
      </c>
      <c r="G263" s="5"/>
      <c r="H263" s="6"/>
      <c r="I263" s="6"/>
      <c r="J263" s="6"/>
      <c r="K263" s="6"/>
      <c r="L263" s="6"/>
      <c r="M263" s="110" t="str">
        <f>IF(D263="","",ABS(D263-G$5))</f>
        <v/>
      </c>
    </row>
    <row r="264" spans="2:13" s="107" customFormat="1" ht="12.75" customHeight="1" x14ac:dyDescent="0.4">
      <c r="B264" s="109">
        <v>44194</v>
      </c>
      <c r="C264" s="5">
        <v>3727.04</v>
      </c>
      <c r="D264" s="7"/>
      <c r="E264" s="5"/>
      <c r="F264" s="5" t="str">
        <f t="shared" si="25"/>
        <v/>
      </c>
      <c r="G264" s="5"/>
      <c r="H264" s="6"/>
      <c r="I264" s="6"/>
      <c r="J264" s="6"/>
      <c r="K264" s="6"/>
      <c r="L264" s="6"/>
      <c r="M264" s="110" t="str">
        <f>IF(D264="","",ABS(D264-G$5))</f>
        <v/>
      </c>
    </row>
    <row r="265" spans="2:13" s="107" customFormat="1" ht="12.75" customHeight="1" x14ac:dyDescent="0.4">
      <c r="B265" s="109">
        <v>44195</v>
      </c>
      <c r="C265" s="5">
        <v>3732.04</v>
      </c>
      <c r="D265" s="7"/>
      <c r="E265" s="5"/>
      <c r="F265" s="5" t="str">
        <f t="shared" si="25"/>
        <v/>
      </c>
      <c r="G265" s="5"/>
      <c r="H265" s="6"/>
      <c r="I265" s="6"/>
      <c r="J265" s="6"/>
      <c r="K265" s="6"/>
      <c r="L265" s="6"/>
      <c r="M265" s="110" t="str">
        <f>IF(D265="","",ABS(D265-G$5))</f>
        <v/>
      </c>
    </row>
    <row r="266" spans="2:13" s="107" customFormat="1" ht="12.75" customHeight="1" x14ac:dyDescent="0.4">
      <c r="B266" s="109">
        <v>44196</v>
      </c>
      <c r="C266" s="5">
        <v>3756.07</v>
      </c>
      <c r="D266" s="7"/>
      <c r="E266" s="5"/>
      <c r="F266" s="5" t="str">
        <f t="shared" si="25"/>
        <v/>
      </c>
      <c r="G266" s="5"/>
      <c r="H266" s="6"/>
      <c r="I266" s="6"/>
      <c r="J266" s="6"/>
      <c r="K266" s="6"/>
      <c r="L266" s="6"/>
      <c r="M266" s="110" t="str">
        <f>IF(D266="","",ABS(D266-G$5))</f>
        <v/>
      </c>
    </row>
    <row r="267" spans="2:13" ht="15.75" customHeight="1" x14ac:dyDescent="0.55000000000000004">
      <c r="B267" s="94"/>
      <c r="C267" s="98"/>
      <c r="D267" s="98"/>
      <c r="E267" s="98"/>
      <c r="F267" s="100" t="str">
        <f t="shared" si="25"/>
        <v/>
      </c>
      <c r="G267" s="100"/>
      <c r="H267" s="100"/>
      <c r="I267" s="100"/>
      <c r="J267" s="100"/>
      <c r="K267" s="100"/>
      <c r="L267" s="100"/>
      <c r="M267" s="106" t="str">
        <f>IF(D267="","",ABS(D267-G$5))</f>
        <v/>
      </c>
    </row>
    <row r="268" spans="2:13" ht="15.75" customHeight="1" x14ac:dyDescent="0.55000000000000004">
      <c r="B268" s="101" t="str">
        <f>"YEAR 2021   |   Observations: "&amp;COUNTA(C270:C526)&amp;"   |   Missing: "&amp;COUNTIF(K270:K526,"MISSING")&amp;"   |   Stale: "&amp;COUNTIF(L270:L526,"STALE")&amp;"   |   Z&gt;3 Outliers: "&amp;COUNTIF(H270:H526,"OUTLIER")&amp;"   |   Robust Z&gt;3: "&amp;COUNTIF(I270:I526,"OUTLIER")</f>
        <v>YEAR 2021   |   Observations: 251   |   Missing: 3   |   Stale: 0   |   Z&gt;3 Outliers: 0   |   Robust Z&gt;3: 3</v>
      </c>
      <c r="C268" s="101"/>
      <c r="D268" s="101"/>
      <c r="E268" s="101"/>
      <c r="F268" s="101"/>
      <c r="G268" s="101"/>
      <c r="H268" s="101"/>
      <c r="I268" s="101"/>
      <c r="J268" s="101"/>
      <c r="K268" s="101"/>
      <c r="L268" s="101"/>
      <c r="M268" s="106"/>
    </row>
    <row r="269" spans="2:13" ht="15.75" customHeight="1" x14ac:dyDescent="0.55000000000000004">
      <c r="B269" s="83" t="s">
        <v>51</v>
      </c>
      <c r="C269" s="86" t="s">
        <v>52</v>
      </c>
      <c r="D269" s="87" t="s">
        <v>53</v>
      </c>
      <c r="E269" s="87" t="s">
        <v>54</v>
      </c>
      <c r="F269" s="88" t="s">
        <v>55</v>
      </c>
      <c r="G269" s="88" t="s">
        <v>56</v>
      </c>
      <c r="H269" s="88" t="s">
        <v>57</v>
      </c>
      <c r="I269" s="88" t="s">
        <v>105</v>
      </c>
      <c r="J269" s="88" t="s">
        <v>106</v>
      </c>
      <c r="K269" s="88" t="s">
        <v>58</v>
      </c>
      <c r="L269" s="88" t="s">
        <v>59</v>
      </c>
      <c r="M269" s="106"/>
    </row>
    <row r="270" spans="2:13" ht="15.75" customHeight="1" x14ac:dyDescent="0.55000000000000004">
      <c r="B270" s="94">
        <v>44197</v>
      </c>
      <c r="C270" s="95"/>
      <c r="D270" s="95"/>
      <c r="E270" s="95"/>
      <c r="F270" s="96" t="str">
        <f>IF(D270="","",ABS(D270-$G$5)/$H$5)</f>
        <v/>
      </c>
      <c r="G270" s="96"/>
      <c r="H270" s="96"/>
      <c r="I270" s="96"/>
      <c r="J270" s="96"/>
      <c r="K270" s="96"/>
      <c r="L270" s="96"/>
      <c r="M270" s="106" t="str">
        <f>IF(D270="","",ABS(D270-G$5))</f>
        <v/>
      </c>
    </row>
    <row r="271" spans="2:13" ht="15.75" customHeight="1" x14ac:dyDescent="0.55000000000000004">
      <c r="B271" s="94">
        <v>44200</v>
      </c>
      <c r="C271" s="95">
        <v>3700.65</v>
      </c>
      <c r="D271" s="95"/>
      <c r="E271" s="95"/>
      <c r="F271" s="96" t="str">
        <f>IF(D271="","",ABS(D271-$G$5)/$H$5)</f>
        <v/>
      </c>
      <c r="G271" s="96"/>
      <c r="H271" s="96"/>
      <c r="I271" s="96"/>
      <c r="J271" s="96"/>
      <c r="K271" s="96"/>
      <c r="L271" s="96"/>
      <c r="M271" s="106" t="str">
        <f>IF(D271="","",ABS(D271-G$5))</f>
        <v/>
      </c>
    </row>
    <row r="272" spans="2:13" ht="15.75" customHeight="1" x14ac:dyDescent="0.55000000000000004">
      <c r="B272" s="94">
        <v>44201</v>
      </c>
      <c r="C272" s="95">
        <v>3726.86</v>
      </c>
      <c r="D272" s="95"/>
      <c r="E272" s="95"/>
      <c r="F272" s="96" t="str">
        <f>IF(D272="","",ABS(D272-$G$5)/$H$5)</f>
        <v/>
      </c>
      <c r="G272" s="96"/>
      <c r="H272" s="96"/>
      <c r="I272" s="96"/>
      <c r="J272" s="96"/>
      <c r="K272" s="96"/>
      <c r="L272" s="96"/>
      <c r="M272" s="106" t="str">
        <f>IF(D272="","",ABS(D272-G$5))</f>
        <v/>
      </c>
    </row>
    <row r="273" spans="2:13" ht="15.75" customHeight="1" x14ac:dyDescent="0.55000000000000004">
      <c r="B273" s="94">
        <v>44202</v>
      </c>
      <c r="C273" s="95">
        <v>3748.14</v>
      </c>
      <c r="D273" s="95">
        <f>IF(OR(C273="",C272=""),"",LN(C273/C272))</f>
        <v>5.6936608662176199E-3</v>
      </c>
      <c r="E273" s="95">
        <f>IF(D273="","",ABS(D273-$E$5)/$F$5)</f>
        <v>0.29435988044780276</v>
      </c>
      <c r="F273" s="96">
        <f>IF(D273="","",ABS(D273-$G$5)/$H$5)</f>
        <v>0.59920110285928696</v>
      </c>
      <c r="G273" s="96">
        <f>IF(D273="","",ABS(D273-$E$5)/SQRT(0.9*(IF(G272="",($F$5)^2,(ABS(D272-$E$5)/MAX(G272,0.0000000001))^2))+0.1*(D273-$E$5)^2))</f>
        <v>0.30879963035383828</v>
      </c>
      <c r="H273" s="96" t="str">
        <f>IF(E273="","",IF(E273&gt;$I$5,"OUTLIER",""))</f>
        <v/>
      </c>
      <c r="I273" s="96" t="str">
        <f>IF(F273="","",IF(F273&gt;$I$5,"OUTLIER",""))</f>
        <v/>
      </c>
      <c r="J273" s="96" t="str">
        <f>IF(G273="","",IF(G273&gt;$I$5,"OUTLIER",""))</f>
        <v/>
      </c>
      <c r="K273" s="96" t="str">
        <f>IF(C273="","MISSING","")</f>
        <v/>
      </c>
      <c r="L273" s="96"/>
      <c r="M273" s="106">
        <f>IF(D273="","",ABS(D273-G$5))</f>
        <v>5.6936608662176199E-3</v>
      </c>
    </row>
    <row r="274" spans="2:13" ht="15.75" customHeight="1" x14ac:dyDescent="0.55000000000000004">
      <c r="B274" s="94">
        <v>44203</v>
      </c>
      <c r="C274" s="95"/>
      <c r="D274" s="95"/>
      <c r="E274" s="95"/>
      <c r="F274" s="96"/>
      <c r="G274" s="96"/>
      <c r="H274" s="96"/>
      <c r="I274" s="96"/>
      <c r="J274" s="96"/>
      <c r="K274" s="96"/>
      <c r="L274" s="96"/>
      <c r="M274" s="106" t="str">
        <f>IF(D274="","",ABS(D274-G$5))</f>
        <v/>
      </c>
    </row>
    <row r="275" spans="2:13" ht="15.75" customHeight="1" x14ac:dyDescent="0.55000000000000004">
      <c r="B275" s="94">
        <v>44204</v>
      </c>
      <c r="C275" s="95">
        <v>3824.68</v>
      </c>
      <c r="D275" s="95" t="str">
        <f t="shared" ref="D275:D281" si="32">IF(OR(C275="",C274=""),"",LN(C275/C274))</f>
        <v/>
      </c>
      <c r="E275" s="95" t="str">
        <f t="shared" ref="E275:E281" si="33">IF(D275="","",ABS(D275-$E$5)/$F$5)</f>
        <v/>
      </c>
      <c r="F275" s="96" t="str">
        <f t="shared" ref="F275:F281" si="34">IF(D275="","",ABS(D275-$G$5)/$H$5)</f>
        <v/>
      </c>
      <c r="G275" s="96" t="str">
        <f t="shared" ref="G275:G281" si="35">IF(D275="","",ABS(D275-$E$5)/SQRT(0.9*(IF(G274="",($F$5)^2,(ABS(D274-$E$5)/MAX(G274,0.0000000001))^2))+0.1*(D275-$E$5)^2))</f>
        <v/>
      </c>
      <c r="H275" s="96" t="str">
        <f t="shared" ref="H275:J281" si="36">IF(E275="","",IF(E275&gt;$I$5,"OUTLIER",""))</f>
        <v/>
      </c>
      <c r="I275" s="96" t="str">
        <f t="shared" si="36"/>
        <v/>
      </c>
      <c r="J275" s="96" t="str">
        <f t="shared" si="36"/>
        <v/>
      </c>
      <c r="K275" s="96" t="str">
        <f t="shared" ref="K275:K281" si="37">IF(C275="","MISSING","")</f>
        <v/>
      </c>
      <c r="L275" s="96"/>
      <c r="M275" s="106" t="str">
        <f>IF(D275="","",ABS(D275-G$5))</f>
        <v/>
      </c>
    </row>
    <row r="276" spans="2:13" ht="15.75" customHeight="1" x14ac:dyDescent="0.55000000000000004">
      <c r="B276" s="94">
        <v>44207</v>
      </c>
      <c r="C276" s="95">
        <v>3799.61</v>
      </c>
      <c r="D276" s="95">
        <f t="shared" si="32"/>
        <v>-6.5763737616643747E-3</v>
      </c>
      <c r="E276" s="95">
        <f t="shared" si="33"/>
        <v>0.43987878804639324</v>
      </c>
      <c r="F276" s="96">
        <f t="shared" si="34"/>
        <v>0.69209784414538689</v>
      </c>
      <c r="G276" s="96">
        <f t="shared" si="35"/>
        <v>0.45876759791317301</v>
      </c>
      <c r="H276" s="96" t="str">
        <f t="shared" si="36"/>
        <v/>
      </c>
      <c r="I276" s="96" t="str">
        <f t="shared" si="36"/>
        <v/>
      </c>
      <c r="J276" s="96" t="str">
        <f t="shared" si="36"/>
        <v/>
      </c>
      <c r="K276" s="96" t="str">
        <f t="shared" si="37"/>
        <v/>
      </c>
      <c r="L276" s="96"/>
      <c r="M276" s="106">
        <f>IF(D276="","",ABS(D276-G$5))</f>
        <v>6.5763737616643747E-3</v>
      </c>
    </row>
    <row r="277" spans="2:13" ht="15.75" customHeight="1" x14ac:dyDescent="0.55000000000000004">
      <c r="B277" s="94">
        <v>44208</v>
      </c>
      <c r="C277" s="95">
        <v>3801.19</v>
      </c>
      <c r="D277" s="95">
        <f t="shared" si="32"/>
        <v>4.1574571696605784E-4</v>
      </c>
      <c r="E277" s="95">
        <f t="shared" si="33"/>
        <v>2.1470474489080016E-2</v>
      </c>
      <c r="F277" s="96">
        <f t="shared" si="34"/>
        <v>4.3753096288746414E-2</v>
      </c>
      <c r="G277" s="96">
        <f t="shared" si="35"/>
        <v>2.3603043499794918E-2</v>
      </c>
      <c r="H277" s="96" t="str">
        <f t="shared" si="36"/>
        <v/>
      </c>
      <c r="I277" s="96" t="str">
        <f t="shared" si="36"/>
        <v/>
      </c>
      <c r="J277" s="96" t="str">
        <f t="shared" si="36"/>
        <v/>
      </c>
      <c r="K277" s="96" t="str">
        <f t="shared" si="37"/>
        <v/>
      </c>
      <c r="L277" s="96"/>
      <c r="M277" s="106">
        <f>IF(D277="","",ABS(D277-G$5))</f>
        <v>4.1574571696605784E-4</v>
      </c>
    </row>
    <row r="278" spans="2:13" ht="15.75" customHeight="1" x14ac:dyDescent="0.55000000000000004">
      <c r="B278" s="94">
        <v>44209</v>
      </c>
      <c r="C278" s="95">
        <v>3809.84</v>
      </c>
      <c r="D278" s="95">
        <f t="shared" si="32"/>
        <v>2.2730179027713113E-3</v>
      </c>
      <c r="E278" s="95">
        <f t="shared" si="33"/>
        <v>8.9668662285495457E-2</v>
      </c>
      <c r="F278" s="96">
        <f t="shared" si="34"/>
        <v>0.239212497224877</v>
      </c>
      <c r="G278" s="96">
        <f t="shared" si="35"/>
        <v>0.1038511904915143</v>
      </c>
      <c r="H278" s="96" t="str">
        <f t="shared" si="36"/>
        <v/>
      </c>
      <c r="I278" s="96" t="str">
        <f t="shared" si="36"/>
        <v/>
      </c>
      <c r="J278" s="96" t="str">
        <f t="shared" si="36"/>
        <v/>
      </c>
      <c r="K278" s="96" t="str">
        <f t="shared" si="37"/>
        <v/>
      </c>
      <c r="L278" s="96"/>
      <c r="M278" s="106">
        <f>IF(D278="","",ABS(D278-G$5))</f>
        <v>2.2730179027713113E-3</v>
      </c>
    </row>
    <row r="279" spans="2:13" ht="15.75" customHeight="1" x14ac:dyDescent="0.55000000000000004">
      <c r="B279" s="94">
        <v>44210</v>
      </c>
      <c r="C279" s="95">
        <v>3795.54</v>
      </c>
      <c r="D279" s="95">
        <f t="shared" si="32"/>
        <v>-3.7605002910535887E-3</v>
      </c>
      <c r="E279" s="95">
        <f t="shared" si="33"/>
        <v>0.2713769662983741</v>
      </c>
      <c r="F279" s="96">
        <f t="shared" si="34"/>
        <v>0.39575520471750131</v>
      </c>
      <c r="G279" s="96">
        <f t="shared" si="35"/>
        <v>0.32949747365835086</v>
      </c>
      <c r="H279" s="96" t="str">
        <f t="shared" si="36"/>
        <v/>
      </c>
      <c r="I279" s="96" t="str">
        <f t="shared" si="36"/>
        <v/>
      </c>
      <c r="J279" s="96" t="str">
        <f t="shared" si="36"/>
        <v/>
      </c>
      <c r="K279" s="96" t="str">
        <f t="shared" si="37"/>
        <v/>
      </c>
      <c r="L279" s="96"/>
      <c r="M279" s="106">
        <f>IF(D279="","",ABS(D279-G$5))</f>
        <v>3.7605002910535887E-3</v>
      </c>
    </row>
    <row r="280" spans="2:13" ht="15.75" customHeight="1" x14ac:dyDescent="0.55000000000000004">
      <c r="B280" s="94">
        <v>44211</v>
      </c>
      <c r="C280" s="95">
        <v>3768.25</v>
      </c>
      <c r="D280" s="95">
        <f t="shared" si="32"/>
        <v>-7.2159905065941393E-3</v>
      </c>
      <c r="E280" s="95">
        <f t="shared" si="33"/>
        <v>0.47815344344766225</v>
      </c>
      <c r="F280" s="96">
        <f t="shared" si="34"/>
        <v>0.75941113659018034</v>
      </c>
      <c r="G280" s="96">
        <f t="shared" si="35"/>
        <v>0.60081612400253459</v>
      </c>
      <c r="H280" s="96" t="str">
        <f t="shared" si="36"/>
        <v/>
      </c>
      <c r="I280" s="96" t="str">
        <f t="shared" si="36"/>
        <v/>
      </c>
      <c r="J280" s="96" t="str">
        <f t="shared" si="36"/>
        <v/>
      </c>
      <c r="K280" s="96" t="str">
        <f t="shared" si="37"/>
        <v/>
      </c>
      <c r="L280" s="96"/>
      <c r="M280" s="106">
        <f>IF(D280="","",ABS(D280-G$5))</f>
        <v>7.2159905065941393E-3</v>
      </c>
    </row>
    <row r="281" spans="2:13" ht="15.75" customHeight="1" x14ac:dyDescent="0.55000000000000004">
      <c r="B281" s="94">
        <v>44214</v>
      </c>
      <c r="C281" s="95"/>
      <c r="D281" s="95" t="str">
        <f t="shared" si="32"/>
        <v/>
      </c>
      <c r="E281" s="95" t="str">
        <f t="shared" si="33"/>
        <v/>
      </c>
      <c r="F281" s="96" t="str">
        <f t="shared" si="34"/>
        <v/>
      </c>
      <c r="G281" s="96" t="str">
        <f t="shared" si="35"/>
        <v/>
      </c>
      <c r="H281" s="96" t="str">
        <f t="shared" si="36"/>
        <v/>
      </c>
      <c r="I281" s="96" t="str">
        <f t="shared" si="36"/>
        <v/>
      </c>
      <c r="J281" s="96" t="str">
        <f t="shared" si="36"/>
        <v/>
      </c>
      <c r="K281" s="96" t="str">
        <f t="shared" si="37"/>
        <v>MISSING</v>
      </c>
      <c r="L281" s="96"/>
      <c r="M281" s="106" t="str">
        <f>IF(D281="","",ABS(D281-G$5))</f>
        <v/>
      </c>
    </row>
    <row r="282" spans="2:13" ht="15.75" customHeight="1" x14ac:dyDescent="0.55000000000000004">
      <c r="B282" s="94">
        <v>44215</v>
      </c>
      <c r="C282" s="95"/>
      <c r="D282" s="95"/>
      <c r="E282" s="95"/>
      <c r="F282" s="96"/>
      <c r="G282" s="96"/>
      <c r="H282" s="96"/>
      <c r="I282" s="96"/>
      <c r="J282" s="96"/>
      <c r="K282" s="96"/>
      <c r="L282" s="96"/>
      <c r="M282" s="106" t="str">
        <f>IF(D282="","",ABS(D282-G$5))</f>
        <v/>
      </c>
    </row>
    <row r="283" spans="2:13" ht="15.75" customHeight="1" x14ac:dyDescent="0.55000000000000004">
      <c r="B283" s="94">
        <v>44216</v>
      </c>
      <c r="C283" s="95">
        <v>3851.85</v>
      </c>
      <c r="D283" s="95" t="str">
        <f t="shared" ref="D283:D346" si="38">IF(OR(C283="",C282=""),"",LN(C283/C282))</f>
        <v/>
      </c>
      <c r="E283" s="95" t="str">
        <f t="shared" ref="E283:E346" si="39">IF(D283="","",ABS(D283-$E$5)/$F$5)</f>
        <v/>
      </c>
      <c r="F283" s="96" t="str">
        <f t="shared" ref="F283:F346" si="40">IF(D283="","",ABS(D283-$G$5)/$H$5)</f>
        <v/>
      </c>
      <c r="G283" s="96" t="str">
        <f t="shared" ref="G283:G346" si="41">IF(D283="","",ABS(D283-$E$5)/SQRT(0.9*(IF(G282="",($F$5)^2,(ABS(D282-$E$5)/MAX(G282,0.0000000001))^2))+0.1*(D283-$E$5)^2))</f>
        <v/>
      </c>
      <c r="H283" s="96" t="str">
        <f t="shared" ref="H283:H346" si="42">IF(E283="","",IF(E283&gt;$I$5,"OUTLIER",""))</f>
        <v/>
      </c>
      <c r="I283" s="96" t="str">
        <f t="shared" ref="I283:I346" si="43">IF(F283="","",IF(F283&gt;$I$5,"OUTLIER",""))</f>
        <v/>
      </c>
      <c r="J283" s="96" t="str">
        <f t="shared" ref="J283:J346" si="44">IF(G283="","",IF(G283&gt;$I$5,"OUTLIER",""))</f>
        <v/>
      </c>
      <c r="K283" s="96" t="str">
        <f t="shared" ref="K283:K346" si="45">IF(C283="","MISSING","")</f>
        <v/>
      </c>
      <c r="L283" s="96"/>
      <c r="M283" s="106" t="str">
        <f>IF(D283="","",ABS(D283-G$5))</f>
        <v/>
      </c>
    </row>
    <row r="284" spans="2:13" ht="15.75" customHeight="1" x14ac:dyDescent="0.55000000000000004">
      <c r="B284" s="94">
        <v>44217</v>
      </c>
      <c r="C284" s="95">
        <v>3853.07</v>
      </c>
      <c r="D284" s="95">
        <f t="shared" si="38"/>
        <v>3.1668077285579088E-4</v>
      </c>
      <c r="E284" s="95">
        <f t="shared" si="39"/>
        <v>2.7398519100518083E-2</v>
      </c>
      <c r="F284" s="96">
        <f t="shared" si="40"/>
        <v>3.3327497511382073E-2</v>
      </c>
      <c r="G284" s="96">
        <f t="shared" si="41"/>
        <v>2.8879370586608857E-2</v>
      </c>
      <c r="H284" s="96" t="str">
        <f t="shared" si="42"/>
        <v/>
      </c>
      <c r="I284" s="96" t="str">
        <f t="shared" si="43"/>
        <v/>
      </c>
      <c r="J284" s="96" t="str">
        <f t="shared" si="44"/>
        <v/>
      </c>
      <c r="K284" s="96" t="str">
        <f t="shared" si="45"/>
        <v/>
      </c>
      <c r="L284" s="96"/>
      <c r="M284" s="106">
        <f>IF(D284="","",ABS(D284-G$5))</f>
        <v>3.1668077285579088E-4</v>
      </c>
    </row>
    <row r="285" spans="2:13" ht="15.75" customHeight="1" x14ac:dyDescent="0.55000000000000004">
      <c r="B285" s="94">
        <v>44218</v>
      </c>
      <c r="C285" s="95">
        <v>3841.47</v>
      </c>
      <c r="D285" s="95">
        <f t="shared" si="38"/>
        <v>-3.0151272949282431E-3</v>
      </c>
      <c r="E285" s="95">
        <f t="shared" si="39"/>
        <v>0.22677385858073329</v>
      </c>
      <c r="F285" s="96">
        <f t="shared" si="40"/>
        <v>0.3173121200635079</v>
      </c>
      <c r="G285" s="96">
        <f t="shared" si="41"/>
        <v>0.2511644605888298</v>
      </c>
      <c r="H285" s="96" t="str">
        <f t="shared" si="42"/>
        <v/>
      </c>
      <c r="I285" s="96" t="str">
        <f t="shared" si="43"/>
        <v/>
      </c>
      <c r="J285" s="96" t="str">
        <f t="shared" si="44"/>
        <v/>
      </c>
      <c r="K285" s="96" t="str">
        <f t="shared" si="45"/>
        <v/>
      </c>
      <c r="L285" s="96"/>
      <c r="M285" s="106">
        <f>IF(D285="","",ABS(D285-G$5))</f>
        <v>3.0151272949282431E-3</v>
      </c>
    </row>
    <row r="286" spans="2:13" ht="15.75" customHeight="1" x14ac:dyDescent="0.55000000000000004">
      <c r="B286" s="94">
        <v>44221</v>
      </c>
      <c r="C286" s="95">
        <v>3855.36</v>
      </c>
      <c r="D286" s="95">
        <f t="shared" si="38"/>
        <v>3.609282023548102E-3</v>
      </c>
      <c r="E286" s="95">
        <f t="shared" si="39"/>
        <v>0.16963068509561999</v>
      </c>
      <c r="F286" s="96">
        <f t="shared" si="40"/>
        <v>0.37984098804903438</v>
      </c>
      <c r="G286" s="96">
        <f t="shared" si="41"/>
        <v>0.19765071718574923</v>
      </c>
      <c r="H286" s="96" t="str">
        <f t="shared" si="42"/>
        <v/>
      </c>
      <c r="I286" s="96" t="str">
        <f t="shared" si="43"/>
        <v/>
      </c>
      <c r="J286" s="96" t="str">
        <f t="shared" si="44"/>
        <v/>
      </c>
      <c r="K286" s="96" t="str">
        <f t="shared" si="45"/>
        <v/>
      </c>
      <c r="L286" s="96"/>
      <c r="M286" s="106">
        <f>IF(D286="","",ABS(D286-G$5))</f>
        <v>3.609282023548102E-3</v>
      </c>
    </row>
    <row r="287" spans="2:13" ht="15.75" customHeight="1" x14ac:dyDescent="0.55000000000000004">
      <c r="B287" s="94">
        <v>44222</v>
      </c>
      <c r="C287" s="95">
        <v>3849.62</v>
      </c>
      <c r="D287" s="95">
        <f t="shared" si="38"/>
        <v>-1.4899457394751568E-3</v>
      </c>
      <c r="E287" s="95">
        <f t="shared" si="39"/>
        <v>0.13550701961492639</v>
      </c>
      <c r="F287" s="96">
        <f t="shared" si="40"/>
        <v>0.15680195067309907</v>
      </c>
      <c r="G287" s="96">
        <f t="shared" si="41"/>
        <v>0.16620108919985349</v>
      </c>
      <c r="H287" s="96" t="str">
        <f t="shared" si="42"/>
        <v/>
      </c>
      <c r="I287" s="96" t="str">
        <f t="shared" si="43"/>
        <v/>
      </c>
      <c r="J287" s="96" t="str">
        <f t="shared" si="44"/>
        <v/>
      </c>
      <c r="K287" s="96" t="str">
        <f t="shared" si="45"/>
        <v/>
      </c>
      <c r="L287" s="96"/>
      <c r="M287" s="106">
        <f>IF(D287="","",ABS(D287-G$5))</f>
        <v>1.4899457394751568E-3</v>
      </c>
    </row>
    <row r="288" spans="2:13" ht="15.75" customHeight="1" x14ac:dyDescent="0.55000000000000004">
      <c r="B288" s="94">
        <v>44223</v>
      </c>
      <c r="C288" s="95">
        <v>3750.77</v>
      </c>
      <c r="D288" s="95">
        <f t="shared" si="38"/>
        <v>-2.601328989204868E-2</v>
      </c>
      <c r="E288" s="95">
        <f t="shared" si="39"/>
        <v>1.6029835267059771</v>
      </c>
      <c r="F288" s="96">
        <f t="shared" si="40"/>
        <v>2.7376396941373686</v>
      </c>
      <c r="G288" s="96">
        <f t="shared" si="41"/>
        <v>1.7333581624381869</v>
      </c>
      <c r="H288" s="96" t="str">
        <f t="shared" si="42"/>
        <v/>
      </c>
      <c r="I288" s="96" t="str">
        <f t="shared" si="43"/>
        <v/>
      </c>
      <c r="J288" s="96" t="str">
        <f t="shared" si="44"/>
        <v/>
      </c>
      <c r="K288" s="96" t="str">
        <f t="shared" si="45"/>
        <v/>
      </c>
      <c r="L288" s="96"/>
      <c r="M288" s="106">
        <f>IF(D288="","",ABS(D288-G$5))</f>
        <v>2.601328989204868E-2</v>
      </c>
    </row>
    <row r="289" spans="2:13" ht="15.75" customHeight="1" x14ac:dyDescent="0.55000000000000004">
      <c r="B289" s="94">
        <v>44224</v>
      </c>
      <c r="C289" s="95">
        <v>3787.38</v>
      </c>
      <c r="D289" s="95">
        <f t="shared" si="38"/>
        <v>9.7133349275994544E-3</v>
      </c>
      <c r="E289" s="95">
        <f t="shared" si="39"/>
        <v>0.53489710956881897</v>
      </c>
      <c r="F289" s="96">
        <f t="shared" si="40"/>
        <v>1.0222317657858142</v>
      </c>
      <c r="G289" s="96">
        <f t="shared" si="41"/>
        <v>0.5986635890028682</v>
      </c>
      <c r="H289" s="96" t="str">
        <f t="shared" si="42"/>
        <v/>
      </c>
      <c r="I289" s="96" t="str">
        <f t="shared" si="43"/>
        <v/>
      </c>
      <c r="J289" s="96" t="str">
        <f t="shared" si="44"/>
        <v/>
      </c>
      <c r="K289" s="96" t="str">
        <f t="shared" si="45"/>
        <v/>
      </c>
      <c r="L289" s="96"/>
      <c r="M289" s="106">
        <f>IF(D289="","",ABS(D289-G$5))</f>
        <v>9.7133349275994544E-3</v>
      </c>
    </row>
    <row r="290" spans="2:13" ht="15.75" customHeight="1" x14ac:dyDescent="0.55000000000000004">
      <c r="B290" s="94">
        <v>44225</v>
      </c>
      <c r="C290" s="95">
        <v>3714.24</v>
      </c>
      <c r="D290" s="95">
        <f t="shared" si="38"/>
        <v>-1.9500405967127862E-2</v>
      </c>
      <c r="E290" s="95">
        <f t="shared" si="39"/>
        <v>1.2132526607290677</v>
      </c>
      <c r="F290" s="96">
        <f t="shared" si="40"/>
        <v>2.0522235230123789</v>
      </c>
      <c r="G290" s="96">
        <f t="shared" si="41"/>
        <v>1.303982961089305</v>
      </c>
      <c r="H290" s="96" t="str">
        <f t="shared" si="42"/>
        <v/>
      </c>
      <c r="I290" s="96" t="str">
        <f t="shared" si="43"/>
        <v/>
      </c>
      <c r="J290" s="96" t="str">
        <f t="shared" si="44"/>
        <v/>
      </c>
      <c r="K290" s="96" t="str">
        <f t="shared" si="45"/>
        <v/>
      </c>
      <c r="L290" s="96"/>
      <c r="M290" s="106">
        <f>IF(D290="","",ABS(D290-G$5))</f>
        <v>1.9500405967127862E-2</v>
      </c>
    </row>
    <row r="291" spans="2:13" ht="15.75" customHeight="1" x14ac:dyDescent="0.55000000000000004">
      <c r="B291" s="94">
        <v>44228</v>
      </c>
      <c r="C291" s="95">
        <v>3773.86</v>
      </c>
      <c r="D291" s="95">
        <f t="shared" si="38"/>
        <v>1.5924269140718334E-2</v>
      </c>
      <c r="E291" s="95">
        <f t="shared" si="39"/>
        <v>0.9065593098027751</v>
      </c>
      <c r="F291" s="96">
        <f t="shared" si="40"/>
        <v>1.675870736868337</v>
      </c>
      <c r="G291" s="96">
        <f t="shared" si="41"/>
        <v>0.9768304251650437</v>
      </c>
      <c r="H291" s="96" t="str">
        <f t="shared" si="42"/>
        <v/>
      </c>
      <c r="I291" s="96" t="str">
        <f t="shared" si="43"/>
        <v/>
      </c>
      <c r="J291" s="96" t="str">
        <f t="shared" si="44"/>
        <v/>
      </c>
      <c r="K291" s="96" t="str">
        <f t="shared" si="45"/>
        <v/>
      </c>
      <c r="L291" s="96"/>
      <c r="M291" s="106">
        <f>IF(D291="","",ABS(D291-G$5))</f>
        <v>1.5924269140718334E-2</v>
      </c>
    </row>
    <row r="292" spans="2:13" ht="15.75" customHeight="1" x14ac:dyDescent="0.55000000000000004">
      <c r="B292" s="94">
        <v>44229</v>
      </c>
      <c r="C292" s="95">
        <v>3826.31</v>
      </c>
      <c r="D292" s="95">
        <f t="shared" si="38"/>
        <v>1.3802541965649213E-2</v>
      </c>
      <c r="E292" s="95">
        <f t="shared" si="39"/>
        <v>0.77959519085964757</v>
      </c>
      <c r="F292" s="96">
        <f t="shared" si="40"/>
        <v>1.4525800820259969</v>
      </c>
      <c r="G292" s="96">
        <f t="shared" si="41"/>
        <v>0.85266803191554108</v>
      </c>
      <c r="H292" s="96" t="str">
        <f t="shared" si="42"/>
        <v/>
      </c>
      <c r="I292" s="96" t="str">
        <f t="shared" si="43"/>
        <v/>
      </c>
      <c r="J292" s="96" t="str">
        <f t="shared" si="44"/>
        <v/>
      </c>
      <c r="K292" s="96" t="str">
        <f t="shared" si="45"/>
        <v/>
      </c>
      <c r="L292" s="96"/>
      <c r="M292" s="106">
        <f>IF(D292="","",ABS(D292-G$5))</f>
        <v>1.3802541965649213E-2</v>
      </c>
    </row>
    <row r="293" spans="2:13" ht="15.75" customHeight="1" x14ac:dyDescent="0.55000000000000004">
      <c r="B293" s="94">
        <v>44230</v>
      </c>
      <c r="C293" s="95">
        <v>3830.17</v>
      </c>
      <c r="D293" s="95">
        <f t="shared" si="38"/>
        <v>1.0082963259948519E-3</v>
      </c>
      <c r="E293" s="95">
        <f t="shared" si="39"/>
        <v>1.3987744121002859E-2</v>
      </c>
      <c r="F293" s="96">
        <f t="shared" si="40"/>
        <v>0.10611314666278018</v>
      </c>
      <c r="G293" s="96">
        <f t="shared" si="41"/>
        <v>1.6126183849135643E-2</v>
      </c>
      <c r="H293" s="96" t="str">
        <f t="shared" si="42"/>
        <v/>
      </c>
      <c r="I293" s="96" t="str">
        <f t="shared" si="43"/>
        <v/>
      </c>
      <c r="J293" s="96" t="str">
        <f t="shared" si="44"/>
        <v/>
      </c>
      <c r="K293" s="96" t="str">
        <f t="shared" si="45"/>
        <v/>
      </c>
      <c r="L293" s="96"/>
      <c r="M293" s="106">
        <f>IF(D293="","",ABS(D293-G$5))</f>
        <v>1.0082963259948519E-3</v>
      </c>
    </row>
    <row r="294" spans="2:13" ht="15.75" customHeight="1" x14ac:dyDescent="0.55000000000000004">
      <c r="B294" s="94">
        <v>44231</v>
      </c>
      <c r="C294" s="95">
        <v>3871.74</v>
      </c>
      <c r="D294" s="95">
        <f t="shared" si="38"/>
        <v>1.0794829768938023E-2</v>
      </c>
      <c r="E294" s="95">
        <f t="shared" si="39"/>
        <v>0.59961374292561032</v>
      </c>
      <c r="F294" s="96">
        <f t="shared" si="40"/>
        <v>1.1360483272026864</v>
      </c>
      <c r="G294" s="96">
        <f t="shared" si="41"/>
        <v>0.71006826076817253</v>
      </c>
      <c r="H294" s="96" t="str">
        <f t="shared" si="42"/>
        <v/>
      </c>
      <c r="I294" s="96" t="str">
        <f t="shared" si="43"/>
        <v/>
      </c>
      <c r="J294" s="96" t="str">
        <f t="shared" si="44"/>
        <v/>
      </c>
      <c r="K294" s="96" t="str">
        <f t="shared" si="45"/>
        <v/>
      </c>
      <c r="L294" s="96"/>
      <c r="M294" s="106">
        <f>IF(D294="","",ABS(D294-G$5))</f>
        <v>1.0794829768938023E-2</v>
      </c>
    </row>
    <row r="295" spans="2:13" ht="15.75" customHeight="1" x14ac:dyDescent="0.55000000000000004">
      <c r="B295" s="94">
        <v>44232</v>
      </c>
      <c r="C295" s="95">
        <v>3886.83</v>
      </c>
      <c r="D295" s="95">
        <f t="shared" si="38"/>
        <v>3.8898969855535024E-3</v>
      </c>
      <c r="E295" s="95">
        <f t="shared" si="39"/>
        <v>0.18642267976482824</v>
      </c>
      <c r="F295" s="96">
        <f t="shared" si="40"/>
        <v>0.40937291814871973</v>
      </c>
      <c r="G295" s="96">
        <f t="shared" si="41"/>
        <v>0.23207763899569192</v>
      </c>
      <c r="H295" s="96" t="str">
        <f t="shared" si="42"/>
        <v/>
      </c>
      <c r="I295" s="96" t="str">
        <f t="shared" si="43"/>
        <v/>
      </c>
      <c r="J295" s="96" t="str">
        <f t="shared" si="44"/>
        <v/>
      </c>
      <c r="K295" s="96" t="str">
        <f t="shared" si="45"/>
        <v/>
      </c>
      <c r="L295" s="96"/>
      <c r="M295" s="106">
        <f>IF(D295="","",ABS(D295-G$5))</f>
        <v>3.8898969855535024E-3</v>
      </c>
    </row>
    <row r="296" spans="2:13" ht="15.75" customHeight="1" x14ac:dyDescent="0.55000000000000004">
      <c r="B296" s="94">
        <v>44235</v>
      </c>
      <c r="C296" s="95">
        <v>3915.59</v>
      </c>
      <c r="D296" s="95">
        <f t="shared" si="38"/>
        <v>7.3721051298863676E-3</v>
      </c>
      <c r="E296" s="95">
        <f t="shared" si="39"/>
        <v>0.39479795732962741</v>
      </c>
      <c r="F296" s="96">
        <f t="shared" si="40"/>
        <v>0.77584064594227276</v>
      </c>
      <c r="G296" s="96">
        <f t="shared" si="41"/>
        <v>0.5112541947697703</v>
      </c>
      <c r="H296" s="96" t="str">
        <f t="shared" si="42"/>
        <v/>
      </c>
      <c r="I296" s="96" t="str">
        <f t="shared" si="43"/>
        <v/>
      </c>
      <c r="J296" s="96" t="str">
        <f t="shared" si="44"/>
        <v/>
      </c>
      <c r="K296" s="96" t="str">
        <f t="shared" si="45"/>
        <v/>
      </c>
      <c r="L296" s="96"/>
      <c r="M296" s="106">
        <f>IF(D296="","",ABS(D296-G$5))</f>
        <v>7.3721051298863676E-3</v>
      </c>
    </row>
    <row r="297" spans="2:13" ht="15.75" customHeight="1" x14ac:dyDescent="0.55000000000000004">
      <c r="B297" s="94">
        <v>44236</v>
      </c>
      <c r="C297" s="95">
        <v>3911.23</v>
      </c>
      <c r="D297" s="95">
        <f t="shared" si="38"/>
        <v>-1.1141179817578345E-3</v>
      </c>
      <c r="E297" s="95">
        <f t="shared" si="39"/>
        <v>0.11301749283050531</v>
      </c>
      <c r="F297" s="96">
        <f t="shared" si="40"/>
        <v>0.11724982205133352</v>
      </c>
      <c r="G297" s="96">
        <f t="shared" si="41"/>
        <v>0.15408849376724393</v>
      </c>
      <c r="H297" s="96" t="str">
        <f t="shared" si="42"/>
        <v/>
      </c>
      <c r="I297" s="96" t="str">
        <f t="shared" si="43"/>
        <v/>
      </c>
      <c r="J297" s="96" t="str">
        <f t="shared" si="44"/>
        <v/>
      </c>
      <c r="K297" s="96" t="str">
        <f t="shared" si="45"/>
        <v/>
      </c>
      <c r="L297" s="96"/>
      <c r="M297" s="106">
        <f>IF(D297="","",ABS(D297-G$5))</f>
        <v>1.1141179817578345E-3</v>
      </c>
    </row>
    <row r="298" spans="2:13" ht="15.75" customHeight="1" x14ac:dyDescent="0.55000000000000004">
      <c r="B298" s="94">
        <v>44237</v>
      </c>
      <c r="C298" s="95">
        <v>3909.88</v>
      </c>
      <c r="D298" s="95">
        <f t="shared" si="38"/>
        <v>-3.4521954387729651E-4</v>
      </c>
      <c r="E298" s="95">
        <f t="shared" si="39"/>
        <v>6.7006623068671181E-2</v>
      </c>
      <c r="F298" s="96">
        <f t="shared" si="40"/>
        <v>3.6330918943065435E-2</v>
      </c>
      <c r="G298" s="96">
        <f t="shared" si="41"/>
        <v>9.6254211437215034E-2</v>
      </c>
      <c r="H298" s="96" t="str">
        <f t="shared" si="42"/>
        <v/>
      </c>
      <c r="I298" s="96" t="str">
        <f t="shared" si="43"/>
        <v/>
      </c>
      <c r="J298" s="96" t="str">
        <f t="shared" si="44"/>
        <v/>
      </c>
      <c r="K298" s="96" t="str">
        <f t="shared" si="45"/>
        <v/>
      </c>
      <c r="L298" s="96"/>
      <c r="M298" s="106">
        <f>IF(D298="","",ABS(D298-G$5))</f>
        <v>3.4521954387729651E-4</v>
      </c>
    </row>
    <row r="299" spans="2:13" ht="15.75" customHeight="1" x14ac:dyDescent="0.55000000000000004">
      <c r="B299" s="94">
        <v>44238</v>
      </c>
      <c r="C299" s="95">
        <v>3916.38</v>
      </c>
      <c r="D299" s="95">
        <f t="shared" si="38"/>
        <v>1.6610747648429303E-3</v>
      </c>
      <c r="E299" s="95">
        <f t="shared" si="39"/>
        <v>5.3049995067907245E-2</v>
      </c>
      <c r="F299" s="96">
        <f t="shared" si="40"/>
        <v>0.17481157631483915</v>
      </c>
      <c r="G299" s="96">
        <f t="shared" si="41"/>
        <v>8.0301938948977289E-2</v>
      </c>
      <c r="H299" s="96" t="str">
        <f t="shared" si="42"/>
        <v/>
      </c>
      <c r="I299" s="96" t="str">
        <f t="shared" si="43"/>
        <v/>
      </c>
      <c r="J299" s="96" t="str">
        <f t="shared" si="44"/>
        <v/>
      </c>
      <c r="K299" s="96" t="str">
        <f t="shared" si="45"/>
        <v/>
      </c>
      <c r="L299" s="96"/>
      <c r="M299" s="106">
        <f>IF(D299="","",ABS(D299-G$5))</f>
        <v>1.6610747648429303E-3</v>
      </c>
    </row>
    <row r="300" spans="2:13" ht="15.75" customHeight="1" x14ac:dyDescent="0.55000000000000004">
      <c r="B300" s="94">
        <v>44239</v>
      </c>
      <c r="C300" s="95">
        <v>3934.83</v>
      </c>
      <c r="D300" s="95">
        <f t="shared" si="38"/>
        <v>4.6999211490260486E-3</v>
      </c>
      <c r="E300" s="95">
        <f t="shared" si="39"/>
        <v>0.2348945122635496</v>
      </c>
      <c r="F300" s="96">
        <f t="shared" si="40"/>
        <v>0.49461989430342312</v>
      </c>
      <c r="G300" s="96">
        <f t="shared" si="41"/>
        <v>0.37218875752388136</v>
      </c>
      <c r="H300" s="96" t="str">
        <f t="shared" si="42"/>
        <v/>
      </c>
      <c r="I300" s="96" t="str">
        <f t="shared" si="43"/>
        <v/>
      </c>
      <c r="J300" s="96" t="str">
        <f t="shared" si="44"/>
        <v/>
      </c>
      <c r="K300" s="96" t="str">
        <f t="shared" si="45"/>
        <v/>
      </c>
      <c r="L300" s="96"/>
      <c r="M300" s="106">
        <f>IF(D300="","",ABS(D300-G$5))</f>
        <v>4.6999211490260486E-3</v>
      </c>
    </row>
    <row r="301" spans="2:13" ht="15.75" customHeight="1" x14ac:dyDescent="0.55000000000000004">
      <c r="B301" s="94">
        <v>44242</v>
      </c>
      <c r="C301" s="95"/>
      <c r="D301" s="95" t="str">
        <f t="shared" si="38"/>
        <v/>
      </c>
      <c r="E301" s="95" t="str">
        <f t="shared" si="39"/>
        <v/>
      </c>
      <c r="F301" s="96" t="str">
        <f t="shared" si="40"/>
        <v/>
      </c>
      <c r="G301" s="96" t="str">
        <f t="shared" si="41"/>
        <v/>
      </c>
      <c r="H301" s="96" t="str">
        <f t="shared" si="42"/>
        <v/>
      </c>
      <c r="I301" s="96" t="str">
        <f t="shared" si="43"/>
        <v/>
      </c>
      <c r="J301" s="96" t="str">
        <f t="shared" si="44"/>
        <v/>
      </c>
      <c r="K301" s="96" t="str">
        <f t="shared" si="45"/>
        <v>MISSING</v>
      </c>
      <c r="L301" s="96"/>
      <c r="M301" s="106" t="str">
        <f>IF(D301="","",ABS(D301-G$5))</f>
        <v/>
      </c>
    </row>
    <row r="302" spans="2:13" ht="15.75" customHeight="1" x14ac:dyDescent="0.55000000000000004">
      <c r="B302" s="94">
        <v>44243</v>
      </c>
      <c r="C302" s="95">
        <v>3932.59</v>
      </c>
      <c r="D302" s="95" t="str">
        <f t="shared" si="38"/>
        <v/>
      </c>
      <c r="E302" s="95" t="str">
        <f t="shared" si="39"/>
        <v/>
      </c>
      <c r="F302" s="96" t="str">
        <f t="shared" si="40"/>
        <v/>
      </c>
      <c r="G302" s="96" t="str">
        <f t="shared" si="41"/>
        <v/>
      </c>
      <c r="H302" s="96" t="str">
        <f t="shared" si="42"/>
        <v/>
      </c>
      <c r="I302" s="96" t="str">
        <f t="shared" si="43"/>
        <v/>
      </c>
      <c r="J302" s="96" t="str">
        <f t="shared" si="44"/>
        <v/>
      </c>
      <c r="K302" s="96" t="str">
        <f t="shared" si="45"/>
        <v/>
      </c>
      <c r="L302" s="96"/>
      <c r="M302" s="106" t="str">
        <f>IF(D302="","",ABS(D302-G$5))</f>
        <v/>
      </c>
    </row>
    <row r="303" spans="2:13" ht="15.75" customHeight="1" x14ac:dyDescent="0.55000000000000004">
      <c r="B303" s="94">
        <v>44244</v>
      </c>
      <c r="C303" s="95">
        <v>3931.33</v>
      </c>
      <c r="D303" s="95">
        <f t="shared" si="38"/>
        <v>-3.2045087202880161E-4</v>
      </c>
      <c r="E303" s="95">
        <f t="shared" si="39"/>
        <v>6.5524466156327746E-2</v>
      </c>
      <c r="F303" s="96">
        <f t="shared" si="40"/>
        <v>3.3724262902830066E-2</v>
      </c>
      <c r="G303" s="96">
        <f t="shared" si="41"/>
        <v>6.9052383062678122E-2</v>
      </c>
      <c r="H303" s="96" t="str">
        <f t="shared" si="42"/>
        <v/>
      </c>
      <c r="I303" s="96" t="str">
        <f t="shared" si="43"/>
        <v/>
      </c>
      <c r="J303" s="96" t="str">
        <f t="shared" si="44"/>
        <v/>
      </c>
      <c r="K303" s="96" t="str">
        <f t="shared" si="45"/>
        <v/>
      </c>
      <c r="L303" s="96"/>
      <c r="M303" s="106">
        <f>IF(D303="","",ABS(D303-G$5))</f>
        <v>3.2045087202880161E-4</v>
      </c>
    </row>
    <row r="304" spans="2:13" ht="15.75" customHeight="1" x14ac:dyDescent="0.55000000000000004">
      <c r="B304" s="94">
        <v>44245</v>
      </c>
      <c r="C304" s="95">
        <v>3913.97</v>
      </c>
      <c r="D304" s="95">
        <f t="shared" si="38"/>
        <v>-4.4255868696270202E-3</v>
      </c>
      <c r="E304" s="95">
        <f t="shared" si="39"/>
        <v>0.31117573612217297</v>
      </c>
      <c r="F304" s="96">
        <f t="shared" si="40"/>
        <v>0.46574894349858414</v>
      </c>
      <c r="G304" s="96">
        <f t="shared" si="41"/>
        <v>0.34362156401899846</v>
      </c>
      <c r="H304" s="96" t="str">
        <f t="shared" si="42"/>
        <v/>
      </c>
      <c r="I304" s="96" t="str">
        <f t="shared" si="43"/>
        <v/>
      </c>
      <c r="J304" s="96" t="str">
        <f t="shared" si="44"/>
        <v/>
      </c>
      <c r="K304" s="96" t="str">
        <f t="shared" si="45"/>
        <v/>
      </c>
      <c r="L304" s="96"/>
      <c r="M304" s="106">
        <f>IF(D304="","",ABS(D304-G$5))</f>
        <v>4.4255868696270202E-3</v>
      </c>
    </row>
    <row r="305" spans="2:13" ht="15.75" customHeight="1" x14ac:dyDescent="0.55000000000000004">
      <c r="B305" s="94">
        <v>44246</v>
      </c>
      <c r="C305" s="95">
        <v>3906.71</v>
      </c>
      <c r="D305" s="95">
        <f t="shared" si="38"/>
        <v>-1.8566165820490526E-3</v>
      </c>
      <c r="E305" s="95">
        <f t="shared" si="39"/>
        <v>0.15744859674913653</v>
      </c>
      <c r="F305" s="96">
        <f t="shared" si="40"/>
        <v>0.19539040516996456</v>
      </c>
      <c r="G305" s="96">
        <f t="shared" si="41"/>
        <v>0.18296334506794154</v>
      </c>
      <c r="H305" s="96" t="str">
        <f t="shared" si="42"/>
        <v/>
      </c>
      <c r="I305" s="96" t="str">
        <f t="shared" si="43"/>
        <v/>
      </c>
      <c r="J305" s="96" t="str">
        <f t="shared" si="44"/>
        <v/>
      </c>
      <c r="K305" s="96" t="str">
        <f t="shared" si="45"/>
        <v/>
      </c>
      <c r="L305" s="96"/>
      <c r="M305" s="106">
        <f>IF(D305="","",ABS(D305-G$5))</f>
        <v>1.8566165820490526E-3</v>
      </c>
    </row>
    <row r="306" spans="2:13" ht="15.75" customHeight="1" x14ac:dyDescent="0.55000000000000004">
      <c r="B306" s="94">
        <v>44249</v>
      </c>
      <c r="C306" s="95">
        <v>3876.5</v>
      </c>
      <c r="D306" s="95">
        <f t="shared" si="38"/>
        <v>-7.7629028925333757E-3</v>
      </c>
      <c r="E306" s="95">
        <f t="shared" si="39"/>
        <v>0.51088067154549577</v>
      </c>
      <c r="F306" s="96">
        <f t="shared" si="40"/>
        <v>0.81696821849623646</v>
      </c>
      <c r="G306" s="96">
        <f t="shared" si="41"/>
        <v>0.6138782158321765</v>
      </c>
      <c r="H306" s="96" t="str">
        <f t="shared" si="42"/>
        <v/>
      </c>
      <c r="I306" s="96" t="str">
        <f t="shared" si="43"/>
        <v/>
      </c>
      <c r="J306" s="96" t="str">
        <f t="shared" si="44"/>
        <v/>
      </c>
      <c r="K306" s="96" t="str">
        <f t="shared" si="45"/>
        <v/>
      </c>
      <c r="L306" s="96"/>
      <c r="M306" s="106">
        <f>IF(D306="","",ABS(D306-G$5))</f>
        <v>7.7629028925333757E-3</v>
      </c>
    </row>
    <row r="307" spans="2:13" ht="15.75" customHeight="1" x14ac:dyDescent="0.55000000000000004">
      <c r="B307" s="94">
        <v>44250</v>
      </c>
      <c r="C307" s="95">
        <v>3881.37</v>
      </c>
      <c r="D307" s="95">
        <f t="shared" si="38"/>
        <v>1.2554994192235645E-3</v>
      </c>
      <c r="E307" s="95">
        <f t="shared" si="39"/>
        <v>2.8780373117130428E-2</v>
      </c>
      <c r="F307" s="96">
        <f t="shared" si="40"/>
        <v>0.13212881032335097</v>
      </c>
      <c r="G307" s="96">
        <f t="shared" si="41"/>
        <v>3.6450967636889521E-2</v>
      </c>
      <c r="H307" s="96" t="str">
        <f t="shared" si="42"/>
        <v/>
      </c>
      <c r="I307" s="96" t="str">
        <f t="shared" si="43"/>
        <v/>
      </c>
      <c r="J307" s="96" t="str">
        <f t="shared" si="44"/>
        <v/>
      </c>
      <c r="K307" s="96" t="str">
        <f t="shared" si="45"/>
        <v/>
      </c>
      <c r="L307" s="96"/>
      <c r="M307" s="106">
        <f>IF(D307="","",ABS(D307-G$5))</f>
        <v>1.2554994192235645E-3</v>
      </c>
    </row>
    <row r="308" spans="2:13" ht="15.75" customHeight="1" x14ac:dyDescent="0.55000000000000004">
      <c r="B308" s="94">
        <v>44251</v>
      </c>
      <c r="C308" s="95">
        <v>3925.43</v>
      </c>
      <c r="D308" s="95">
        <f t="shared" si="38"/>
        <v>1.1287715277782164E-2</v>
      </c>
      <c r="E308" s="95">
        <f t="shared" si="39"/>
        <v>0.6291080035947243</v>
      </c>
      <c r="F308" s="96">
        <f t="shared" si="40"/>
        <v>1.187919618349496</v>
      </c>
      <c r="G308" s="96">
        <f t="shared" si="41"/>
        <v>0.81173677614886675</v>
      </c>
      <c r="H308" s="96" t="str">
        <f t="shared" si="42"/>
        <v/>
      </c>
      <c r="I308" s="96" t="str">
        <f t="shared" si="43"/>
        <v/>
      </c>
      <c r="J308" s="96" t="str">
        <f t="shared" si="44"/>
        <v/>
      </c>
      <c r="K308" s="96" t="str">
        <f t="shared" si="45"/>
        <v/>
      </c>
      <c r="L308" s="96"/>
      <c r="M308" s="106">
        <f>IF(D308="","",ABS(D308-G$5))</f>
        <v>1.1287715277782164E-2</v>
      </c>
    </row>
    <row r="309" spans="2:13" ht="15.75" customHeight="1" x14ac:dyDescent="0.55000000000000004">
      <c r="B309" s="94">
        <v>44252</v>
      </c>
      <c r="C309" s="95">
        <v>3829.34</v>
      </c>
      <c r="D309" s="95">
        <f t="shared" si="38"/>
        <v>-2.4783434790564104E-2</v>
      </c>
      <c r="E309" s="95">
        <f t="shared" si="39"/>
        <v>1.5293890178442933</v>
      </c>
      <c r="F309" s="96">
        <f t="shared" si="40"/>
        <v>2.6082096928636482</v>
      </c>
      <c r="G309" s="96">
        <f t="shared" si="41"/>
        <v>1.7378453435412402</v>
      </c>
      <c r="H309" s="96" t="str">
        <f t="shared" si="42"/>
        <v/>
      </c>
      <c r="I309" s="96" t="str">
        <f t="shared" si="43"/>
        <v/>
      </c>
      <c r="J309" s="96" t="str">
        <f t="shared" si="44"/>
        <v/>
      </c>
      <c r="K309" s="96" t="str">
        <f t="shared" si="45"/>
        <v/>
      </c>
      <c r="L309" s="96"/>
      <c r="M309" s="106">
        <f>IF(D309="","",ABS(D309-G$5))</f>
        <v>2.4783434790564104E-2</v>
      </c>
    </row>
    <row r="310" spans="2:13" ht="15.75" customHeight="1" x14ac:dyDescent="0.55000000000000004">
      <c r="B310" s="94">
        <v>44253</v>
      </c>
      <c r="C310" s="95">
        <v>3811.15</v>
      </c>
      <c r="D310" s="95">
        <f t="shared" si="38"/>
        <v>-4.7614837180722748E-3</v>
      </c>
      <c r="E310" s="95">
        <f t="shared" si="39"/>
        <v>0.3312757979584624</v>
      </c>
      <c r="F310" s="96">
        <f t="shared" si="40"/>
        <v>0.50109874159238277</v>
      </c>
      <c r="G310" s="96">
        <f t="shared" si="41"/>
        <v>0.39370362666743591</v>
      </c>
      <c r="H310" s="96" t="str">
        <f t="shared" si="42"/>
        <v/>
      </c>
      <c r="I310" s="96" t="str">
        <f t="shared" si="43"/>
        <v/>
      </c>
      <c r="J310" s="96" t="str">
        <f t="shared" si="44"/>
        <v/>
      </c>
      <c r="K310" s="96" t="str">
        <f t="shared" si="45"/>
        <v/>
      </c>
      <c r="L310" s="96"/>
      <c r="M310" s="106">
        <f>IF(D310="","",ABS(D310-G$5))</f>
        <v>4.7614837180722748E-3</v>
      </c>
    </row>
    <row r="311" spans="2:13" ht="15.75" customHeight="1" x14ac:dyDescent="0.55000000000000004">
      <c r="B311" s="94">
        <v>44256</v>
      </c>
      <c r="C311" s="95">
        <v>3901.82</v>
      </c>
      <c r="D311" s="95">
        <f t="shared" si="38"/>
        <v>2.3512130081996933E-2</v>
      </c>
      <c r="E311" s="95">
        <f t="shared" si="39"/>
        <v>1.3606167825977979</v>
      </c>
      <c r="F311" s="96">
        <f t="shared" si="40"/>
        <v>2.4744175332421525</v>
      </c>
      <c r="G311" s="96">
        <f t="shared" si="41"/>
        <v>1.5004118895799383</v>
      </c>
      <c r="H311" s="96" t="str">
        <f t="shared" si="42"/>
        <v/>
      </c>
      <c r="I311" s="96" t="str">
        <f t="shared" si="43"/>
        <v/>
      </c>
      <c r="J311" s="96" t="str">
        <f t="shared" si="44"/>
        <v/>
      </c>
      <c r="K311" s="96" t="str">
        <f t="shared" si="45"/>
        <v/>
      </c>
      <c r="L311" s="96"/>
      <c r="M311" s="106">
        <f>IF(D311="","",ABS(D311-G$5))</f>
        <v>2.3512130081996933E-2</v>
      </c>
    </row>
    <row r="312" spans="2:13" ht="15.75" customHeight="1" x14ac:dyDescent="0.55000000000000004">
      <c r="B312" s="94">
        <v>44257</v>
      </c>
      <c r="C312" s="95">
        <v>3870.29</v>
      </c>
      <c r="D312" s="95">
        <f t="shared" si="38"/>
        <v>-8.113671312552936E-3</v>
      </c>
      <c r="E312" s="95">
        <f t="shared" si="39"/>
        <v>0.53187064797797723</v>
      </c>
      <c r="F312" s="96">
        <f t="shared" si="40"/>
        <v>0.85388310139187973</v>
      </c>
      <c r="G312" s="96">
        <f t="shared" si="41"/>
        <v>0.60675620739804181</v>
      </c>
      <c r="H312" s="96" t="str">
        <f t="shared" si="42"/>
        <v/>
      </c>
      <c r="I312" s="96" t="str">
        <f t="shared" si="43"/>
        <v/>
      </c>
      <c r="J312" s="96" t="str">
        <f t="shared" si="44"/>
        <v/>
      </c>
      <c r="K312" s="96" t="str">
        <f t="shared" si="45"/>
        <v/>
      </c>
      <c r="L312" s="96"/>
      <c r="M312" s="106">
        <f>IF(D312="","",ABS(D312-G$5))</f>
        <v>8.113671312552936E-3</v>
      </c>
    </row>
    <row r="313" spans="2:13" ht="15.75" customHeight="1" x14ac:dyDescent="0.55000000000000004">
      <c r="B313" s="94">
        <v>44258</v>
      </c>
      <c r="C313" s="95">
        <v>3819.72</v>
      </c>
      <c r="D313" s="95">
        <f t="shared" si="38"/>
        <v>-1.3152318131987126E-2</v>
      </c>
      <c r="E313" s="95">
        <f t="shared" si="39"/>
        <v>0.83338319002957861</v>
      </c>
      <c r="F313" s="96">
        <f t="shared" si="40"/>
        <v>1.3841504991283871</v>
      </c>
      <c r="G313" s="96">
        <f t="shared" si="41"/>
        <v>0.95532353943241499</v>
      </c>
      <c r="H313" s="96" t="str">
        <f t="shared" si="42"/>
        <v/>
      </c>
      <c r="I313" s="96" t="str">
        <f t="shared" si="43"/>
        <v/>
      </c>
      <c r="J313" s="96" t="str">
        <f t="shared" si="44"/>
        <v/>
      </c>
      <c r="K313" s="96" t="str">
        <f t="shared" si="45"/>
        <v/>
      </c>
      <c r="L313" s="96"/>
      <c r="M313" s="106">
        <f>IF(D313="","",ABS(D313-G$5))</f>
        <v>1.3152318131987126E-2</v>
      </c>
    </row>
    <row r="314" spans="2:13" ht="15.75" customHeight="1" x14ac:dyDescent="0.55000000000000004">
      <c r="B314" s="94">
        <v>44259</v>
      </c>
      <c r="C314" s="95">
        <v>3768.47</v>
      </c>
      <c r="D314" s="95">
        <f t="shared" si="38"/>
        <v>-1.3508037960082262E-2</v>
      </c>
      <c r="E314" s="95">
        <f t="shared" si="39"/>
        <v>0.85466945863912713</v>
      </c>
      <c r="F314" s="96">
        <f t="shared" si="40"/>
        <v>1.4215864684127886</v>
      </c>
      <c r="G314" s="96">
        <f t="shared" si="41"/>
        <v>0.9816966582466945</v>
      </c>
      <c r="H314" s="96" t="str">
        <f t="shared" si="42"/>
        <v/>
      </c>
      <c r="I314" s="96" t="str">
        <f t="shared" si="43"/>
        <v/>
      </c>
      <c r="J314" s="96" t="str">
        <f t="shared" si="44"/>
        <v/>
      </c>
      <c r="K314" s="96" t="str">
        <f t="shared" si="45"/>
        <v/>
      </c>
      <c r="L314" s="96"/>
      <c r="M314" s="106">
        <f>IF(D314="","",ABS(D314-G$5))</f>
        <v>1.3508037960082262E-2</v>
      </c>
    </row>
    <row r="315" spans="2:13" ht="15.75" customHeight="1" x14ac:dyDescent="0.55000000000000004">
      <c r="B315" s="94">
        <v>44260</v>
      </c>
      <c r="C315" s="95">
        <v>3841.94</v>
      </c>
      <c r="D315" s="95">
        <f t="shared" si="38"/>
        <v>1.9308363815583877E-2</v>
      </c>
      <c r="E315" s="95">
        <f t="shared" si="39"/>
        <v>1.1090634789829792</v>
      </c>
      <c r="F315" s="96">
        <f t="shared" si="40"/>
        <v>2.032012999114936</v>
      </c>
      <c r="G315" s="96">
        <f t="shared" si="41"/>
        <v>1.2359917343251687</v>
      </c>
      <c r="H315" s="96" t="str">
        <f t="shared" si="42"/>
        <v/>
      </c>
      <c r="I315" s="96" t="str">
        <f t="shared" si="43"/>
        <v/>
      </c>
      <c r="J315" s="96" t="str">
        <f t="shared" si="44"/>
        <v/>
      </c>
      <c r="K315" s="96" t="str">
        <f t="shared" si="45"/>
        <v/>
      </c>
      <c r="L315" s="96"/>
      <c r="M315" s="106">
        <f>IF(D315="","",ABS(D315-G$5))</f>
        <v>1.9308363815583877E-2</v>
      </c>
    </row>
    <row r="316" spans="2:13" ht="15.75" customHeight="1" x14ac:dyDescent="0.55000000000000004">
      <c r="B316" s="94">
        <v>44263</v>
      </c>
      <c r="C316" s="95">
        <v>3821.35</v>
      </c>
      <c r="D316" s="95">
        <f t="shared" si="38"/>
        <v>-5.3736840305412389E-3</v>
      </c>
      <c r="E316" s="95">
        <f t="shared" si="39"/>
        <v>0.36790985449629093</v>
      </c>
      <c r="F316" s="96">
        <f t="shared" si="40"/>
        <v>0.56552672756160938</v>
      </c>
      <c r="G316" s="96">
        <f t="shared" si="41"/>
        <v>0.42821374673274265</v>
      </c>
      <c r="H316" s="96" t="str">
        <f t="shared" si="42"/>
        <v/>
      </c>
      <c r="I316" s="96" t="str">
        <f t="shared" si="43"/>
        <v/>
      </c>
      <c r="J316" s="96" t="str">
        <f t="shared" si="44"/>
        <v/>
      </c>
      <c r="K316" s="96" t="str">
        <f t="shared" si="45"/>
        <v/>
      </c>
      <c r="L316" s="96"/>
      <c r="M316" s="106">
        <f>IF(D316="","",ABS(D316-G$5))</f>
        <v>5.3736840305412389E-3</v>
      </c>
    </row>
    <row r="317" spans="2:13" ht="15.75" customHeight="1" x14ac:dyDescent="0.55000000000000004">
      <c r="B317" s="94">
        <v>44264</v>
      </c>
      <c r="C317" s="95">
        <v>3875.44</v>
      </c>
      <c r="D317" s="95">
        <f t="shared" si="38"/>
        <v>1.4055441418613446E-2</v>
      </c>
      <c r="E317" s="95">
        <f t="shared" si="39"/>
        <v>0.79472868992780965</v>
      </c>
      <c r="F317" s="96">
        <f t="shared" si="40"/>
        <v>1.479195230818543</v>
      </c>
      <c r="G317" s="96">
        <f t="shared" si="41"/>
        <v>0.93174336366357147</v>
      </c>
      <c r="H317" s="96" t="str">
        <f t="shared" si="42"/>
        <v/>
      </c>
      <c r="I317" s="96" t="str">
        <f t="shared" si="43"/>
        <v/>
      </c>
      <c r="J317" s="96" t="str">
        <f t="shared" si="44"/>
        <v/>
      </c>
      <c r="K317" s="96" t="str">
        <f t="shared" si="45"/>
        <v/>
      </c>
      <c r="L317" s="96"/>
      <c r="M317" s="106">
        <f>IF(D317="","",ABS(D317-G$5))</f>
        <v>1.4055441418613446E-2</v>
      </c>
    </row>
    <row r="318" spans="2:13" ht="15.75" customHeight="1" x14ac:dyDescent="0.55000000000000004">
      <c r="B318" s="94">
        <v>44265</v>
      </c>
      <c r="C318" s="95">
        <v>3898.81</v>
      </c>
      <c r="D318" s="95">
        <f t="shared" si="38"/>
        <v>6.0121736231132121E-3</v>
      </c>
      <c r="E318" s="95">
        <f t="shared" si="39"/>
        <v>0.31341967853427349</v>
      </c>
      <c r="F318" s="96">
        <f t="shared" si="40"/>
        <v>0.63272139844608355</v>
      </c>
      <c r="G318" s="96">
        <f t="shared" si="41"/>
        <v>0.38445796066599258</v>
      </c>
      <c r="H318" s="96" t="str">
        <f t="shared" si="42"/>
        <v/>
      </c>
      <c r="I318" s="96" t="str">
        <f t="shared" si="43"/>
        <v/>
      </c>
      <c r="J318" s="96" t="str">
        <f t="shared" si="44"/>
        <v/>
      </c>
      <c r="K318" s="96" t="str">
        <f t="shared" si="45"/>
        <v/>
      </c>
      <c r="L318" s="96"/>
      <c r="M318" s="106">
        <f>IF(D318="","",ABS(D318-G$5))</f>
        <v>6.0121736231132121E-3</v>
      </c>
    </row>
    <row r="319" spans="2:13" ht="15.75" customHeight="1" x14ac:dyDescent="0.55000000000000004">
      <c r="B319" s="94">
        <v>44266</v>
      </c>
      <c r="C319" s="95">
        <v>3939.34</v>
      </c>
      <c r="D319" s="95">
        <f t="shared" si="38"/>
        <v>1.0341818218279307E-2</v>
      </c>
      <c r="E319" s="95">
        <f t="shared" si="39"/>
        <v>0.57250553925254855</v>
      </c>
      <c r="F319" s="96">
        <f t="shared" si="40"/>
        <v>1.0883733730491518</v>
      </c>
      <c r="G319" s="96">
        <f t="shared" si="41"/>
        <v>0.72076959007244723</v>
      </c>
      <c r="H319" s="96" t="str">
        <f t="shared" si="42"/>
        <v/>
      </c>
      <c r="I319" s="96" t="str">
        <f t="shared" si="43"/>
        <v/>
      </c>
      <c r="J319" s="96" t="str">
        <f t="shared" si="44"/>
        <v/>
      </c>
      <c r="K319" s="96" t="str">
        <f t="shared" si="45"/>
        <v/>
      </c>
      <c r="L319" s="96"/>
      <c r="M319" s="106">
        <f>IF(D319="","",ABS(D319-G$5))</f>
        <v>1.0341818218279307E-2</v>
      </c>
    </row>
    <row r="320" spans="2:13" ht="15.75" customHeight="1" x14ac:dyDescent="0.55000000000000004">
      <c r="B320" s="94">
        <v>44267</v>
      </c>
      <c r="C320" s="95">
        <v>3943.34</v>
      </c>
      <c r="D320" s="95">
        <f t="shared" si="38"/>
        <v>1.0148833501624158E-3</v>
      </c>
      <c r="E320" s="95">
        <f t="shared" si="39"/>
        <v>1.4381911537869073E-2</v>
      </c>
      <c r="F320" s="96">
        <f t="shared" si="40"/>
        <v>0.10680636535607885</v>
      </c>
      <c r="G320" s="96">
        <f t="shared" si="41"/>
        <v>1.9085529378220771E-2</v>
      </c>
      <c r="H320" s="96" t="str">
        <f t="shared" si="42"/>
        <v/>
      </c>
      <c r="I320" s="96" t="str">
        <f t="shared" si="43"/>
        <v/>
      </c>
      <c r="J320" s="96" t="str">
        <f t="shared" si="44"/>
        <v/>
      </c>
      <c r="K320" s="96" t="str">
        <f t="shared" si="45"/>
        <v/>
      </c>
      <c r="L320" s="96"/>
      <c r="M320" s="106">
        <f>IF(D320="","",ABS(D320-G$5))</f>
        <v>1.0148833501624158E-3</v>
      </c>
    </row>
    <row r="321" spans="2:13" ht="15.75" customHeight="1" x14ac:dyDescent="0.55000000000000004">
      <c r="B321" s="94">
        <v>44270</v>
      </c>
      <c r="C321" s="95">
        <v>3990.56</v>
      </c>
      <c r="D321" s="95">
        <f t="shared" si="38"/>
        <v>1.1903491992870274E-2</v>
      </c>
      <c r="E321" s="95">
        <f t="shared" si="39"/>
        <v>0.66595607200592721</v>
      </c>
      <c r="F321" s="96">
        <f t="shared" si="40"/>
        <v>1.2527239850769052</v>
      </c>
      <c r="G321" s="96">
        <f t="shared" si="41"/>
        <v>0.89359543008562448</v>
      </c>
      <c r="H321" s="96" t="str">
        <f t="shared" si="42"/>
        <v/>
      </c>
      <c r="I321" s="96" t="str">
        <f t="shared" si="43"/>
        <v/>
      </c>
      <c r="J321" s="96" t="str">
        <f t="shared" si="44"/>
        <v/>
      </c>
      <c r="K321" s="96" t="str">
        <f t="shared" si="45"/>
        <v/>
      </c>
      <c r="L321" s="96"/>
      <c r="M321" s="106">
        <f>IF(D321="","",ABS(D321-G$5))</f>
        <v>1.1903491992870274E-2</v>
      </c>
    </row>
    <row r="322" spans="2:13" ht="15.75" customHeight="1" x14ac:dyDescent="0.55000000000000004">
      <c r="B322" s="94">
        <v>44271</v>
      </c>
      <c r="C322" s="95">
        <v>3962.71</v>
      </c>
      <c r="D322" s="95">
        <f t="shared" si="38"/>
        <v>-7.0034372861604594E-3</v>
      </c>
      <c r="E322" s="95">
        <f t="shared" si="39"/>
        <v>0.46543426226452678</v>
      </c>
      <c r="F322" s="96">
        <f t="shared" si="40"/>
        <v>0.73704202696234211</v>
      </c>
      <c r="G322" s="96">
        <f t="shared" si="41"/>
        <v>0.64449569538492835</v>
      </c>
      <c r="H322" s="96" t="str">
        <f t="shared" si="42"/>
        <v/>
      </c>
      <c r="I322" s="96" t="str">
        <f t="shared" si="43"/>
        <v/>
      </c>
      <c r="J322" s="96" t="str">
        <f t="shared" si="44"/>
        <v/>
      </c>
      <c r="K322" s="96" t="str">
        <f t="shared" si="45"/>
        <v/>
      </c>
      <c r="L322" s="96"/>
      <c r="M322" s="106">
        <f>IF(D322="","",ABS(D322-G$5))</f>
        <v>7.0034372861604594E-3</v>
      </c>
    </row>
    <row r="323" spans="2:13" ht="15.75" customHeight="1" x14ac:dyDescent="0.55000000000000004">
      <c r="B323" s="94">
        <v>44272</v>
      </c>
      <c r="C323" s="95">
        <v>3974.54</v>
      </c>
      <c r="D323" s="95">
        <f t="shared" si="38"/>
        <v>2.9808834948590363E-3</v>
      </c>
      <c r="E323" s="95">
        <f t="shared" si="39"/>
        <v>0.1320273275680125</v>
      </c>
      <c r="F323" s="96">
        <f t="shared" si="40"/>
        <v>0.31370830114108011</v>
      </c>
      <c r="G323" s="96">
        <f t="shared" si="41"/>
        <v>0.19235315750526386</v>
      </c>
      <c r="H323" s="96" t="str">
        <f t="shared" si="42"/>
        <v/>
      </c>
      <c r="I323" s="96" t="str">
        <f t="shared" si="43"/>
        <v/>
      </c>
      <c r="J323" s="96" t="str">
        <f t="shared" si="44"/>
        <v/>
      </c>
      <c r="K323" s="96" t="str">
        <f t="shared" si="45"/>
        <v/>
      </c>
      <c r="L323" s="96"/>
      <c r="M323" s="106">
        <f>IF(D323="","",ABS(D323-G$5))</f>
        <v>2.9808834948590363E-3</v>
      </c>
    </row>
    <row r="324" spans="2:13" ht="15.75" customHeight="1" x14ac:dyDescent="0.55000000000000004">
      <c r="B324" s="94">
        <v>44273</v>
      </c>
      <c r="C324" s="95">
        <v>3913.1</v>
      </c>
      <c r="D324" s="95">
        <f t="shared" si="38"/>
        <v>-1.5579119398160842E-2</v>
      </c>
      <c r="E324" s="95">
        <f t="shared" si="39"/>
        <v>0.97860293752127692</v>
      </c>
      <c r="F324" s="96">
        <f t="shared" si="40"/>
        <v>1.6395471638190278</v>
      </c>
      <c r="G324" s="96">
        <f t="shared" si="41"/>
        <v>1.3573758258287481</v>
      </c>
      <c r="H324" s="96" t="str">
        <f t="shared" si="42"/>
        <v/>
      </c>
      <c r="I324" s="96" t="str">
        <f t="shared" si="43"/>
        <v/>
      </c>
      <c r="J324" s="96" t="str">
        <f t="shared" si="44"/>
        <v/>
      </c>
      <c r="K324" s="96" t="str">
        <f t="shared" si="45"/>
        <v/>
      </c>
      <c r="L324" s="96"/>
      <c r="M324" s="106">
        <f>IF(D324="","",ABS(D324-G$5))</f>
        <v>1.5579119398160842E-2</v>
      </c>
    </row>
    <row r="325" spans="2:13" ht="15.75" customHeight="1" x14ac:dyDescent="0.55000000000000004">
      <c r="B325" s="94">
        <v>44274</v>
      </c>
      <c r="C325" s="95">
        <v>3913.1</v>
      </c>
      <c r="D325" s="95">
        <f t="shared" si="38"/>
        <v>0</v>
      </c>
      <c r="E325" s="95">
        <f t="shared" si="39"/>
        <v>4.6348691292451449E-2</v>
      </c>
      <c r="F325" s="96">
        <f t="shared" si="40"/>
        <v>0</v>
      </c>
      <c r="G325" s="96">
        <f t="shared" si="41"/>
        <v>6.7750128183080446E-2</v>
      </c>
      <c r="H325" s="96" t="str">
        <f t="shared" si="42"/>
        <v/>
      </c>
      <c r="I325" s="96" t="str">
        <f t="shared" si="43"/>
        <v/>
      </c>
      <c r="J325" s="96" t="str">
        <f t="shared" si="44"/>
        <v/>
      </c>
      <c r="K325" s="96" t="str">
        <f t="shared" si="45"/>
        <v/>
      </c>
      <c r="L325" s="96"/>
      <c r="M325" s="106">
        <f>IF(D325="","",ABS(D325-G$5))</f>
        <v>0</v>
      </c>
    </row>
    <row r="326" spans="2:13" ht="15.75" customHeight="1" x14ac:dyDescent="0.55000000000000004">
      <c r="B326" s="94">
        <v>44277</v>
      </c>
      <c r="C326" s="95">
        <v>3940.59</v>
      </c>
      <c r="D326" s="95">
        <f t="shared" si="38"/>
        <v>7.0005595506540804E-3</v>
      </c>
      <c r="E326" s="95">
        <f t="shared" si="39"/>
        <v>0.37256467603468213</v>
      </c>
      <c r="F326" s="96">
        <f t="shared" si="40"/>
        <v>0.73673917395973521</v>
      </c>
      <c r="G326" s="96">
        <f t="shared" si="41"/>
        <v>0.56482330475684372</v>
      </c>
      <c r="H326" s="96" t="str">
        <f t="shared" si="42"/>
        <v/>
      </c>
      <c r="I326" s="96" t="str">
        <f t="shared" si="43"/>
        <v/>
      </c>
      <c r="J326" s="96" t="str">
        <f t="shared" si="44"/>
        <v/>
      </c>
      <c r="K326" s="96" t="str">
        <f t="shared" si="45"/>
        <v/>
      </c>
      <c r="L326" s="96"/>
      <c r="M326" s="106">
        <f>IF(D326="","",ABS(D326-G$5))</f>
        <v>7.0005595506540804E-3</v>
      </c>
    </row>
    <row r="327" spans="2:13" ht="15.75" customHeight="1" x14ac:dyDescent="0.55000000000000004">
      <c r="B327" s="94">
        <v>44278</v>
      </c>
      <c r="C327" s="95">
        <v>3910.52</v>
      </c>
      <c r="D327" s="95">
        <f t="shared" si="38"/>
        <v>-7.6601008099493138E-3</v>
      </c>
      <c r="E327" s="95">
        <f t="shared" si="39"/>
        <v>0.50472899662980875</v>
      </c>
      <c r="F327" s="96">
        <f t="shared" si="40"/>
        <v>0.80614932311276022</v>
      </c>
      <c r="G327" s="96">
        <f t="shared" si="41"/>
        <v>0.78155842880733817</v>
      </c>
      <c r="H327" s="96" t="str">
        <f t="shared" si="42"/>
        <v/>
      </c>
      <c r="I327" s="96" t="str">
        <f t="shared" si="43"/>
        <v/>
      </c>
      <c r="J327" s="96" t="str">
        <f t="shared" si="44"/>
        <v/>
      </c>
      <c r="K327" s="96" t="str">
        <f t="shared" si="45"/>
        <v/>
      </c>
      <c r="L327" s="96"/>
      <c r="M327" s="106">
        <f>IF(D327="","",ABS(D327-G$5))</f>
        <v>7.6601008099493138E-3</v>
      </c>
    </row>
    <row r="328" spans="2:13" ht="15.75" customHeight="1" x14ac:dyDescent="0.55000000000000004">
      <c r="B328" s="94">
        <v>44279</v>
      </c>
      <c r="C328" s="95">
        <v>3889.14</v>
      </c>
      <c r="D328" s="95">
        <f t="shared" si="38"/>
        <v>-5.4823039848238466E-3</v>
      </c>
      <c r="E328" s="95">
        <f t="shared" si="39"/>
        <v>0.37440967075786319</v>
      </c>
      <c r="F328" s="96">
        <f t="shared" si="40"/>
        <v>0.57695789600102876</v>
      </c>
      <c r="G328" s="96">
        <f t="shared" si="41"/>
        <v>0.60002166250173961</v>
      </c>
      <c r="H328" s="96" t="str">
        <f t="shared" si="42"/>
        <v/>
      </c>
      <c r="I328" s="96" t="str">
        <f t="shared" si="43"/>
        <v/>
      </c>
      <c r="J328" s="96" t="str">
        <f t="shared" si="44"/>
        <v/>
      </c>
      <c r="K328" s="96" t="str">
        <f t="shared" si="45"/>
        <v/>
      </c>
      <c r="L328" s="96"/>
      <c r="M328" s="106">
        <f>IF(D328="","",ABS(D328-G$5))</f>
        <v>5.4823039848238466E-3</v>
      </c>
    </row>
    <row r="329" spans="2:13" ht="15.75" customHeight="1" x14ac:dyDescent="0.55000000000000004">
      <c r="B329" s="94">
        <v>44280</v>
      </c>
      <c r="C329" s="95">
        <v>3909.52</v>
      </c>
      <c r="D329" s="95">
        <f t="shared" si="38"/>
        <v>5.2265508159267142E-3</v>
      </c>
      <c r="E329" s="95">
        <f t="shared" si="39"/>
        <v>0.26640802279073483</v>
      </c>
      <c r="F329" s="96">
        <f t="shared" si="40"/>
        <v>0.55004242202677289</v>
      </c>
      <c r="G329" s="96">
        <f t="shared" si="41"/>
        <v>0.4455453875406083</v>
      </c>
      <c r="H329" s="96" t="str">
        <f t="shared" si="42"/>
        <v/>
      </c>
      <c r="I329" s="96" t="str">
        <f t="shared" si="43"/>
        <v/>
      </c>
      <c r="J329" s="96" t="str">
        <f t="shared" si="44"/>
        <v/>
      </c>
      <c r="K329" s="96" t="str">
        <f t="shared" si="45"/>
        <v/>
      </c>
      <c r="L329" s="96"/>
      <c r="M329" s="106">
        <f>IF(D329="","",ABS(D329-G$5))</f>
        <v>5.2265508159267142E-3</v>
      </c>
    </row>
    <row r="330" spans="2:13" ht="15.75" customHeight="1" x14ac:dyDescent="0.55000000000000004">
      <c r="B330" s="94">
        <v>44281</v>
      </c>
      <c r="C330" s="95">
        <v>3974.54</v>
      </c>
      <c r="D330" s="95">
        <f t="shared" si="38"/>
        <v>1.6494413826353246E-2</v>
      </c>
      <c r="E330" s="95">
        <f t="shared" si="39"/>
        <v>0.94067675832882558</v>
      </c>
      <c r="F330" s="96">
        <f t="shared" si="40"/>
        <v>1.7358727869463126</v>
      </c>
      <c r="G330" s="96">
        <f t="shared" si="41"/>
        <v>1.4686194184234518</v>
      </c>
      <c r="H330" s="96" t="str">
        <f t="shared" si="42"/>
        <v/>
      </c>
      <c r="I330" s="96" t="str">
        <f t="shared" si="43"/>
        <v/>
      </c>
      <c r="J330" s="96" t="str">
        <f t="shared" si="44"/>
        <v/>
      </c>
      <c r="K330" s="96" t="str">
        <f t="shared" si="45"/>
        <v/>
      </c>
      <c r="L330" s="96"/>
      <c r="M330" s="106">
        <f>IF(D330="","",ABS(D330-G$5))</f>
        <v>1.6494413826353246E-2</v>
      </c>
    </row>
    <row r="331" spans="2:13" ht="15.75" customHeight="1" x14ac:dyDescent="0.55000000000000004">
      <c r="B331" s="94">
        <v>44284</v>
      </c>
      <c r="C331" s="95">
        <v>3971.09</v>
      </c>
      <c r="D331" s="95">
        <f t="shared" si="38"/>
        <v>-8.6840193082478952E-4</v>
      </c>
      <c r="E331" s="95">
        <f t="shared" si="39"/>
        <v>9.8313848420670952E-2</v>
      </c>
      <c r="F331" s="96">
        <f t="shared" si="40"/>
        <v>9.139065478289056E-2</v>
      </c>
      <c r="G331" s="96">
        <f t="shared" si="41"/>
        <v>0.16158260461565804</v>
      </c>
      <c r="H331" s="96" t="str">
        <f t="shared" si="42"/>
        <v/>
      </c>
      <c r="I331" s="96" t="str">
        <f t="shared" si="43"/>
        <v/>
      </c>
      <c r="J331" s="96" t="str">
        <f t="shared" si="44"/>
        <v/>
      </c>
      <c r="K331" s="96" t="str">
        <f t="shared" si="45"/>
        <v/>
      </c>
      <c r="L331" s="96"/>
      <c r="M331" s="106">
        <f>IF(D331="","",ABS(D331-G$5))</f>
        <v>8.6840193082478952E-4</v>
      </c>
    </row>
    <row r="332" spans="2:13" ht="15.75" customHeight="1" x14ac:dyDescent="0.55000000000000004">
      <c r="B332" s="94">
        <v>44285</v>
      </c>
      <c r="C332" s="95">
        <v>3958.55</v>
      </c>
      <c r="D332" s="95">
        <f t="shared" si="38"/>
        <v>-3.1628196118815713E-3</v>
      </c>
      <c r="E332" s="95">
        <f t="shared" si="39"/>
        <v>0.23561176437606141</v>
      </c>
      <c r="F332" s="96">
        <f t="shared" si="40"/>
        <v>0.33285526555138939</v>
      </c>
      <c r="G332" s="96">
        <f t="shared" si="41"/>
        <v>0.4048251255131794</v>
      </c>
      <c r="H332" s="96" t="str">
        <f t="shared" si="42"/>
        <v/>
      </c>
      <c r="I332" s="96" t="str">
        <f t="shared" si="43"/>
        <v/>
      </c>
      <c r="J332" s="96" t="str">
        <f t="shared" si="44"/>
        <v/>
      </c>
      <c r="K332" s="96" t="str">
        <f t="shared" si="45"/>
        <v/>
      </c>
      <c r="L332" s="96"/>
      <c r="M332" s="106">
        <f>IF(D332="","",ABS(D332-G$5))</f>
        <v>3.1628196118815713E-3</v>
      </c>
    </row>
    <row r="333" spans="2:13" ht="15.75" customHeight="1" x14ac:dyDescent="0.55000000000000004">
      <c r="B333" s="94">
        <v>44286</v>
      </c>
      <c r="C333" s="95">
        <v>3972.89</v>
      </c>
      <c r="D333" s="95">
        <f t="shared" si="38"/>
        <v>3.6159929659948988E-3</v>
      </c>
      <c r="E333" s="95">
        <f t="shared" si="39"/>
        <v>0.17003226778025893</v>
      </c>
      <c r="F333" s="96">
        <f t="shared" si="40"/>
        <v>0.38054724790711708</v>
      </c>
      <c r="G333" s="96">
        <f t="shared" si="41"/>
        <v>0.30650036987946261</v>
      </c>
      <c r="H333" s="96" t="str">
        <f t="shared" si="42"/>
        <v/>
      </c>
      <c r="I333" s="96" t="str">
        <f t="shared" si="43"/>
        <v/>
      </c>
      <c r="J333" s="96" t="str">
        <f t="shared" si="44"/>
        <v/>
      </c>
      <c r="K333" s="96" t="str">
        <f t="shared" si="45"/>
        <v/>
      </c>
      <c r="L333" s="96"/>
      <c r="M333" s="106">
        <f>IF(D333="","",ABS(D333-G$5))</f>
        <v>3.6159929659948988E-3</v>
      </c>
    </row>
    <row r="334" spans="2:13" ht="15.75" customHeight="1" x14ac:dyDescent="0.55000000000000004">
      <c r="B334" s="94">
        <v>44287</v>
      </c>
      <c r="C334" s="95">
        <v>4019.87</v>
      </c>
      <c r="D334" s="95">
        <f t="shared" si="38"/>
        <v>1.1755774236888511E-2</v>
      </c>
      <c r="E334" s="95">
        <f t="shared" si="39"/>
        <v>0.65711664393955971</v>
      </c>
      <c r="F334" s="96">
        <f t="shared" si="40"/>
        <v>1.2371781623846287</v>
      </c>
      <c r="G334" s="96">
        <f t="shared" si="41"/>
        <v>1.1613444047479038</v>
      </c>
      <c r="H334" s="96" t="str">
        <f t="shared" si="42"/>
        <v/>
      </c>
      <c r="I334" s="96" t="str">
        <f t="shared" si="43"/>
        <v/>
      </c>
      <c r="J334" s="96" t="str">
        <f t="shared" si="44"/>
        <v/>
      </c>
      <c r="K334" s="96" t="str">
        <f t="shared" si="45"/>
        <v/>
      </c>
      <c r="L334" s="96"/>
      <c r="M334" s="106">
        <f>IF(D334="","",ABS(D334-G$5))</f>
        <v>1.1755774236888511E-2</v>
      </c>
    </row>
    <row r="335" spans="2:13" ht="15.75" customHeight="1" x14ac:dyDescent="0.55000000000000004">
      <c r="B335" s="94">
        <v>44291</v>
      </c>
      <c r="C335" s="95">
        <v>4128.8</v>
      </c>
      <c r="D335" s="95">
        <f t="shared" si="38"/>
        <v>2.6737244052802721E-2</v>
      </c>
      <c r="E335" s="95">
        <f t="shared" si="39"/>
        <v>1.5536075490855716</v>
      </c>
      <c r="F335" s="96">
        <f t="shared" si="40"/>
        <v>2.8138286596792463</v>
      </c>
      <c r="G335" s="96">
        <f t="shared" si="41"/>
        <v>2.1350295439279199</v>
      </c>
      <c r="H335" s="96" t="str">
        <f t="shared" si="42"/>
        <v/>
      </c>
      <c r="I335" s="96" t="str">
        <f t="shared" si="43"/>
        <v/>
      </c>
      <c r="J335" s="96" t="str">
        <f t="shared" si="44"/>
        <v/>
      </c>
      <c r="K335" s="96" t="str">
        <f t="shared" si="45"/>
        <v/>
      </c>
      <c r="L335" s="96"/>
      <c r="M335" s="106">
        <f>IF(D335="","",ABS(D335-G$5))</f>
        <v>2.6737244052802721E-2</v>
      </c>
    </row>
    <row r="336" spans="2:13" ht="15.75" customHeight="1" x14ac:dyDescent="0.55000000000000004">
      <c r="B336" s="94">
        <v>44292</v>
      </c>
      <c r="C336" s="95">
        <v>4073.94</v>
      </c>
      <c r="D336" s="95">
        <f t="shared" si="38"/>
        <v>-1.3376217696718313E-2</v>
      </c>
      <c r="E336" s="95">
        <f t="shared" si="39"/>
        <v>0.84678133626716867</v>
      </c>
      <c r="F336" s="96">
        <f t="shared" si="40"/>
        <v>1.4077136984950129</v>
      </c>
      <c r="G336" s="96">
        <f t="shared" si="41"/>
        <v>1.1436063485975425</v>
      </c>
      <c r="H336" s="96" t="str">
        <f t="shared" si="42"/>
        <v/>
      </c>
      <c r="I336" s="96" t="str">
        <f t="shared" si="43"/>
        <v/>
      </c>
      <c r="J336" s="96" t="str">
        <f t="shared" si="44"/>
        <v/>
      </c>
      <c r="K336" s="96" t="str">
        <f t="shared" si="45"/>
        <v/>
      </c>
      <c r="L336" s="96"/>
      <c r="M336" s="106">
        <f>IF(D336="","",ABS(D336-G$5))</f>
        <v>1.3376217696718313E-2</v>
      </c>
    </row>
    <row r="337" spans="2:13" ht="15.75" customHeight="1" x14ac:dyDescent="0.55000000000000004">
      <c r="B337" s="94">
        <v>44293</v>
      </c>
      <c r="C337" s="95">
        <v>4097.17</v>
      </c>
      <c r="D337" s="95">
        <f t="shared" si="38"/>
        <v>5.6859013241627064E-3</v>
      </c>
      <c r="E337" s="95">
        <f t="shared" si="39"/>
        <v>0.29389554958001707</v>
      </c>
      <c r="F337" s="96">
        <f t="shared" si="40"/>
        <v>0.59838448833547953</v>
      </c>
      <c r="G337" s="96">
        <f t="shared" si="41"/>
        <v>0.41477142477215923</v>
      </c>
      <c r="H337" s="96" t="str">
        <f t="shared" si="42"/>
        <v/>
      </c>
      <c r="I337" s="96" t="str">
        <f t="shared" si="43"/>
        <v/>
      </c>
      <c r="J337" s="96" t="str">
        <f t="shared" si="44"/>
        <v/>
      </c>
      <c r="K337" s="96" t="str">
        <f t="shared" si="45"/>
        <v/>
      </c>
      <c r="L337" s="96"/>
      <c r="M337" s="106">
        <f>IF(D337="","",ABS(D337-G$5))</f>
        <v>5.6859013241627064E-3</v>
      </c>
    </row>
    <row r="338" spans="2:13" ht="15.75" customHeight="1" x14ac:dyDescent="0.55000000000000004">
      <c r="B338" s="94">
        <v>44294</v>
      </c>
      <c r="C338" s="95">
        <v>4128.8</v>
      </c>
      <c r="D338" s="95">
        <f t="shared" si="38"/>
        <v>7.6903163725556868E-3</v>
      </c>
      <c r="E338" s="95">
        <f t="shared" si="39"/>
        <v>0.41383971280980203</v>
      </c>
      <c r="F338" s="96">
        <f t="shared" si="40"/>
        <v>0.80932921015954173</v>
      </c>
      <c r="G338" s="96">
        <f t="shared" si="41"/>
        <v>0.60429459812579733</v>
      </c>
      <c r="H338" s="96" t="str">
        <f t="shared" si="42"/>
        <v/>
      </c>
      <c r="I338" s="96" t="str">
        <f t="shared" si="43"/>
        <v/>
      </c>
      <c r="J338" s="96" t="str">
        <f t="shared" si="44"/>
        <v/>
      </c>
      <c r="K338" s="96" t="str">
        <f t="shared" si="45"/>
        <v/>
      </c>
      <c r="L338" s="96"/>
      <c r="M338" s="106">
        <f>IF(D338="","",ABS(D338-G$5))</f>
        <v>7.6903163725556868E-3</v>
      </c>
    </row>
    <row r="339" spans="2:13" ht="15.75" customHeight="1" x14ac:dyDescent="0.55000000000000004">
      <c r="B339" s="94">
        <v>44295</v>
      </c>
      <c r="C339" s="95">
        <v>4185.47</v>
      </c>
      <c r="D339" s="95">
        <f t="shared" si="38"/>
        <v>1.3632195637469313E-2</v>
      </c>
      <c r="E339" s="95">
        <f t="shared" si="39"/>
        <v>0.76940166940849619</v>
      </c>
      <c r="F339" s="96">
        <f t="shared" si="40"/>
        <v>1.4346528274683799</v>
      </c>
      <c r="G339" s="96">
        <f t="shared" si="41"/>
        <v>1.1090439276321857</v>
      </c>
      <c r="H339" s="96" t="str">
        <f t="shared" si="42"/>
        <v/>
      </c>
      <c r="I339" s="96" t="str">
        <f t="shared" si="43"/>
        <v/>
      </c>
      <c r="J339" s="96" t="str">
        <f t="shared" si="44"/>
        <v/>
      </c>
      <c r="K339" s="96" t="str">
        <f t="shared" si="45"/>
        <v/>
      </c>
      <c r="L339" s="96"/>
      <c r="M339" s="106">
        <f>IF(D339="","",ABS(D339-G$5))</f>
        <v>1.3632195637469313E-2</v>
      </c>
    </row>
    <row r="340" spans="2:13" ht="15.75" customHeight="1" x14ac:dyDescent="0.55000000000000004">
      <c r="B340" s="94">
        <v>44298</v>
      </c>
      <c r="C340" s="95">
        <v>4127.83</v>
      </c>
      <c r="D340" s="95">
        <f t="shared" si="38"/>
        <v>-1.3867158329139611E-2</v>
      </c>
      <c r="E340" s="95">
        <f t="shared" si="39"/>
        <v>0.87615921556341758</v>
      </c>
      <c r="F340" s="96">
        <f t="shared" si="40"/>
        <v>1.4593803107673908</v>
      </c>
      <c r="G340" s="96">
        <f t="shared" si="41"/>
        <v>1.2269544232847345</v>
      </c>
      <c r="H340" s="96" t="str">
        <f t="shared" si="42"/>
        <v/>
      </c>
      <c r="I340" s="96" t="str">
        <f t="shared" si="43"/>
        <v/>
      </c>
      <c r="J340" s="96" t="str">
        <f t="shared" si="44"/>
        <v/>
      </c>
      <c r="K340" s="96" t="str">
        <f t="shared" si="45"/>
        <v/>
      </c>
      <c r="L340" s="96"/>
      <c r="M340" s="106">
        <f>IF(D340="","",ABS(D340-G$5))</f>
        <v>1.3867158329139611E-2</v>
      </c>
    </row>
    <row r="341" spans="2:13" ht="15.75" customHeight="1" x14ac:dyDescent="0.55000000000000004">
      <c r="B341" s="94">
        <v>44299</v>
      </c>
      <c r="C341" s="95">
        <v>4141.45</v>
      </c>
      <c r="D341" s="95">
        <f t="shared" si="38"/>
        <v>3.2941229021538994E-3</v>
      </c>
      <c r="E341" s="95">
        <f t="shared" si="39"/>
        <v>0.15077156850189416</v>
      </c>
      <c r="F341" s="96">
        <f t="shared" si="40"/>
        <v>0.34667362919981975</v>
      </c>
      <c r="G341" s="96">
        <f t="shared" si="41"/>
        <v>0.22200904749361239</v>
      </c>
      <c r="H341" s="96" t="str">
        <f t="shared" si="42"/>
        <v/>
      </c>
      <c r="I341" s="96" t="str">
        <f t="shared" si="43"/>
        <v/>
      </c>
      <c r="J341" s="96" t="str">
        <f t="shared" si="44"/>
        <v/>
      </c>
      <c r="K341" s="96" t="str">
        <f t="shared" si="45"/>
        <v/>
      </c>
      <c r="L341" s="96"/>
      <c r="M341" s="106">
        <f>IF(D341="","",ABS(D341-G$5))</f>
        <v>3.2941229021538994E-3</v>
      </c>
    </row>
    <row r="342" spans="2:13" ht="15.75" customHeight="1" x14ac:dyDescent="0.55000000000000004">
      <c r="B342" s="94">
        <v>44300</v>
      </c>
      <c r="C342" s="95">
        <v>4173.1099999999997</v>
      </c>
      <c r="D342" s="95">
        <f t="shared" si="38"/>
        <v>7.6155931320365505E-3</v>
      </c>
      <c r="E342" s="95">
        <f t="shared" si="39"/>
        <v>0.40936827533727282</v>
      </c>
      <c r="F342" s="96">
        <f t="shared" si="40"/>
        <v>0.80146533326551272</v>
      </c>
      <c r="G342" s="96">
        <f t="shared" si="41"/>
        <v>0.62294494447645299</v>
      </c>
      <c r="H342" s="96" t="str">
        <f t="shared" si="42"/>
        <v/>
      </c>
      <c r="I342" s="96" t="str">
        <f t="shared" si="43"/>
        <v/>
      </c>
      <c r="J342" s="96" t="str">
        <f t="shared" si="44"/>
        <v/>
      </c>
      <c r="K342" s="96" t="str">
        <f t="shared" si="45"/>
        <v/>
      </c>
      <c r="L342" s="96"/>
      <c r="M342" s="106">
        <f>IF(D342="","",ABS(D342-G$5))</f>
        <v>7.6155931320365505E-3</v>
      </c>
    </row>
    <row r="343" spans="2:13" ht="15.75" customHeight="1" x14ac:dyDescent="0.55000000000000004">
      <c r="B343" s="94">
        <v>44301</v>
      </c>
      <c r="C343" s="95">
        <v>4185.47</v>
      </c>
      <c r="D343" s="95">
        <f t="shared" si="38"/>
        <v>2.9574422949492775E-3</v>
      </c>
      <c r="E343" s="95">
        <f t="shared" si="39"/>
        <v>0.13062460655445179</v>
      </c>
      <c r="F343" s="96">
        <f t="shared" si="40"/>
        <v>0.31124134830207068</v>
      </c>
      <c r="G343" s="96">
        <f t="shared" si="41"/>
        <v>0.20906821077683299</v>
      </c>
      <c r="H343" s="96" t="str">
        <f t="shared" si="42"/>
        <v/>
      </c>
      <c r="I343" s="96" t="str">
        <f t="shared" si="43"/>
        <v/>
      </c>
      <c r="J343" s="96" t="str">
        <f t="shared" si="44"/>
        <v/>
      </c>
      <c r="K343" s="96" t="str">
        <f t="shared" si="45"/>
        <v/>
      </c>
      <c r="L343" s="96"/>
      <c r="M343" s="106">
        <f>IF(D343="","",ABS(D343-G$5))</f>
        <v>2.9574422949492775E-3</v>
      </c>
    </row>
    <row r="344" spans="2:13" ht="15.75" customHeight="1" x14ac:dyDescent="0.55000000000000004">
      <c r="B344" s="94">
        <v>44302</v>
      </c>
      <c r="C344" s="95">
        <v>4185.47</v>
      </c>
      <c r="D344" s="95">
        <f t="shared" si="38"/>
        <v>0</v>
      </c>
      <c r="E344" s="95">
        <f t="shared" si="39"/>
        <v>4.6348691292451449E-2</v>
      </c>
      <c r="F344" s="96">
        <f t="shared" si="40"/>
        <v>0</v>
      </c>
      <c r="G344" s="96">
        <f t="shared" si="41"/>
        <v>7.8171148907628829E-2</v>
      </c>
      <c r="H344" s="96" t="str">
        <f t="shared" si="42"/>
        <v/>
      </c>
      <c r="I344" s="96" t="str">
        <f t="shared" si="43"/>
        <v/>
      </c>
      <c r="J344" s="96" t="str">
        <f t="shared" si="44"/>
        <v/>
      </c>
      <c r="K344" s="96" t="str">
        <f t="shared" si="45"/>
        <v/>
      </c>
      <c r="L344" s="96"/>
      <c r="M344" s="106">
        <f>IF(D344="","",ABS(D344-G$5))</f>
        <v>0</v>
      </c>
    </row>
    <row r="345" spans="2:13" ht="15.75" customHeight="1" x14ac:dyDescent="0.55000000000000004">
      <c r="B345" s="94">
        <v>44305</v>
      </c>
      <c r="C345" s="95">
        <v>4163.26</v>
      </c>
      <c r="D345" s="95">
        <f t="shared" si="38"/>
        <v>-5.3205822668759327E-3</v>
      </c>
      <c r="E345" s="95">
        <f t="shared" si="39"/>
        <v>0.36473224583985653</v>
      </c>
      <c r="F345" s="96">
        <f t="shared" si="40"/>
        <v>0.55993829577762044</v>
      </c>
      <c r="G345" s="96">
        <f t="shared" si="41"/>
        <v>0.63521171150147338</v>
      </c>
      <c r="H345" s="96" t="str">
        <f t="shared" si="42"/>
        <v/>
      </c>
      <c r="I345" s="96" t="str">
        <f t="shared" si="43"/>
        <v/>
      </c>
      <c r="J345" s="96" t="str">
        <f t="shared" si="44"/>
        <v/>
      </c>
      <c r="K345" s="96" t="str">
        <f t="shared" si="45"/>
        <v/>
      </c>
      <c r="L345" s="96"/>
      <c r="M345" s="106">
        <f>IF(D345="","",ABS(D345-G$5))</f>
        <v>5.3205822668759327E-3</v>
      </c>
    </row>
    <row r="346" spans="2:13" ht="15.75" customHeight="1" x14ac:dyDescent="0.55000000000000004">
      <c r="B346" s="94">
        <v>44306</v>
      </c>
      <c r="C346" s="95">
        <v>4134.9799999999996</v>
      </c>
      <c r="D346" s="95">
        <f t="shared" si="38"/>
        <v>-6.8159295183875569E-3</v>
      </c>
      <c r="E346" s="95">
        <f t="shared" si="39"/>
        <v>0.45421380055294802</v>
      </c>
      <c r="F346" s="96">
        <f t="shared" si="40"/>
        <v>0.71730870179876505</v>
      </c>
      <c r="G346" s="96">
        <f t="shared" si="41"/>
        <v>0.80628224639078272</v>
      </c>
      <c r="H346" s="96" t="str">
        <f t="shared" si="42"/>
        <v/>
      </c>
      <c r="I346" s="96" t="str">
        <f t="shared" si="43"/>
        <v/>
      </c>
      <c r="J346" s="96" t="str">
        <f t="shared" si="44"/>
        <v/>
      </c>
      <c r="K346" s="96" t="str">
        <f t="shared" si="45"/>
        <v/>
      </c>
      <c r="L346" s="96"/>
      <c r="M346" s="106">
        <f>IF(D346="","",ABS(D346-G$5))</f>
        <v>6.8159295183875569E-3</v>
      </c>
    </row>
    <row r="347" spans="2:13" ht="15.75" customHeight="1" x14ac:dyDescent="0.55000000000000004">
      <c r="B347" s="94">
        <v>44307</v>
      </c>
      <c r="C347" s="95">
        <v>4180.17</v>
      </c>
      <c r="D347" s="95">
        <f t="shared" ref="D347:D410" si="46">IF(OR(C347="",C346=""),"",LN(C347/C346))</f>
        <v>1.0869423861541933E-2</v>
      </c>
      <c r="E347" s="95">
        <f t="shared" ref="E347:E410" si="47">IF(D347="","",ABS(D347-$E$5)/$F$5)</f>
        <v>0.60407745218903575</v>
      </c>
      <c r="F347" s="96">
        <f t="shared" ref="F347:F410" si="48">IF(D347="","",ABS(D347-$G$5)/$H$5)</f>
        <v>1.1438986125648252</v>
      </c>
      <c r="G347" s="96">
        <f t="shared" ref="G347:G410" si="49">IF(D347="","",ABS(D347-$E$5)/SQRT(0.9*(IF(G346="",($F$5)^2,(ABS(D346-$E$5)/MAX(G346,0.0000000001))^2))+0.1*(D347-$E$5)^2))</f>
        <v>1.0643628822241675</v>
      </c>
      <c r="H347" s="96" t="str">
        <f t="shared" ref="H347:H410" si="50">IF(E347="","",IF(E347&gt;$I$5,"OUTLIER",""))</f>
        <v/>
      </c>
      <c r="I347" s="96" t="str">
        <f t="shared" ref="I347:I410" si="51">IF(F347="","",IF(F347&gt;$I$5,"OUTLIER",""))</f>
        <v/>
      </c>
      <c r="J347" s="96" t="str">
        <f t="shared" ref="J347:J410" si="52">IF(G347="","",IF(G347&gt;$I$5,"OUTLIER",""))</f>
        <v/>
      </c>
      <c r="K347" s="96" t="str">
        <f t="shared" ref="K347:K410" si="53">IF(C347="","MISSING","")</f>
        <v/>
      </c>
      <c r="L347" s="96"/>
      <c r="M347" s="106">
        <f>IF(D347="","",ABS(D347-G$5))</f>
        <v>1.0869423861541933E-2</v>
      </c>
    </row>
    <row r="348" spans="2:13" ht="15.75" customHeight="1" x14ac:dyDescent="0.55000000000000004">
      <c r="B348" s="94">
        <v>44308</v>
      </c>
      <c r="C348" s="95">
        <v>4133.5200000000004</v>
      </c>
      <c r="D348" s="95">
        <f t="shared" si="46"/>
        <v>-1.1222571352664319E-2</v>
      </c>
      <c r="E348" s="95">
        <f t="shared" si="47"/>
        <v>0.71790717478172927</v>
      </c>
      <c r="F348" s="96">
        <f t="shared" si="48"/>
        <v>1.1810638690008126</v>
      </c>
      <c r="G348" s="96">
        <f t="shared" si="49"/>
        <v>1.2286031986340986</v>
      </c>
      <c r="H348" s="96" t="str">
        <f t="shared" si="50"/>
        <v/>
      </c>
      <c r="I348" s="96" t="str">
        <f t="shared" si="51"/>
        <v/>
      </c>
      <c r="J348" s="96" t="str">
        <f t="shared" si="52"/>
        <v/>
      </c>
      <c r="K348" s="96" t="str">
        <f t="shared" si="53"/>
        <v/>
      </c>
      <c r="L348" s="96"/>
      <c r="M348" s="106">
        <f>IF(D348="","",ABS(D348-G$5))</f>
        <v>1.1222571352664319E-2</v>
      </c>
    </row>
    <row r="349" spans="2:13" ht="15.75" customHeight="1" x14ac:dyDescent="0.55000000000000004">
      <c r="B349" s="94">
        <v>44309</v>
      </c>
      <c r="C349" s="95">
        <v>4180.17</v>
      </c>
      <c r="D349" s="95">
        <f t="shared" si="46"/>
        <v>1.1222571352664296E-2</v>
      </c>
      <c r="E349" s="95">
        <f t="shared" si="47"/>
        <v>0.62520979219682493</v>
      </c>
      <c r="F349" s="96">
        <f t="shared" si="48"/>
        <v>1.1810638690008102</v>
      </c>
      <c r="G349" s="96">
        <f t="shared" si="49"/>
        <v>1.0622992830173916</v>
      </c>
      <c r="H349" s="96" t="str">
        <f t="shared" si="50"/>
        <v/>
      </c>
      <c r="I349" s="96" t="str">
        <f t="shared" si="51"/>
        <v/>
      </c>
      <c r="J349" s="96" t="str">
        <f t="shared" si="52"/>
        <v/>
      </c>
      <c r="K349" s="96" t="str">
        <f t="shared" si="53"/>
        <v/>
      </c>
      <c r="L349" s="96"/>
      <c r="M349" s="106">
        <f>IF(D349="","",ABS(D349-G$5))</f>
        <v>1.1222571352664296E-2</v>
      </c>
    </row>
    <row r="350" spans="2:13" ht="15.75" customHeight="1" x14ac:dyDescent="0.55000000000000004">
      <c r="B350" s="94">
        <v>44312</v>
      </c>
      <c r="C350" s="95">
        <v>4226.5200000000004</v>
      </c>
      <c r="D350" s="95">
        <f t="shared" si="46"/>
        <v>1.1027043857314896E-2</v>
      </c>
      <c r="E350" s="95">
        <f t="shared" si="47"/>
        <v>0.61350943012016723</v>
      </c>
      <c r="F350" s="96">
        <f t="shared" si="48"/>
        <v>1.1604865473784731</v>
      </c>
      <c r="G350" s="96">
        <f t="shared" si="49"/>
        <v>1.0379325964704571</v>
      </c>
      <c r="H350" s="96" t="str">
        <f t="shared" si="50"/>
        <v/>
      </c>
      <c r="I350" s="96" t="str">
        <f t="shared" si="51"/>
        <v/>
      </c>
      <c r="J350" s="96" t="str">
        <f t="shared" si="52"/>
        <v/>
      </c>
      <c r="K350" s="96" t="str">
        <f t="shared" si="53"/>
        <v/>
      </c>
      <c r="L350" s="96"/>
      <c r="M350" s="106">
        <f>IF(D350="","",ABS(D350-G$5))</f>
        <v>1.1027043857314896E-2</v>
      </c>
    </row>
    <row r="351" spans="2:13" ht="15.75" customHeight="1" x14ac:dyDescent="0.55000000000000004">
      <c r="B351" s="94">
        <v>44313</v>
      </c>
      <c r="C351" s="95">
        <v>4183.18</v>
      </c>
      <c r="D351" s="95">
        <f t="shared" si="46"/>
        <v>-1.0307236571965731E-2</v>
      </c>
      <c r="E351" s="95">
        <f t="shared" si="47"/>
        <v>0.66313355669597751</v>
      </c>
      <c r="F351" s="96">
        <f t="shared" si="48"/>
        <v>1.0847339991741234</v>
      </c>
      <c r="G351" s="96">
        <f t="shared" si="49"/>
        <v>1.1076543212589438</v>
      </c>
      <c r="H351" s="96" t="str">
        <f t="shared" si="50"/>
        <v/>
      </c>
      <c r="I351" s="96" t="str">
        <f t="shared" si="51"/>
        <v/>
      </c>
      <c r="J351" s="96" t="str">
        <f t="shared" si="52"/>
        <v/>
      </c>
      <c r="K351" s="96" t="str">
        <f t="shared" si="53"/>
        <v/>
      </c>
      <c r="L351" s="96"/>
      <c r="M351" s="106">
        <f>IF(D351="","",ABS(D351-G$5))</f>
        <v>1.0307236571965731E-2</v>
      </c>
    </row>
    <row r="352" spans="2:13" ht="15.75" customHeight="1" x14ac:dyDescent="0.55000000000000004">
      <c r="B352" s="94">
        <v>44314</v>
      </c>
      <c r="C352" s="95">
        <v>4211.47</v>
      </c>
      <c r="D352" s="95">
        <f t="shared" si="46"/>
        <v>6.7400325437081072E-3</v>
      </c>
      <c r="E352" s="95">
        <f t="shared" si="47"/>
        <v>0.35697474426284254</v>
      </c>
      <c r="F352" s="96">
        <f t="shared" si="48"/>
        <v>0.70932130107361069</v>
      </c>
      <c r="G352" s="96">
        <f t="shared" si="49"/>
        <v>0.61646217640067413</v>
      </c>
      <c r="H352" s="96" t="str">
        <f t="shared" si="50"/>
        <v/>
      </c>
      <c r="I352" s="96" t="str">
        <f t="shared" si="51"/>
        <v/>
      </c>
      <c r="J352" s="96" t="str">
        <f t="shared" si="52"/>
        <v/>
      </c>
      <c r="K352" s="96" t="str">
        <f t="shared" si="53"/>
        <v/>
      </c>
      <c r="L352" s="96"/>
      <c r="M352" s="106">
        <f>IF(D352="","",ABS(D352-G$5))</f>
        <v>6.7400325437081072E-3</v>
      </c>
    </row>
    <row r="353" spans="2:13" ht="15.75" customHeight="1" x14ac:dyDescent="0.55000000000000004">
      <c r="B353" s="94">
        <v>44315</v>
      </c>
      <c r="C353" s="95">
        <v>4181.17</v>
      </c>
      <c r="D353" s="95">
        <f t="shared" si="46"/>
        <v>-7.2206437182024286E-3</v>
      </c>
      <c r="E353" s="95">
        <f t="shared" si="47"/>
        <v>0.47843189155307586</v>
      </c>
      <c r="F353" s="96">
        <f t="shared" si="48"/>
        <v>0.75990084077050268</v>
      </c>
      <c r="G353" s="96">
        <f t="shared" si="49"/>
        <v>0.83963909595021424</v>
      </c>
      <c r="H353" s="96" t="str">
        <f t="shared" si="50"/>
        <v/>
      </c>
      <c r="I353" s="96" t="str">
        <f t="shared" si="51"/>
        <v/>
      </c>
      <c r="J353" s="96" t="str">
        <f t="shared" si="52"/>
        <v/>
      </c>
      <c r="K353" s="96" t="str">
        <f t="shared" si="53"/>
        <v/>
      </c>
      <c r="L353" s="96"/>
      <c r="M353" s="106">
        <f>IF(D353="","",ABS(D353-G$5))</f>
        <v>7.2206437182024286E-3</v>
      </c>
    </row>
    <row r="354" spans="2:13" ht="15.75" customHeight="1" x14ac:dyDescent="0.55000000000000004">
      <c r="B354" s="94">
        <v>44316</v>
      </c>
      <c r="C354" s="95">
        <v>4181.17</v>
      </c>
      <c r="D354" s="95">
        <f t="shared" si="46"/>
        <v>0</v>
      </c>
      <c r="E354" s="95">
        <f t="shared" si="47"/>
        <v>4.6348691292451449E-2</v>
      </c>
      <c r="F354" s="96">
        <f t="shared" si="48"/>
        <v>0</v>
      </c>
      <c r="G354" s="96">
        <f t="shared" si="49"/>
        <v>8.5709542002627245E-2</v>
      </c>
      <c r="H354" s="96" t="str">
        <f t="shared" si="50"/>
        <v/>
      </c>
      <c r="I354" s="96" t="str">
        <f t="shared" si="51"/>
        <v/>
      </c>
      <c r="J354" s="96" t="str">
        <f t="shared" si="52"/>
        <v/>
      </c>
      <c r="K354" s="96" t="str">
        <f t="shared" si="53"/>
        <v/>
      </c>
      <c r="L354" s="96"/>
      <c r="M354" s="106">
        <f>IF(D354="","",ABS(D354-G$5))</f>
        <v>0</v>
      </c>
    </row>
    <row r="355" spans="2:13" ht="15.75" customHeight="1" x14ac:dyDescent="0.55000000000000004">
      <c r="B355" s="94">
        <v>44319</v>
      </c>
      <c r="C355" s="95">
        <v>4192.66</v>
      </c>
      <c r="D355" s="95">
        <f t="shared" si="46"/>
        <v>2.7442656970409606E-3</v>
      </c>
      <c r="E355" s="95">
        <f t="shared" si="47"/>
        <v>0.11786812247357975</v>
      </c>
      <c r="F355" s="96">
        <f t="shared" si="48"/>
        <v>0.28880663440325871</v>
      </c>
      <c r="G355" s="96">
        <f t="shared" si="49"/>
        <v>0.22915194706334574</v>
      </c>
      <c r="H355" s="96" t="str">
        <f t="shared" si="50"/>
        <v/>
      </c>
      <c r="I355" s="96" t="str">
        <f t="shared" si="51"/>
        <v/>
      </c>
      <c r="J355" s="96" t="str">
        <f t="shared" si="52"/>
        <v/>
      </c>
      <c r="K355" s="96" t="str">
        <f t="shared" si="53"/>
        <v/>
      </c>
      <c r="L355" s="96"/>
      <c r="M355" s="106">
        <f>IF(D355="","",ABS(D355-G$5))</f>
        <v>2.7442656970409606E-3</v>
      </c>
    </row>
    <row r="356" spans="2:13" ht="15.75" customHeight="1" x14ac:dyDescent="0.55000000000000004">
      <c r="B356" s="94">
        <v>44320</v>
      </c>
      <c r="C356" s="95">
        <v>4167.59</v>
      </c>
      <c r="D356" s="95">
        <f t="shared" si="46"/>
        <v>-5.9974462835313807E-3</v>
      </c>
      <c r="E356" s="95">
        <f t="shared" si="47"/>
        <v>0.40523577736302024</v>
      </c>
      <c r="F356" s="96">
        <f t="shared" si="48"/>
        <v>0.6311714926250368</v>
      </c>
      <c r="G356" s="96">
        <f t="shared" si="49"/>
        <v>0.80321537324460879</v>
      </c>
      <c r="H356" s="96" t="str">
        <f t="shared" si="50"/>
        <v/>
      </c>
      <c r="I356" s="96" t="str">
        <f t="shared" si="51"/>
        <v/>
      </c>
      <c r="J356" s="96" t="str">
        <f t="shared" si="52"/>
        <v/>
      </c>
      <c r="K356" s="96" t="str">
        <f t="shared" si="53"/>
        <v/>
      </c>
      <c r="L356" s="96"/>
      <c r="M356" s="106">
        <f>IF(D356="","",ABS(D356-G$5))</f>
        <v>5.9974462835313807E-3</v>
      </c>
    </row>
    <row r="357" spans="2:13" ht="15.75" customHeight="1" x14ac:dyDescent="0.55000000000000004">
      <c r="B357" s="94">
        <v>44321</v>
      </c>
      <c r="C357" s="95">
        <v>4232.6000000000004</v>
      </c>
      <c r="D357" s="95">
        <f t="shared" si="46"/>
        <v>1.5478530353723844E-2</v>
      </c>
      <c r="E357" s="95">
        <f t="shared" si="47"/>
        <v>0.87988630818667901</v>
      </c>
      <c r="F357" s="96">
        <f t="shared" si="48"/>
        <v>1.6289611686608281</v>
      </c>
      <c r="G357" s="96">
        <f t="shared" si="49"/>
        <v>1.5893105186820078</v>
      </c>
      <c r="H357" s="96" t="str">
        <f t="shared" si="50"/>
        <v/>
      </c>
      <c r="I357" s="96" t="str">
        <f t="shared" si="51"/>
        <v/>
      </c>
      <c r="J357" s="96" t="str">
        <f t="shared" si="52"/>
        <v/>
      </c>
      <c r="K357" s="96" t="str">
        <f t="shared" si="53"/>
        <v/>
      </c>
      <c r="L357" s="96"/>
      <c r="M357" s="106">
        <f>IF(D357="","",ABS(D357-G$5))</f>
        <v>1.5478530353723844E-2</v>
      </c>
    </row>
    <row r="358" spans="2:13" ht="15.75" customHeight="1" x14ac:dyDescent="0.55000000000000004">
      <c r="B358" s="94">
        <v>44322</v>
      </c>
      <c r="C358" s="95">
        <v>4232.6000000000004</v>
      </c>
      <c r="D358" s="95">
        <f t="shared" si="46"/>
        <v>0</v>
      </c>
      <c r="E358" s="95">
        <f t="shared" si="47"/>
        <v>4.6348691292451449E-2</v>
      </c>
      <c r="F358" s="96">
        <f t="shared" si="48"/>
        <v>0</v>
      </c>
      <c r="G358" s="96">
        <f t="shared" si="49"/>
        <v>8.8212347978951097E-2</v>
      </c>
      <c r="H358" s="96" t="str">
        <f t="shared" si="50"/>
        <v/>
      </c>
      <c r="I358" s="96" t="str">
        <f t="shared" si="51"/>
        <v/>
      </c>
      <c r="J358" s="96" t="str">
        <f t="shared" si="52"/>
        <v/>
      </c>
      <c r="K358" s="96" t="str">
        <f t="shared" si="53"/>
        <v/>
      </c>
      <c r="L358" s="96"/>
      <c r="M358" s="106">
        <f>IF(D358="","",ABS(D358-G$5))</f>
        <v>0</v>
      </c>
    </row>
    <row r="359" spans="2:13" ht="15.75" customHeight="1" x14ac:dyDescent="0.55000000000000004">
      <c r="B359" s="94">
        <v>44323</v>
      </c>
      <c r="C359" s="95">
        <v>4232.6000000000004</v>
      </c>
      <c r="D359" s="95">
        <f t="shared" si="46"/>
        <v>0</v>
      </c>
      <c r="E359" s="95">
        <f t="shared" si="47"/>
        <v>4.6348691292451449E-2</v>
      </c>
      <c r="F359" s="96">
        <f t="shared" si="48"/>
        <v>0</v>
      </c>
      <c r="G359" s="96">
        <f t="shared" si="49"/>
        <v>9.2943808099802822E-2</v>
      </c>
      <c r="H359" s="96" t="str">
        <f t="shared" si="50"/>
        <v/>
      </c>
      <c r="I359" s="96" t="str">
        <f t="shared" si="51"/>
        <v/>
      </c>
      <c r="J359" s="96" t="str">
        <f t="shared" si="52"/>
        <v/>
      </c>
      <c r="K359" s="96" t="str">
        <f t="shared" si="53"/>
        <v/>
      </c>
      <c r="L359" s="96"/>
      <c r="M359" s="106">
        <f>IF(D359="","",ABS(D359-G$5))</f>
        <v>0</v>
      </c>
    </row>
    <row r="360" spans="2:13" ht="15.75" customHeight="1" x14ac:dyDescent="0.55000000000000004">
      <c r="B360" s="94">
        <v>44326</v>
      </c>
      <c r="C360" s="95">
        <v>4173.8500000000004</v>
      </c>
      <c r="D360" s="95">
        <f t="shared" si="46"/>
        <v>-1.3977590186265442E-2</v>
      </c>
      <c r="E360" s="95">
        <f t="shared" si="47"/>
        <v>0.88276745606105733</v>
      </c>
      <c r="F360" s="96">
        <f t="shared" si="48"/>
        <v>1.471002163936274</v>
      </c>
      <c r="G360" s="96">
        <f t="shared" si="49"/>
        <v>1.6070615904479051</v>
      </c>
      <c r="H360" s="96" t="str">
        <f t="shared" si="50"/>
        <v/>
      </c>
      <c r="I360" s="96" t="str">
        <f t="shared" si="51"/>
        <v/>
      </c>
      <c r="J360" s="96" t="str">
        <f t="shared" si="52"/>
        <v/>
      </c>
      <c r="K360" s="96" t="str">
        <f t="shared" si="53"/>
        <v/>
      </c>
      <c r="L360" s="96"/>
      <c r="M360" s="106">
        <f>IF(D360="","",ABS(D360-G$5))</f>
        <v>1.3977590186265442E-2</v>
      </c>
    </row>
    <row r="361" spans="2:13" ht="15.75" customHeight="1" x14ac:dyDescent="0.55000000000000004">
      <c r="B361" s="94">
        <v>44327</v>
      </c>
      <c r="C361" s="95">
        <v>4152.1000000000004</v>
      </c>
      <c r="D361" s="95">
        <f t="shared" si="46"/>
        <v>-5.2246409059768699E-3</v>
      </c>
      <c r="E361" s="95">
        <f t="shared" si="47"/>
        <v>0.35899111639593667</v>
      </c>
      <c r="F361" s="96">
        <f t="shared" si="48"/>
        <v>0.54984142302539241</v>
      </c>
      <c r="G361" s="96">
        <f t="shared" si="49"/>
        <v>0.67310159511964862</v>
      </c>
      <c r="H361" s="96" t="str">
        <f t="shared" si="50"/>
        <v/>
      </c>
      <c r="I361" s="96" t="str">
        <f t="shared" si="51"/>
        <v/>
      </c>
      <c r="J361" s="96" t="str">
        <f t="shared" si="52"/>
        <v/>
      </c>
      <c r="K361" s="96" t="str">
        <f t="shared" si="53"/>
        <v/>
      </c>
      <c r="L361" s="96"/>
      <c r="M361" s="106">
        <f>IF(D361="","",ABS(D361-G$5))</f>
        <v>5.2246409059768699E-3</v>
      </c>
    </row>
    <row r="362" spans="2:13" ht="15.75" customHeight="1" x14ac:dyDescent="0.55000000000000004">
      <c r="B362" s="94">
        <v>44328</v>
      </c>
      <c r="C362" s="95">
        <v>4063.04</v>
      </c>
      <c r="D362" s="95">
        <f t="shared" si="46"/>
        <v>-2.1682768452684537E-2</v>
      </c>
      <c r="E362" s="95">
        <f t="shared" si="47"/>
        <v>1.3438451956454434</v>
      </c>
      <c r="F362" s="96">
        <f t="shared" si="48"/>
        <v>2.2818954404149689</v>
      </c>
      <c r="G362" s="96">
        <f t="shared" si="49"/>
        <v>2.0338026446123458</v>
      </c>
      <c r="H362" s="96" t="str">
        <f t="shared" si="50"/>
        <v/>
      </c>
      <c r="I362" s="96" t="str">
        <f t="shared" si="51"/>
        <v/>
      </c>
      <c r="J362" s="96" t="str">
        <f t="shared" si="52"/>
        <v/>
      </c>
      <c r="K362" s="96" t="str">
        <f t="shared" si="53"/>
        <v/>
      </c>
      <c r="L362" s="96"/>
      <c r="M362" s="106">
        <f>IF(D362="","",ABS(D362-G$5))</f>
        <v>2.1682768452684537E-2</v>
      </c>
    </row>
    <row r="363" spans="2:13" ht="15.75" customHeight="1" x14ac:dyDescent="0.55000000000000004">
      <c r="B363" s="94">
        <v>44329</v>
      </c>
      <c r="C363" s="95">
        <v>4173.1099999999997</v>
      </c>
      <c r="D363" s="95">
        <f t="shared" si="46"/>
        <v>2.6730099295611088E-2</v>
      </c>
      <c r="E363" s="95">
        <f t="shared" si="47"/>
        <v>1.5531800069338015</v>
      </c>
      <c r="F363" s="96">
        <f t="shared" si="48"/>
        <v>2.8130767451396417</v>
      </c>
      <c r="G363" s="96">
        <f t="shared" si="49"/>
        <v>1.9503722003402681</v>
      </c>
      <c r="H363" s="96" t="str">
        <f t="shared" si="50"/>
        <v/>
      </c>
      <c r="I363" s="96" t="str">
        <f t="shared" si="51"/>
        <v/>
      </c>
      <c r="J363" s="96" t="str">
        <f t="shared" si="52"/>
        <v/>
      </c>
      <c r="K363" s="96" t="str">
        <f t="shared" si="53"/>
        <v/>
      </c>
      <c r="L363" s="96"/>
      <c r="M363" s="106">
        <f>IF(D363="","",ABS(D363-G$5))</f>
        <v>2.6730099295611088E-2</v>
      </c>
    </row>
    <row r="364" spans="2:13" ht="15.75" customHeight="1" x14ac:dyDescent="0.55000000000000004">
      <c r="B364" s="94">
        <v>44330</v>
      </c>
      <c r="C364" s="95">
        <v>4173.1099999999997</v>
      </c>
      <c r="D364" s="95">
        <f t="shared" si="46"/>
        <v>0</v>
      </c>
      <c r="E364" s="95">
        <f t="shared" si="47"/>
        <v>4.6348691292451449E-2</v>
      </c>
      <c r="F364" s="96">
        <f t="shared" si="48"/>
        <v>0</v>
      </c>
      <c r="G364" s="96">
        <f t="shared" si="49"/>
        <v>6.1338085100033524E-2</v>
      </c>
      <c r="H364" s="96" t="str">
        <f t="shared" si="50"/>
        <v/>
      </c>
      <c r="I364" s="96" t="str">
        <f t="shared" si="51"/>
        <v/>
      </c>
      <c r="J364" s="96" t="str">
        <f t="shared" si="52"/>
        <v/>
      </c>
      <c r="K364" s="96" t="str">
        <f t="shared" si="53"/>
        <v/>
      </c>
      <c r="L364" s="96"/>
      <c r="M364" s="106">
        <f>IF(D364="","",ABS(D364-G$5))</f>
        <v>0</v>
      </c>
    </row>
    <row r="365" spans="2:13" ht="15.75" customHeight="1" x14ac:dyDescent="0.55000000000000004">
      <c r="B365" s="94">
        <v>44333</v>
      </c>
      <c r="C365" s="95">
        <v>4163.29</v>
      </c>
      <c r="D365" s="95">
        <f t="shared" si="46"/>
        <v>-2.3559341063523172E-3</v>
      </c>
      <c r="E365" s="95">
        <f t="shared" si="47"/>
        <v>0.18732774911657624</v>
      </c>
      <c r="F365" s="96">
        <f t="shared" si="48"/>
        <v>0.24793860188724504</v>
      </c>
      <c r="G365" s="96">
        <f t="shared" si="49"/>
        <v>0.26043285591876808</v>
      </c>
      <c r="H365" s="96" t="str">
        <f t="shared" si="50"/>
        <v/>
      </c>
      <c r="I365" s="96" t="str">
        <f t="shared" si="51"/>
        <v/>
      </c>
      <c r="J365" s="96" t="str">
        <f t="shared" si="52"/>
        <v/>
      </c>
      <c r="K365" s="96" t="str">
        <f t="shared" si="53"/>
        <v/>
      </c>
      <c r="L365" s="96"/>
      <c r="M365" s="106">
        <f>IF(D365="","",ABS(D365-G$5))</f>
        <v>2.3559341063523172E-3</v>
      </c>
    </row>
    <row r="366" spans="2:13" ht="15.75" customHeight="1" x14ac:dyDescent="0.55000000000000004">
      <c r="B366" s="94">
        <v>44334</v>
      </c>
      <c r="C366" s="95">
        <v>4155.8599999999997</v>
      </c>
      <c r="D366" s="95">
        <f t="shared" si="46"/>
        <v>-1.786240655727503E-3</v>
      </c>
      <c r="E366" s="95">
        <f t="shared" si="47"/>
        <v>0.1532373024860412</v>
      </c>
      <c r="F366" s="96">
        <f t="shared" si="48"/>
        <v>0.18798403980022133</v>
      </c>
      <c r="G366" s="96">
        <f t="shared" si="49"/>
        <v>0.22399824655754147</v>
      </c>
      <c r="H366" s="96" t="str">
        <f t="shared" si="50"/>
        <v/>
      </c>
      <c r="I366" s="96" t="str">
        <f t="shared" si="51"/>
        <v/>
      </c>
      <c r="J366" s="96" t="str">
        <f t="shared" si="52"/>
        <v/>
      </c>
      <c r="K366" s="96" t="str">
        <f t="shared" si="53"/>
        <v/>
      </c>
      <c r="L366" s="96"/>
      <c r="M366" s="106">
        <f>IF(D366="","",ABS(D366-G$5))</f>
        <v>1.786240655727503E-3</v>
      </c>
    </row>
    <row r="367" spans="2:13" ht="15.75" customHeight="1" x14ac:dyDescent="0.55000000000000004">
      <c r="B367" s="94">
        <v>44335</v>
      </c>
      <c r="C367" s="95">
        <v>4155.8599999999997</v>
      </c>
      <c r="D367" s="95">
        <f t="shared" si="46"/>
        <v>0</v>
      </c>
      <c r="E367" s="95">
        <f t="shared" si="47"/>
        <v>4.6348691292451449E-2</v>
      </c>
      <c r="F367" s="96">
        <f t="shared" si="48"/>
        <v>0</v>
      </c>
      <c r="G367" s="96">
        <f t="shared" si="49"/>
        <v>7.1397929718235956E-2</v>
      </c>
      <c r="H367" s="96" t="str">
        <f t="shared" si="50"/>
        <v/>
      </c>
      <c r="I367" s="96" t="str">
        <f t="shared" si="51"/>
        <v/>
      </c>
      <c r="J367" s="96" t="str">
        <f t="shared" si="52"/>
        <v/>
      </c>
      <c r="K367" s="96" t="str">
        <f t="shared" si="53"/>
        <v/>
      </c>
      <c r="L367" s="96"/>
      <c r="M367" s="106">
        <f>IF(D367="","",ABS(D367-G$5))</f>
        <v>0</v>
      </c>
    </row>
    <row r="368" spans="2:13" ht="15.75" customHeight="1" x14ac:dyDescent="0.55000000000000004">
      <c r="B368" s="94">
        <v>44336</v>
      </c>
      <c r="C368" s="95">
        <v>4204.1099999999997</v>
      </c>
      <c r="D368" s="95">
        <f t="shared" si="46"/>
        <v>1.1543231796184376E-2</v>
      </c>
      <c r="E368" s="95">
        <f t="shared" si="47"/>
        <v>0.6443981078152613</v>
      </c>
      <c r="F368" s="96">
        <f t="shared" si="48"/>
        <v>1.2148101872159696</v>
      </c>
      <c r="G368" s="96">
        <f t="shared" si="49"/>
        <v>0.9933906067329088</v>
      </c>
      <c r="H368" s="96" t="str">
        <f t="shared" si="50"/>
        <v/>
      </c>
      <c r="I368" s="96" t="str">
        <f t="shared" si="51"/>
        <v/>
      </c>
      <c r="J368" s="96" t="str">
        <f t="shared" si="52"/>
        <v/>
      </c>
      <c r="K368" s="96" t="str">
        <f t="shared" si="53"/>
        <v/>
      </c>
      <c r="L368" s="96"/>
      <c r="M368" s="106">
        <f>IF(D368="","",ABS(D368-G$5))</f>
        <v>1.1543231796184376E-2</v>
      </c>
    </row>
    <row r="369" spans="2:13" ht="15.75" customHeight="1" x14ac:dyDescent="0.55000000000000004">
      <c r="B369" s="94">
        <v>44337</v>
      </c>
      <c r="C369" s="95">
        <v>4204.1099999999997</v>
      </c>
      <c r="D369" s="95">
        <f t="shared" si="46"/>
        <v>0</v>
      </c>
      <c r="E369" s="95">
        <f t="shared" si="47"/>
        <v>4.6348691292451449E-2</v>
      </c>
      <c r="F369" s="96">
        <f t="shared" si="48"/>
        <v>0</v>
      </c>
      <c r="G369" s="96">
        <f t="shared" si="49"/>
        <v>7.5293740839525988E-2</v>
      </c>
      <c r="H369" s="96" t="str">
        <f t="shared" si="50"/>
        <v/>
      </c>
      <c r="I369" s="96" t="str">
        <f t="shared" si="51"/>
        <v/>
      </c>
      <c r="J369" s="96" t="str">
        <f t="shared" si="52"/>
        <v/>
      </c>
      <c r="K369" s="96" t="str">
        <f t="shared" si="53"/>
        <v/>
      </c>
      <c r="L369" s="96"/>
      <c r="M369" s="106">
        <f>IF(D369="","",ABS(D369-G$5))</f>
        <v>0</v>
      </c>
    </row>
    <row r="370" spans="2:13" ht="15.75" customHeight="1" x14ac:dyDescent="0.55000000000000004">
      <c r="B370" s="94">
        <v>44340</v>
      </c>
      <c r="C370" s="95">
        <v>4188.43</v>
      </c>
      <c r="D370" s="95">
        <f t="shared" si="46"/>
        <v>-3.7366561838152478E-3</v>
      </c>
      <c r="E370" s="95">
        <f t="shared" si="47"/>
        <v>0.26995013531695783</v>
      </c>
      <c r="F370" s="96">
        <f t="shared" si="48"/>
        <v>0.39324584989472272</v>
      </c>
      <c r="G370" s="96">
        <f t="shared" si="49"/>
        <v>0.45739618029490825</v>
      </c>
      <c r="H370" s="96" t="str">
        <f t="shared" si="50"/>
        <v/>
      </c>
      <c r="I370" s="96" t="str">
        <f t="shared" si="51"/>
        <v/>
      </c>
      <c r="J370" s="96" t="str">
        <f t="shared" si="52"/>
        <v/>
      </c>
      <c r="K370" s="96" t="str">
        <f t="shared" si="53"/>
        <v/>
      </c>
      <c r="L370" s="96"/>
      <c r="M370" s="106">
        <f>IF(D370="","",ABS(D370-G$5))</f>
        <v>3.7366561838152478E-3</v>
      </c>
    </row>
    <row r="371" spans="2:13" ht="15.75" customHeight="1" x14ac:dyDescent="0.55000000000000004">
      <c r="B371" s="94">
        <v>44341</v>
      </c>
      <c r="C371" s="95">
        <v>4188.43</v>
      </c>
      <c r="D371" s="95">
        <f t="shared" si="46"/>
        <v>0</v>
      </c>
      <c r="E371" s="95">
        <f t="shared" si="47"/>
        <v>4.6348691292451449E-2</v>
      </c>
      <c r="F371" s="96">
        <f t="shared" si="48"/>
        <v>0</v>
      </c>
      <c r="G371" s="96">
        <f t="shared" si="49"/>
        <v>8.2751610647740781E-2</v>
      </c>
      <c r="H371" s="96" t="str">
        <f t="shared" si="50"/>
        <v/>
      </c>
      <c r="I371" s="96" t="str">
        <f t="shared" si="51"/>
        <v/>
      </c>
      <c r="J371" s="96" t="str">
        <f t="shared" si="52"/>
        <v/>
      </c>
      <c r="K371" s="96" t="str">
        <f t="shared" si="53"/>
        <v/>
      </c>
      <c r="L371" s="96"/>
      <c r="M371" s="106">
        <f>IF(D371="","",ABS(D371-G$5))</f>
        <v>0</v>
      </c>
    </row>
    <row r="372" spans="2:13" ht="15.75" customHeight="1" x14ac:dyDescent="0.55000000000000004">
      <c r="B372" s="94">
        <v>44342</v>
      </c>
      <c r="C372" s="95">
        <v>4204.1099999999997</v>
      </c>
      <c r="D372" s="95">
        <f t="shared" si="46"/>
        <v>3.7366561838152196E-3</v>
      </c>
      <c r="E372" s="95">
        <f t="shared" si="47"/>
        <v>0.17725275273205326</v>
      </c>
      <c r="F372" s="96">
        <f t="shared" si="48"/>
        <v>0.39324584989471972</v>
      </c>
      <c r="G372" s="96">
        <f t="shared" si="49"/>
        <v>0.33174747129736104</v>
      </c>
      <c r="H372" s="96" t="str">
        <f t="shared" si="50"/>
        <v/>
      </c>
      <c r="I372" s="96" t="str">
        <f t="shared" si="51"/>
        <v/>
      </c>
      <c r="J372" s="96" t="str">
        <f t="shared" si="52"/>
        <v/>
      </c>
      <c r="K372" s="96" t="str">
        <f t="shared" si="53"/>
        <v/>
      </c>
      <c r="L372" s="96"/>
      <c r="M372" s="106">
        <f>IF(D372="","",ABS(D372-G$5))</f>
        <v>3.7366561838152196E-3</v>
      </c>
    </row>
    <row r="373" spans="2:13" ht="15.75" customHeight="1" x14ac:dyDescent="0.55000000000000004">
      <c r="B373" s="94">
        <v>44343</v>
      </c>
      <c r="C373" s="95">
        <v>4204.1099999999997</v>
      </c>
      <c r="D373" s="95">
        <f t="shared" si="46"/>
        <v>0</v>
      </c>
      <c r="E373" s="95">
        <f t="shared" si="47"/>
        <v>4.6348691292451449E-2</v>
      </c>
      <c r="F373" s="96">
        <f t="shared" si="48"/>
        <v>0</v>
      </c>
      <c r="G373" s="96">
        <f t="shared" si="49"/>
        <v>9.1400668348844472E-2</v>
      </c>
      <c r="H373" s="96" t="str">
        <f t="shared" si="50"/>
        <v/>
      </c>
      <c r="I373" s="96" t="str">
        <f t="shared" si="51"/>
        <v/>
      </c>
      <c r="J373" s="96" t="str">
        <f t="shared" si="52"/>
        <v/>
      </c>
      <c r="K373" s="96" t="str">
        <f t="shared" si="53"/>
        <v/>
      </c>
      <c r="L373" s="96"/>
      <c r="M373" s="106">
        <f>IF(D373="","",ABS(D373-G$5))</f>
        <v>0</v>
      </c>
    </row>
    <row r="374" spans="2:13" ht="15.75" customHeight="1" x14ac:dyDescent="0.55000000000000004">
      <c r="B374" s="94">
        <v>44344</v>
      </c>
      <c r="C374" s="95">
        <v>4204.1099999999997</v>
      </c>
      <c r="D374" s="95">
        <f t="shared" si="46"/>
        <v>0</v>
      </c>
      <c r="E374" s="95">
        <f t="shared" si="47"/>
        <v>4.6348691292451449E-2</v>
      </c>
      <c r="F374" s="96">
        <f t="shared" si="48"/>
        <v>0</v>
      </c>
      <c r="G374" s="96">
        <f t="shared" si="49"/>
        <v>9.6300079871502409E-2</v>
      </c>
      <c r="H374" s="96" t="str">
        <f t="shared" si="50"/>
        <v/>
      </c>
      <c r="I374" s="96" t="str">
        <f t="shared" si="51"/>
        <v/>
      </c>
      <c r="J374" s="96" t="str">
        <f t="shared" si="52"/>
        <v/>
      </c>
      <c r="K374" s="96" t="str">
        <f t="shared" si="53"/>
        <v/>
      </c>
      <c r="L374" s="96"/>
      <c r="M374" s="106">
        <f>IF(D374="","",ABS(D374-G$5))</f>
        <v>0</v>
      </c>
    </row>
    <row r="375" spans="2:13" ht="15.75" customHeight="1" x14ac:dyDescent="0.55000000000000004">
      <c r="B375" s="94">
        <v>44348</v>
      </c>
      <c r="C375" s="95">
        <v>4202.04</v>
      </c>
      <c r="D375" s="95">
        <f t="shared" si="46"/>
        <v>-4.9249657496948439E-4</v>
      </c>
      <c r="E375" s="95">
        <f t="shared" si="47"/>
        <v>7.5819678164960866E-2</v>
      </c>
      <c r="F375" s="96">
        <f t="shared" si="48"/>
        <v>5.1830359729904088E-2</v>
      </c>
      <c r="G375" s="96">
        <f t="shared" si="49"/>
        <v>0.16582572917160485</v>
      </c>
      <c r="H375" s="96" t="str">
        <f t="shared" si="50"/>
        <v/>
      </c>
      <c r="I375" s="96" t="str">
        <f t="shared" si="51"/>
        <v/>
      </c>
      <c r="J375" s="96" t="str">
        <f t="shared" si="52"/>
        <v/>
      </c>
      <c r="K375" s="96" t="str">
        <f t="shared" si="53"/>
        <v/>
      </c>
      <c r="L375" s="96"/>
      <c r="M375" s="106">
        <f>IF(D375="","",ABS(D375-G$5))</f>
        <v>4.9249657496948439E-4</v>
      </c>
    </row>
    <row r="376" spans="2:13" ht="15.75" customHeight="1" x14ac:dyDescent="0.55000000000000004">
      <c r="B376" s="94">
        <v>44349</v>
      </c>
      <c r="C376" s="95">
        <v>4229.8900000000003</v>
      </c>
      <c r="D376" s="95">
        <f t="shared" si="46"/>
        <v>6.6058663378899219E-3</v>
      </c>
      <c r="E376" s="95">
        <f t="shared" si="47"/>
        <v>0.34894624073335684</v>
      </c>
      <c r="F376" s="96">
        <f t="shared" si="48"/>
        <v>0.69520164407582596</v>
      </c>
      <c r="G376" s="96">
        <f t="shared" si="49"/>
        <v>0.77963310507896966</v>
      </c>
      <c r="H376" s="96" t="str">
        <f t="shared" si="50"/>
        <v/>
      </c>
      <c r="I376" s="96" t="str">
        <f t="shared" si="51"/>
        <v/>
      </c>
      <c r="J376" s="96" t="str">
        <f t="shared" si="52"/>
        <v/>
      </c>
      <c r="K376" s="96" t="str">
        <f t="shared" si="53"/>
        <v/>
      </c>
      <c r="L376" s="96"/>
      <c r="M376" s="106">
        <f>IF(D376="","",ABS(D376-G$5))</f>
        <v>6.6058663378899219E-3</v>
      </c>
    </row>
    <row r="377" spans="2:13" ht="15.75" customHeight="1" x14ac:dyDescent="0.55000000000000004">
      <c r="B377" s="94">
        <v>44350</v>
      </c>
      <c r="C377" s="95">
        <v>4229.8900000000003</v>
      </c>
      <c r="D377" s="95">
        <f t="shared" si="46"/>
        <v>0</v>
      </c>
      <c r="E377" s="95">
        <f t="shared" si="47"/>
        <v>4.6348691292451449E-2</v>
      </c>
      <c r="F377" s="96">
        <f t="shared" si="48"/>
        <v>0</v>
      </c>
      <c r="G377" s="96">
        <f t="shared" si="49"/>
        <v>0.10909111764805872</v>
      </c>
      <c r="H377" s="96" t="str">
        <f t="shared" si="50"/>
        <v/>
      </c>
      <c r="I377" s="96" t="str">
        <f t="shared" si="51"/>
        <v/>
      </c>
      <c r="J377" s="96" t="str">
        <f t="shared" si="52"/>
        <v/>
      </c>
      <c r="K377" s="96" t="str">
        <f t="shared" si="53"/>
        <v/>
      </c>
      <c r="L377" s="96"/>
      <c r="M377" s="106">
        <f>IF(D377="","",ABS(D377-G$5))</f>
        <v>0</v>
      </c>
    </row>
    <row r="378" spans="2:13" ht="15.75" customHeight="1" x14ac:dyDescent="0.55000000000000004">
      <c r="B378" s="94">
        <v>44351</v>
      </c>
      <c r="C378" s="95">
        <v>4229.8900000000003</v>
      </c>
      <c r="D378" s="95">
        <f t="shared" si="46"/>
        <v>0</v>
      </c>
      <c r="E378" s="95">
        <f t="shared" si="47"/>
        <v>4.6348691292451449E-2</v>
      </c>
      <c r="F378" s="96">
        <f t="shared" si="48"/>
        <v>0</v>
      </c>
      <c r="G378" s="96">
        <f t="shared" si="49"/>
        <v>0.11491618192248237</v>
      </c>
      <c r="H378" s="96" t="str">
        <f t="shared" si="50"/>
        <v/>
      </c>
      <c r="I378" s="96" t="str">
        <f t="shared" si="51"/>
        <v/>
      </c>
      <c r="J378" s="96" t="str">
        <f t="shared" si="52"/>
        <v/>
      </c>
      <c r="K378" s="96" t="str">
        <f t="shared" si="53"/>
        <v/>
      </c>
      <c r="L378" s="96"/>
      <c r="M378" s="106">
        <f>IF(D378="","",ABS(D378-G$5))</f>
        <v>0</v>
      </c>
    </row>
    <row r="379" spans="2:13" ht="15.75" customHeight="1" x14ac:dyDescent="0.55000000000000004">
      <c r="B379" s="94">
        <v>44354</v>
      </c>
      <c r="C379" s="95">
        <v>4226.5200000000004</v>
      </c>
      <c r="D379" s="95">
        <f t="shared" si="46"/>
        <v>-7.9702856848250638E-4</v>
      </c>
      <c r="E379" s="95">
        <f t="shared" si="47"/>
        <v>9.4042867602648808E-2</v>
      </c>
      <c r="F379" s="96">
        <f t="shared" si="48"/>
        <v>8.3879319205455244E-2</v>
      </c>
      <c r="G379" s="96">
        <f t="shared" si="49"/>
        <v>0.24504199379468605</v>
      </c>
      <c r="H379" s="96" t="str">
        <f t="shared" si="50"/>
        <v/>
      </c>
      <c r="I379" s="96" t="str">
        <f t="shared" si="51"/>
        <v/>
      </c>
      <c r="J379" s="96" t="str">
        <f t="shared" si="52"/>
        <v/>
      </c>
      <c r="K379" s="96" t="str">
        <f t="shared" si="53"/>
        <v/>
      </c>
      <c r="L379" s="96"/>
      <c r="M379" s="106">
        <f>IF(D379="","",ABS(D379-G$5))</f>
        <v>7.9702856848250638E-4</v>
      </c>
    </row>
    <row r="380" spans="2:13" ht="15.75" customHeight="1" x14ac:dyDescent="0.55000000000000004">
      <c r="B380" s="94">
        <v>44355</v>
      </c>
      <c r="C380" s="95">
        <v>4239.18</v>
      </c>
      <c r="D380" s="95">
        <f t="shared" si="46"/>
        <v>2.9908948905467492E-3</v>
      </c>
      <c r="E380" s="95">
        <f t="shared" si="47"/>
        <v>0.13262640931981221</v>
      </c>
      <c r="F380" s="96">
        <f t="shared" si="48"/>
        <v>0.31476190083347338</v>
      </c>
      <c r="G380" s="96">
        <f t="shared" si="49"/>
        <v>0.36187699616458091</v>
      </c>
      <c r="H380" s="96" t="str">
        <f t="shared" si="50"/>
        <v/>
      </c>
      <c r="I380" s="96" t="str">
        <f t="shared" si="51"/>
        <v/>
      </c>
      <c r="J380" s="96" t="str">
        <f t="shared" si="52"/>
        <v/>
      </c>
      <c r="K380" s="96" t="str">
        <f t="shared" si="53"/>
        <v/>
      </c>
      <c r="L380" s="96"/>
      <c r="M380" s="106">
        <f>IF(D380="","",ABS(D380-G$5))</f>
        <v>2.9908948905467492E-3</v>
      </c>
    </row>
    <row r="381" spans="2:13" ht="15.75" customHeight="1" x14ac:dyDescent="0.55000000000000004">
      <c r="B381" s="94">
        <v>44356</v>
      </c>
      <c r="C381" s="95">
        <v>4247.4399999999996</v>
      </c>
      <c r="D381" s="95">
        <f t="shared" si="46"/>
        <v>1.9465941937430961E-3</v>
      </c>
      <c r="E381" s="95">
        <f t="shared" si="47"/>
        <v>7.0135472954701766E-2</v>
      </c>
      <c r="F381" s="96">
        <f t="shared" si="48"/>
        <v>0.20485965271149084</v>
      </c>
      <c r="G381" s="96">
        <f t="shared" si="49"/>
        <v>0.20131013782907886</v>
      </c>
      <c r="H381" s="96" t="str">
        <f t="shared" si="50"/>
        <v/>
      </c>
      <c r="I381" s="96" t="str">
        <f t="shared" si="51"/>
        <v/>
      </c>
      <c r="J381" s="96" t="str">
        <f t="shared" si="52"/>
        <v/>
      </c>
      <c r="K381" s="96" t="str">
        <f t="shared" si="53"/>
        <v/>
      </c>
      <c r="L381" s="96"/>
      <c r="M381" s="106">
        <f>IF(D381="","",ABS(D381-G$5))</f>
        <v>1.9465941937430961E-3</v>
      </c>
    </row>
    <row r="382" spans="2:13" ht="15.75" customHeight="1" x14ac:dyDescent="0.55000000000000004">
      <c r="B382" s="94">
        <v>44357</v>
      </c>
      <c r="C382" s="95">
        <v>4247.4399999999996</v>
      </c>
      <c r="D382" s="95">
        <f t="shared" si="46"/>
        <v>0</v>
      </c>
      <c r="E382" s="95">
        <f t="shared" si="47"/>
        <v>4.6348691292451449E-2</v>
      </c>
      <c r="F382" s="96">
        <f t="shared" si="48"/>
        <v>0</v>
      </c>
      <c r="G382" s="96">
        <f t="shared" si="49"/>
        <v>0.14009335698557204</v>
      </c>
      <c r="H382" s="96" t="str">
        <f t="shared" si="50"/>
        <v/>
      </c>
      <c r="I382" s="96" t="str">
        <f t="shared" si="51"/>
        <v/>
      </c>
      <c r="J382" s="96" t="str">
        <f t="shared" si="52"/>
        <v/>
      </c>
      <c r="K382" s="96" t="str">
        <f t="shared" si="53"/>
        <v/>
      </c>
      <c r="L382" s="96"/>
      <c r="M382" s="106">
        <f>IF(D382="","",ABS(D382-G$5))</f>
        <v>0</v>
      </c>
    </row>
    <row r="383" spans="2:13" ht="15.75" customHeight="1" x14ac:dyDescent="0.55000000000000004">
      <c r="B383" s="94">
        <v>44358</v>
      </c>
      <c r="C383" s="95">
        <v>4247.4399999999996</v>
      </c>
      <c r="D383" s="95">
        <f t="shared" si="46"/>
        <v>0</v>
      </c>
      <c r="E383" s="95">
        <f t="shared" si="47"/>
        <v>4.6348691292451449E-2</v>
      </c>
      <c r="F383" s="96">
        <f t="shared" si="48"/>
        <v>0</v>
      </c>
      <c r="G383" s="96">
        <f t="shared" si="49"/>
        <v>0.14751061500703017</v>
      </c>
      <c r="H383" s="96" t="str">
        <f t="shared" si="50"/>
        <v/>
      </c>
      <c r="I383" s="96" t="str">
        <f t="shared" si="51"/>
        <v/>
      </c>
      <c r="J383" s="96" t="str">
        <f t="shared" si="52"/>
        <v/>
      </c>
      <c r="K383" s="96" t="str">
        <f t="shared" si="53"/>
        <v/>
      </c>
      <c r="L383" s="96"/>
      <c r="M383" s="106">
        <f>IF(D383="","",ABS(D383-G$5))</f>
        <v>0</v>
      </c>
    </row>
    <row r="384" spans="2:13" ht="15.75" customHeight="1" x14ac:dyDescent="0.55000000000000004">
      <c r="B384" s="94">
        <v>44361</v>
      </c>
      <c r="C384" s="95">
        <v>4255.1499999999996</v>
      </c>
      <c r="D384" s="95">
        <f t="shared" si="46"/>
        <v>1.8135655401930488E-3</v>
      </c>
      <c r="E384" s="95">
        <f t="shared" si="47"/>
        <v>6.217504053406217E-2</v>
      </c>
      <c r="F384" s="96">
        <f t="shared" si="48"/>
        <v>0.19085971176101632</v>
      </c>
      <c r="G384" s="96">
        <f t="shared" si="49"/>
        <v>0.20813155182732562</v>
      </c>
      <c r="H384" s="96" t="str">
        <f t="shared" si="50"/>
        <v/>
      </c>
      <c r="I384" s="96" t="str">
        <f t="shared" si="51"/>
        <v/>
      </c>
      <c r="J384" s="96" t="str">
        <f t="shared" si="52"/>
        <v/>
      </c>
      <c r="K384" s="96" t="str">
        <f t="shared" si="53"/>
        <v/>
      </c>
      <c r="L384" s="96"/>
      <c r="M384" s="106">
        <f>IF(D384="","",ABS(D384-G$5))</f>
        <v>1.8135655401930488E-3</v>
      </c>
    </row>
    <row r="385" spans="2:13" ht="15.75" customHeight="1" x14ac:dyDescent="0.55000000000000004">
      <c r="B385" s="94">
        <v>44362</v>
      </c>
      <c r="C385" s="95">
        <v>4255.1499999999996</v>
      </c>
      <c r="D385" s="95">
        <f t="shared" si="46"/>
        <v>0</v>
      </c>
      <c r="E385" s="95">
        <f t="shared" si="47"/>
        <v>4.6348691292451449E-2</v>
      </c>
      <c r="F385" s="96">
        <f t="shared" si="48"/>
        <v>0</v>
      </c>
      <c r="G385" s="96">
        <f t="shared" si="49"/>
        <v>0.16332701941725086</v>
      </c>
      <c r="H385" s="96" t="str">
        <f t="shared" si="50"/>
        <v/>
      </c>
      <c r="I385" s="96" t="str">
        <f t="shared" si="51"/>
        <v/>
      </c>
      <c r="J385" s="96" t="str">
        <f t="shared" si="52"/>
        <v/>
      </c>
      <c r="K385" s="96" t="str">
        <f t="shared" si="53"/>
        <v/>
      </c>
      <c r="L385" s="96"/>
      <c r="M385" s="106">
        <f>IF(D385="","",ABS(D385-G$5))</f>
        <v>0</v>
      </c>
    </row>
    <row r="386" spans="2:13" ht="15.75" customHeight="1" x14ac:dyDescent="0.55000000000000004">
      <c r="B386" s="94">
        <v>44363</v>
      </c>
      <c r="C386" s="95">
        <v>4221.8599999999997</v>
      </c>
      <c r="D386" s="95">
        <f t="shared" si="46"/>
        <v>-7.8542248115710742E-3</v>
      </c>
      <c r="E386" s="95">
        <f t="shared" si="47"/>
        <v>0.51634537366509758</v>
      </c>
      <c r="F386" s="96">
        <f t="shared" si="48"/>
        <v>0.82657894099769225</v>
      </c>
      <c r="G386" s="96">
        <f t="shared" si="49"/>
        <v>1.6399070202841164</v>
      </c>
      <c r="H386" s="96" t="str">
        <f t="shared" si="50"/>
        <v/>
      </c>
      <c r="I386" s="96" t="str">
        <f t="shared" si="51"/>
        <v/>
      </c>
      <c r="J386" s="96" t="str">
        <f t="shared" si="52"/>
        <v/>
      </c>
      <c r="K386" s="96" t="str">
        <f t="shared" si="53"/>
        <v/>
      </c>
      <c r="L386" s="96"/>
      <c r="M386" s="106">
        <f>IF(D386="","",ABS(D386-G$5))</f>
        <v>7.8542248115710742E-3</v>
      </c>
    </row>
    <row r="387" spans="2:13" ht="15.75" customHeight="1" x14ac:dyDescent="0.55000000000000004">
      <c r="B387" s="94">
        <v>44364</v>
      </c>
      <c r="C387" s="95">
        <v>4166.45</v>
      </c>
      <c r="D387" s="95">
        <f t="shared" si="46"/>
        <v>-1.3211434948255869E-2</v>
      </c>
      <c r="E387" s="95">
        <f t="shared" si="47"/>
        <v>0.83692073933397459</v>
      </c>
      <c r="F387" s="96">
        <f t="shared" si="48"/>
        <v>1.3903719552948293</v>
      </c>
      <c r="G387" s="96">
        <f t="shared" si="49"/>
        <v>2.0971029034626256</v>
      </c>
      <c r="H387" s="96" t="str">
        <f t="shared" si="50"/>
        <v/>
      </c>
      <c r="I387" s="96" t="str">
        <f t="shared" si="51"/>
        <v/>
      </c>
      <c r="J387" s="96" t="str">
        <f t="shared" si="52"/>
        <v/>
      </c>
      <c r="K387" s="96" t="str">
        <f t="shared" si="53"/>
        <v/>
      </c>
      <c r="L387" s="96"/>
      <c r="M387" s="106">
        <f>IF(D387="","",ABS(D387-G$5))</f>
        <v>1.3211434948255869E-2</v>
      </c>
    </row>
    <row r="388" spans="2:13" ht="15.75" customHeight="1" x14ac:dyDescent="0.55000000000000004">
      <c r="B388" s="94">
        <v>44365</v>
      </c>
      <c r="C388" s="95">
        <v>4166.45</v>
      </c>
      <c r="D388" s="95">
        <f t="shared" si="46"/>
        <v>0</v>
      </c>
      <c r="E388" s="95">
        <f t="shared" si="47"/>
        <v>4.6348691292451449E-2</v>
      </c>
      <c r="F388" s="96">
        <f t="shared" si="48"/>
        <v>0</v>
      </c>
      <c r="G388" s="96">
        <f t="shared" si="49"/>
        <v>0.12232816082032937</v>
      </c>
      <c r="H388" s="96" t="str">
        <f t="shared" si="50"/>
        <v/>
      </c>
      <c r="I388" s="96" t="str">
        <f t="shared" si="51"/>
        <v/>
      </c>
      <c r="J388" s="96" t="str">
        <f t="shared" si="52"/>
        <v/>
      </c>
      <c r="K388" s="96" t="str">
        <f t="shared" si="53"/>
        <v/>
      </c>
      <c r="L388" s="96"/>
      <c r="M388" s="106">
        <f>IF(D388="","",ABS(D388-G$5))</f>
        <v>0</v>
      </c>
    </row>
    <row r="389" spans="2:13" ht="15.75" customHeight="1" x14ac:dyDescent="0.55000000000000004">
      <c r="B389" s="94">
        <v>44368</v>
      </c>
      <c r="C389" s="95">
        <v>4224.79</v>
      </c>
      <c r="D389" s="95">
        <f t="shared" si="46"/>
        <v>1.3905201143734752E-2</v>
      </c>
      <c r="E389" s="95">
        <f t="shared" si="47"/>
        <v>0.78573831437251462</v>
      </c>
      <c r="F389" s="96">
        <f t="shared" si="48"/>
        <v>1.4633839381341931</v>
      </c>
      <c r="G389" s="96">
        <f t="shared" si="49"/>
        <v>1.7981690428739527</v>
      </c>
      <c r="H389" s="96" t="str">
        <f t="shared" si="50"/>
        <v/>
      </c>
      <c r="I389" s="96" t="str">
        <f t="shared" si="51"/>
        <v/>
      </c>
      <c r="J389" s="96" t="str">
        <f t="shared" si="52"/>
        <v/>
      </c>
      <c r="K389" s="96" t="str">
        <f t="shared" si="53"/>
        <v/>
      </c>
      <c r="L389" s="96"/>
      <c r="M389" s="106">
        <f>IF(D389="","",ABS(D389-G$5))</f>
        <v>1.3905201143734752E-2</v>
      </c>
    </row>
    <row r="390" spans="2:13" ht="15.75" customHeight="1" x14ac:dyDescent="0.55000000000000004">
      <c r="B390" s="94">
        <v>44369</v>
      </c>
      <c r="C390" s="95">
        <v>4241.84</v>
      </c>
      <c r="D390" s="95">
        <f t="shared" si="46"/>
        <v>4.0275819417933132E-3</v>
      </c>
      <c r="E390" s="95">
        <f t="shared" si="47"/>
        <v>0.19466174526114546</v>
      </c>
      <c r="F390" s="96">
        <f t="shared" si="48"/>
        <v>0.42386288858505766</v>
      </c>
      <c r="G390" s="96">
        <f t="shared" si="49"/>
        <v>0.46448929310483905</v>
      </c>
      <c r="H390" s="96" t="str">
        <f t="shared" si="50"/>
        <v/>
      </c>
      <c r="I390" s="96" t="str">
        <f t="shared" si="51"/>
        <v/>
      </c>
      <c r="J390" s="96" t="str">
        <f t="shared" si="52"/>
        <v/>
      </c>
      <c r="K390" s="96" t="str">
        <f t="shared" si="53"/>
        <v/>
      </c>
      <c r="L390" s="96"/>
      <c r="M390" s="106">
        <f>IF(D390="","",ABS(D390-G$5))</f>
        <v>4.0275819417933132E-3</v>
      </c>
    </row>
    <row r="391" spans="2:13" ht="15.75" customHeight="1" x14ac:dyDescent="0.55000000000000004">
      <c r="B391" s="94">
        <v>44370</v>
      </c>
      <c r="C391" s="95">
        <v>4241.84</v>
      </c>
      <c r="D391" s="95">
        <f t="shared" si="46"/>
        <v>0</v>
      </c>
      <c r="E391" s="95">
        <f t="shared" si="47"/>
        <v>4.6348691292451449E-2</v>
      </c>
      <c r="F391" s="96">
        <f t="shared" si="48"/>
        <v>0</v>
      </c>
      <c r="G391" s="96">
        <f t="shared" si="49"/>
        <v>0.11649744779508114</v>
      </c>
      <c r="H391" s="96" t="str">
        <f t="shared" si="50"/>
        <v/>
      </c>
      <c r="I391" s="96" t="str">
        <f t="shared" si="51"/>
        <v/>
      </c>
      <c r="J391" s="96" t="str">
        <f t="shared" si="52"/>
        <v/>
      </c>
      <c r="K391" s="96" t="str">
        <f t="shared" si="53"/>
        <v/>
      </c>
      <c r="L391" s="96"/>
      <c r="M391" s="106">
        <f>IF(D391="","",ABS(D391-G$5))</f>
        <v>0</v>
      </c>
    </row>
    <row r="392" spans="2:13" ht="15.75" customHeight="1" x14ac:dyDescent="0.55000000000000004">
      <c r="B392" s="94">
        <v>44371</v>
      </c>
      <c r="C392" s="95">
        <v>4280.7</v>
      </c>
      <c r="D392" s="95">
        <f t="shared" si="46"/>
        <v>9.1194102488751372E-3</v>
      </c>
      <c r="E392" s="95">
        <f t="shared" si="47"/>
        <v>0.49935666665096062</v>
      </c>
      <c r="F392" s="96">
        <f t="shared" si="48"/>
        <v>0.95972710826072083</v>
      </c>
      <c r="G392" s="96">
        <f t="shared" si="49"/>
        <v>1.2205124816707655</v>
      </c>
      <c r="H392" s="96" t="str">
        <f t="shared" si="50"/>
        <v/>
      </c>
      <c r="I392" s="96" t="str">
        <f t="shared" si="51"/>
        <v/>
      </c>
      <c r="J392" s="96" t="str">
        <f t="shared" si="52"/>
        <v/>
      </c>
      <c r="K392" s="96" t="str">
        <f t="shared" si="53"/>
        <v/>
      </c>
      <c r="L392" s="96"/>
      <c r="M392" s="106">
        <f>IF(D392="","",ABS(D392-G$5))</f>
        <v>9.1194102488751372E-3</v>
      </c>
    </row>
    <row r="393" spans="2:13" ht="15.75" customHeight="1" x14ac:dyDescent="0.55000000000000004">
      <c r="B393" s="94">
        <v>44372</v>
      </c>
      <c r="C393" s="95">
        <v>4280.7</v>
      </c>
      <c r="D393" s="95">
        <f t="shared" si="46"/>
        <v>0</v>
      </c>
      <c r="E393" s="95">
        <f t="shared" si="47"/>
        <v>4.6348691292451449E-2</v>
      </c>
      <c r="F393" s="96">
        <f t="shared" si="48"/>
        <v>0</v>
      </c>
      <c r="G393" s="96">
        <f t="shared" si="49"/>
        <v>0.11932685100925797</v>
      </c>
      <c r="H393" s="96" t="str">
        <f t="shared" si="50"/>
        <v/>
      </c>
      <c r="I393" s="96" t="str">
        <f t="shared" si="51"/>
        <v/>
      </c>
      <c r="J393" s="96" t="str">
        <f t="shared" si="52"/>
        <v/>
      </c>
      <c r="K393" s="96" t="str">
        <f t="shared" si="53"/>
        <v/>
      </c>
      <c r="L393" s="96"/>
      <c r="M393" s="106">
        <f>IF(D393="","",ABS(D393-G$5))</f>
        <v>0</v>
      </c>
    </row>
    <row r="394" spans="2:13" ht="15.75" customHeight="1" x14ac:dyDescent="0.55000000000000004">
      <c r="B394" s="94">
        <v>44375</v>
      </c>
      <c r="C394" s="95">
        <v>4290.6099999999997</v>
      </c>
      <c r="D394" s="95">
        <f t="shared" si="46"/>
        <v>2.3123663514123699E-3</v>
      </c>
      <c r="E394" s="95">
        <f t="shared" si="47"/>
        <v>9.2023272799134262E-2</v>
      </c>
      <c r="F394" s="96">
        <f t="shared" si="48"/>
        <v>0.24335352957217016</v>
      </c>
      <c r="G394" s="96">
        <f t="shared" si="49"/>
        <v>0.24895855208114034</v>
      </c>
      <c r="H394" s="96" t="str">
        <f t="shared" si="50"/>
        <v/>
      </c>
      <c r="I394" s="96" t="str">
        <f t="shared" si="51"/>
        <v/>
      </c>
      <c r="J394" s="96" t="str">
        <f t="shared" si="52"/>
        <v/>
      </c>
      <c r="K394" s="96" t="str">
        <f t="shared" si="53"/>
        <v/>
      </c>
      <c r="L394" s="96"/>
      <c r="M394" s="106">
        <f>IF(D394="","",ABS(D394-G$5))</f>
        <v>2.3123663514123699E-3</v>
      </c>
    </row>
    <row r="395" spans="2:13" ht="15.75" customHeight="1" x14ac:dyDescent="0.55000000000000004">
      <c r="B395" s="94">
        <v>44376</v>
      </c>
      <c r="C395" s="95">
        <v>4297.5</v>
      </c>
      <c r="D395" s="95">
        <f t="shared" si="46"/>
        <v>1.6045443009527643E-3</v>
      </c>
      <c r="E395" s="95">
        <f t="shared" si="47"/>
        <v>4.9667213046921253E-2</v>
      </c>
      <c r="F395" s="96">
        <f t="shared" si="48"/>
        <v>0.16886230797869448</v>
      </c>
      <c r="G395" s="96">
        <f t="shared" si="49"/>
        <v>0.14149553164645881</v>
      </c>
      <c r="H395" s="96" t="str">
        <f t="shared" si="50"/>
        <v/>
      </c>
      <c r="I395" s="96" t="str">
        <f t="shared" si="51"/>
        <v/>
      </c>
      <c r="J395" s="96" t="str">
        <f t="shared" si="52"/>
        <v/>
      </c>
      <c r="K395" s="96" t="str">
        <f t="shared" si="53"/>
        <v/>
      </c>
      <c r="L395" s="96"/>
      <c r="M395" s="106">
        <f>IF(D395="","",ABS(D395-G$5))</f>
        <v>1.6045443009527643E-3</v>
      </c>
    </row>
    <row r="396" spans="2:13" ht="15.75" customHeight="1" x14ac:dyDescent="0.55000000000000004">
      <c r="B396" s="94">
        <v>44377</v>
      </c>
      <c r="C396" s="95">
        <v>4297.5</v>
      </c>
      <c r="D396" s="95">
        <f t="shared" si="46"/>
        <v>0</v>
      </c>
      <c r="E396" s="95">
        <f t="shared" si="47"/>
        <v>4.6348691292451449E-2</v>
      </c>
      <c r="F396" s="96">
        <f t="shared" si="48"/>
        <v>0</v>
      </c>
      <c r="G396" s="96">
        <f t="shared" si="49"/>
        <v>0.1390493300297031</v>
      </c>
      <c r="H396" s="96" t="str">
        <f t="shared" si="50"/>
        <v/>
      </c>
      <c r="I396" s="96" t="str">
        <f t="shared" si="51"/>
        <v/>
      </c>
      <c r="J396" s="96" t="str">
        <f t="shared" si="52"/>
        <v/>
      </c>
      <c r="K396" s="96" t="str">
        <f t="shared" si="53"/>
        <v/>
      </c>
      <c r="L396" s="96"/>
      <c r="M396" s="106">
        <f>IF(D396="","",ABS(D396-G$5))</f>
        <v>0</v>
      </c>
    </row>
    <row r="397" spans="2:13" ht="15.75" customHeight="1" x14ac:dyDescent="0.55000000000000004">
      <c r="B397" s="94">
        <v>44378</v>
      </c>
      <c r="C397" s="95">
        <v>4319.9399999999996</v>
      </c>
      <c r="D397" s="95">
        <f t="shared" si="46"/>
        <v>5.2080549958111134E-3</v>
      </c>
      <c r="E397" s="95">
        <f t="shared" si="47"/>
        <v>0.26530123322198113</v>
      </c>
      <c r="F397" s="96">
        <f t="shared" si="48"/>
        <v>0.54809592115993822</v>
      </c>
      <c r="G397" s="96">
        <f t="shared" si="49"/>
        <v>0.8109214994472641</v>
      </c>
      <c r="H397" s="96" t="str">
        <f t="shared" si="50"/>
        <v/>
      </c>
      <c r="I397" s="96" t="str">
        <f t="shared" si="51"/>
        <v/>
      </c>
      <c r="J397" s="96" t="str">
        <f t="shared" si="52"/>
        <v/>
      </c>
      <c r="K397" s="96" t="str">
        <f t="shared" si="53"/>
        <v/>
      </c>
      <c r="L397" s="96"/>
      <c r="M397" s="106">
        <f>IF(D397="","",ABS(D397-G$5))</f>
        <v>5.2080549958111134E-3</v>
      </c>
    </row>
    <row r="398" spans="2:13" ht="15.75" customHeight="1" x14ac:dyDescent="0.55000000000000004">
      <c r="B398" s="94">
        <v>44379</v>
      </c>
      <c r="C398" s="95">
        <v>4352.34</v>
      </c>
      <c r="D398" s="95">
        <f t="shared" si="46"/>
        <v>7.4721182313641664E-3</v>
      </c>
      <c r="E398" s="95">
        <f t="shared" si="47"/>
        <v>0.40078273966220257</v>
      </c>
      <c r="F398" s="96">
        <f t="shared" si="48"/>
        <v>0.78636602883984708</v>
      </c>
      <c r="G398" s="96">
        <f t="shared" si="49"/>
        <v>1.1954714240574755</v>
      </c>
      <c r="H398" s="96" t="str">
        <f t="shared" si="50"/>
        <v/>
      </c>
      <c r="I398" s="96" t="str">
        <f t="shared" si="51"/>
        <v/>
      </c>
      <c r="J398" s="96" t="str">
        <f t="shared" si="52"/>
        <v/>
      </c>
      <c r="K398" s="96" t="str">
        <f t="shared" si="53"/>
        <v/>
      </c>
      <c r="L398" s="96"/>
      <c r="M398" s="106">
        <f>IF(D398="","",ABS(D398-G$5))</f>
        <v>7.4721182313641664E-3</v>
      </c>
    </row>
    <row r="399" spans="2:13" ht="15.75" customHeight="1" x14ac:dyDescent="0.55000000000000004">
      <c r="B399" s="94">
        <v>44383</v>
      </c>
      <c r="C399" s="95">
        <v>4343.54</v>
      </c>
      <c r="D399" s="95">
        <f t="shared" si="46"/>
        <v>-2.0239476634912454E-3</v>
      </c>
      <c r="E399" s="95">
        <f t="shared" si="47"/>
        <v>0.16746168588554569</v>
      </c>
      <c r="F399" s="96">
        <f t="shared" si="48"/>
        <v>0.21300033503735524</v>
      </c>
      <c r="G399" s="96">
        <f t="shared" si="49"/>
        <v>0.51938121810977134</v>
      </c>
      <c r="H399" s="96" t="str">
        <f t="shared" si="50"/>
        <v/>
      </c>
      <c r="I399" s="96" t="str">
        <f t="shared" si="51"/>
        <v/>
      </c>
      <c r="J399" s="96" t="str">
        <f t="shared" si="52"/>
        <v/>
      </c>
      <c r="K399" s="96" t="str">
        <f t="shared" si="53"/>
        <v/>
      </c>
      <c r="L399" s="96"/>
      <c r="M399" s="106">
        <f>IF(D399="","",ABS(D399-G$5))</f>
        <v>2.0239476634912454E-3</v>
      </c>
    </row>
    <row r="400" spans="2:13" ht="15.75" customHeight="1" x14ac:dyDescent="0.55000000000000004">
      <c r="B400" s="94">
        <v>44384</v>
      </c>
      <c r="C400" s="95">
        <v>4358.13</v>
      </c>
      <c r="D400" s="95">
        <f t="shared" si="46"/>
        <v>3.3533824363036076E-3</v>
      </c>
      <c r="E400" s="95">
        <f t="shared" si="47"/>
        <v>0.15431765804191847</v>
      </c>
      <c r="F400" s="96">
        <f t="shared" si="48"/>
        <v>0.35291010500190267</v>
      </c>
      <c r="G400" s="96">
        <f t="shared" si="49"/>
        <v>0.49820419289885076</v>
      </c>
      <c r="H400" s="96" t="str">
        <f t="shared" si="50"/>
        <v/>
      </c>
      <c r="I400" s="96" t="str">
        <f t="shared" si="51"/>
        <v/>
      </c>
      <c r="J400" s="96" t="str">
        <f t="shared" si="52"/>
        <v/>
      </c>
      <c r="K400" s="96" t="str">
        <f t="shared" si="53"/>
        <v/>
      </c>
      <c r="L400" s="96"/>
      <c r="M400" s="106">
        <f>IF(D400="","",ABS(D400-G$5))</f>
        <v>3.3533824363036076E-3</v>
      </c>
    </row>
    <row r="401" spans="2:13" ht="15.75" customHeight="1" x14ac:dyDescent="0.55000000000000004">
      <c r="B401" s="94">
        <v>44385</v>
      </c>
      <c r="C401" s="95">
        <v>4320.82</v>
      </c>
      <c r="D401" s="95">
        <f t="shared" si="46"/>
        <v>-8.5978672165738772E-3</v>
      </c>
      <c r="E401" s="95">
        <f t="shared" si="47"/>
        <v>0.56084492283868703</v>
      </c>
      <c r="F401" s="96">
        <f t="shared" si="48"/>
        <v>0.90483989817103805</v>
      </c>
      <c r="G401" s="96">
        <f t="shared" si="49"/>
        <v>1.6340400750014548</v>
      </c>
      <c r="H401" s="96" t="str">
        <f t="shared" si="50"/>
        <v/>
      </c>
      <c r="I401" s="96" t="str">
        <f t="shared" si="51"/>
        <v/>
      </c>
      <c r="J401" s="96" t="str">
        <f t="shared" si="52"/>
        <v/>
      </c>
      <c r="K401" s="96" t="str">
        <f t="shared" si="53"/>
        <v/>
      </c>
      <c r="L401" s="96"/>
      <c r="M401" s="106">
        <f>IF(D401="","",ABS(D401-G$5))</f>
        <v>8.5978672165738772E-3</v>
      </c>
    </row>
    <row r="402" spans="2:13" ht="15.75" customHeight="1" x14ac:dyDescent="0.55000000000000004">
      <c r="B402" s="94">
        <v>44386</v>
      </c>
      <c r="C402" s="95">
        <v>4369.55</v>
      </c>
      <c r="D402" s="95">
        <f t="shared" si="46"/>
        <v>1.1214829918570923E-2</v>
      </c>
      <c r="E402" s="95">
        <f t="shared" si="47"/>
        <v>0.62474654490915738</v>
      </c>
      <c r="F402" s="96">
        <f t="shared" si="48"/>
        <v>1.1802491601596172</v>
      </c>
      <c r="G402" s="96">
        <f t="shared" si="49"/>
        <v>1.6403567915588584</v>
      </c>
      <c r="H402" s="96" t="str">
        <f t="shared" si="50"/>
        <v/>
      </c>
      <c r="I402" s="96" t="str">
        <f t="shared" si="51"/>
        <v/>
      </c>
      <c r="J402" s="96" t="str">
        <f t="shared" si="52"/>
        <v/>
      </c>
      <c r="K402" s="96" t="str">
        <f t="shared" si="53"/>
        <v/>
      </c>
      <c r="L402" s="96"/>
      <c r="M402" s="106">
        <f>IF(D402="","",ABS(D402-G$5))</f>
        <v>1.1214829918570923E-2</v>
      </c>
    </row>
    <row r="403" spans="2:13" ht="15.75" customHeight="1" x14ac:dyDescent="0.55000000000000004">
      <c r="B403" s="94">
        <v>44389</v>
      </c>
      <c r="C403" s="95">
        <v>4384.63</v>
      </c>
      <c r="D403" s="95">
        <f t="shared" si="46"/>
        <v>3.4452147239393167E-3</v>
      </c>
      <c r="E403" s="95">
        <f t="shared" si="47"/>
        <v>0.15981290060995496</v>
      </c>
      <c r="F403" s="96">
        <f t="shared" si="48"/>
        <v>0.36257453871552542</v>
      </c>
      <c r="G403" s="96">
        <f t="shared" si="49"/>
        <v>0.43804412891230199</v>
      </c>
      <c r="H403" s="96" t="str">
        <f t="shared" si="50"/>
        <v/>
      </c>
      <c r="I403" s="96" t="str">
        <f t="shared" si="51"/>
        <v/>
      </c>
      <c r="J403" s="96" t="str">
        <f t="shared" si="52"/>
        <v/>
      </c>
      <c r="K403" s="96" t="str">
        <f t="shared" si="53"/>
        <v/>
      </c>
      <c r="L403" s="96"/>
      <c r="M403" s="106">
        <f>IF(D403="","",ABS(D403-G$5))</f>
        <v>3.4452147239393167E-3</v>
      </c>
    </row>
    <row r="404" spans="2:13" ht="15.75" customHeight="1" x14ac:dyDescent="0.55000000000000004">
      <c r="B404" s="94">
        <v>44390</v>
      </c>
      <c r="C404" s="95">
        <v>4374.3</v>
      </c>
      <c r="D404" s="95">
        <f t="shared" si="46"/>
        <v>-2.3587366925789765E-3</v>
      </c>
      <c r="E404" s="95">
        <f t="shared" si="47"/>
        <v>0.18749545582986668</v>
      </c>
      <c r="F404" s="96">
        <f t="shared" si="48"/>
        <v>0.24823354617657503</v>
      </c>
      <c r="G404" s="96">
        <f t="shared" si="49"/>
        <v>0.53394288127767764</v>
      </c>
      <c r="H404" s="96" t="str">
        <f t="shared" si="50"/>
        <v/>
      </c>
      <c r="I404" s="96" t="str">
        <f t="shared" si="51"/>
        <v/>
      </c>
      <c r="J404" s="96" t="str">
        <f t="shared" si="52"/>
        <v/>
      </c>
      <c r="K404" s="96" t="str">
        <f t="shared" si="53"/>
        <v/>
      </c>
      <c r="L404" s="96"/>
      <c r="M404" s="106">
        <f>IF(D404="","",ABS(D404-G$5))</f>
        <v>2.3587366925789765E-3</v>
      </c>
    </row>
    <row r="405" spans="2:13" ht="15.75" customHeight="1" x14ac:dyDescent="0.55000000000000004">
      <c r="B405" s="94">
        <v>44391</v>
      </c>
      <c r="C405" s="95">
        <v>4360.03</v>
      </c>
      <c r="D405" s="95">
        <f t="shared" si="46"/>
        <v>-3.267568936996537E-3</v>
      </c>
      <c r="E405" s="95">
        <f t="shared" si="47"/>
        <v>0.24187996225248043</v>
      </c>
      <c r="F405" s="96">
        <f t="shared" si="48"/>
        <v>0.34387908881860652</v>
      </c>
      <c r="G405" s="96">
        <f t="shared" si="49"/>
        <v>0.7076630265283107</v>
      </c>
      <c r="H405" s="96" t="str">
        <f t="shared" si="50"/>
        <v/>
      </c>
      <c r="I405" s="96" t="str">
        <f t="shared" si="51"/>
        <v/>
      </c>
      <c r="J405" s="96" t="str">
        <f t="shared" si="52"/>
        <v/>
      </c>
      <c r="K405" s="96" t="str">
        <f t="shared" si="53"/>
        <v/>
      </c>
      <c r="L405" s="96"/>
      <c r="M405" s="106">
        <f>IF(D405="","",ABS(D405-G$5))</f>
        <v>3.267568936996537E-3</v>
      </c>
    </row>
    <row r="406" spans="2:13" ht="15.75" customHeight="1" x14ac:dyDescent="0.55000000000000004">
      <c r="B406" s="94">
        <v>44392</v>
      </c>
      <c r="C406" s="95">
        <v>4327.16</v>
      </c>
      <c r="D406" s="95">
        <f t="shared" si="46"/>
        <v>-7.5675003916981084E-3</v>
      </c>
      <c r="E406" s="95">
        <f t="shared" si="47"/>
        <v>0.49918778913848916</v>
      </c>
      <c r="F406" s="96">
        <f t="shared" si="48"/>
        <v>0.79640405130168834</v>
      </c>
      <c r="G406" s="96">
        <f t="shared" si="49"/>
        <v>1.3841571277077616</v>
      </c>
      <c r="H406" s="96" t="str">
        <f t="shared" si="50"/>
        <v/>
      </c>
      <c r="I406" s="96" t="str">
        <f t="shared" si="51"/>
        <v/>
      </c>
      <c r="J406" s="96" t="str">
        <f t="shared" si="52"/>
        <v/>
      </c>
      <c r="K406" s="96" t="str">
        <f t="shared" si="53"/>
        <v/>
      </c>
      <c r="L406" s="96"/>
      <c r="M406" s="106">
        <f>IF(D406="","",ABS(D406-G$5))</f>
        <v>7.5675003916981084E-3</v>
      </c>
    </row>
    <row r="407" spans="2:13" ht="15.75" customHeight="1" x14ac:dyDescent="0.55000000000000004">
      <c r="B407" s="94">
        <v>44393</v>
      </c>
      <c r="C407" s="95">
        <v>4411.79</v>
      </c>
      <c r="D407" s="95">
        <f t="shared" si="46"/>
        <v>1.9369065117474708E-2</v>
      </c>
      <c r="E407" s="95">
        <f t="shared" si="47"/>
        <v>1.112695843880704</v>
      </c>
      <c r="F407" s="96">
        <f t="shared" si="48"/>
        <v>2.0384012066131714</v>
      </c>
      <c r="G407" s="96">
        <f t="shared" si="49"/>
        <v>2.2671903659362731</v>
      </c>
      <c r="H407" s="96" t="str">
        <f t="shared" si="50"/>
        <v/>
      </c>
      <c r="I407" s="96" t="str">
        <f t="shared" si="51"/>
        <v/>
      </c>
      <c r="J407" s="96" t="str">
        <f t="shared" si="52"/>
        <v/>
      </c>
      <c r="K407" s="96" t="str">
        <f t="shared" si="53"/>
        <v/>
      </c>
      <c r="L407" s="96"/>
      <c r="M407" s="106">
        <f>IF(D407="","",ABS(D407-G$5))</f>
        <v>1.9369065117474708E-2</v>
      </c>
    </row>
    <row r="408" spans="2:13" ht="15.75" customHeight="1" x14ac:dyDescent="0.55000000000000004">
      <c r="B408" s="94">
        <v>44396</v>
      </c>
      <c r="C408" s="95">
        <v>4258.7</v>
      </c>
      <c r="D408" s="95">
        <f t="shared" si="46"/>
        <v>-3.5316553407067852E-2</v>
      </c>
      <c r="E408" s="95">
        <f t="shared" si="47"/>
        <v>2.1596906610441478</v>
      </c>
      <c r="F408" s="96">
        <f t="shared" si="48"/>
        <v>3.7167155276605008</v>
      </c>
      <c r="G408" s="96">
        <f t="shared" si="49"/>
        <v>2.6128564774142053</v>
      </c>
      <c r="H408" s="96" t="str">
        <f t="shared" si="50"/>
        <v/>
      </c>
      <c r="I408" s="96" t="str">
        <f t="shared" si="51"/>
        <v>OUTLIER</v>
      </c>
      <c r="J408" s="96" t="str">
        <f t="shared" si="52"/>
        <v/>
      </c>
      <c r="K408" s="96" t="str">
        <f t="shared" si="53"/>
        <v/>
      </c>
      <c r="L408" s="96"/>
      <c r="M408" s="106">
        <f>IF(D408="","",ABS(D408-G$5))</f>
        <v>3.5316553407067852E-2</v>
      </c>
    </row>
    <row r="409" spans="2:13" ht="15.75" customHeight="1" x14ac:dyDescent="0.55000000000000004">
      <c r="B409" s="94">
        <v>44397</v>
      </c>
      <c r="C409" s="95">
        <v>4323.0600000000004</v>
      </c>
      <c r="D409" s="95">
        <f t="shared" si="46"/>
        <v>1.4999535449774982E-2</v>
      </c>
      <c r="E409" s="95">
        <f t="shared" si="47"/>
        <v>0.85122326108396462</v>
      </c>
      <c r="F409" s="96">
        <f t="shared" si="48"/>
        <v>1.5785517253423671</v>
      </c>
      <c r="G409" s="96">
        <f t="shared" si="49"/>
        <v>1.0267304067003902</v>
      </c>
      <c r="H409" s="96" t="str">
        <f t="shared" si="50"/>
        <v/>
      </c>
      <c r="I409" s="96" t="str">
        <f t="shared" si="51"/>
        <v/>
      </c>
      <c r="J409" s="96" t="str">
        <f t="shared" si="52"/>
        <v/>
      </c>
      <c r="K409" s="96" t="str">
        <f t="shared" si="53"/>
        <v/>
      </c>
      <c r="L409" s="96"/>
      <c r="M409" s="106">
        <f>IF(D409="","",ABS(D409-G$5))</f>
        <v>1.4999535449774982E-2</v>
      </c>
    </row>
    <row r="410" spans="2:13" ht="15.75" customHeight="1" x14ac:dyDescent="0.55000000000000004">
      <c r="B410" s="94">
        <v>44398</v>
      </c>
      <c r="C410" s="95">
        <v>4411.79</v>
      </c>
      <c r="D410" s="95">
        <f t="shared" si="46"/>
        <v>2.0317017957292856E-2</v>
      </c>
      <c r="E410" s="95">
        <f t="shared" si="47"/>
        <v>1.1694213260828283</v>
      </c>
      <c r="F410" s="96">
        <f t="shared" si="48"/>
        <v>2.1381638023181324</v>
      </c>
      <c r="G410" s="96">
        <f t="shared" si="49"/>
        <v>1.3455282338150787</v>
      </c>
      <c r="H410" s="96" t="str">
        <f t="shared" si="50"/>
        <v/>
      </c>
      <c r="I410" s="96" t="str">
        <f t="shared" si="51"/>
        <v/>
      </c>
      <c r="J410" s="96" t="str">
        <f t="shared" si="52"/>
        <v/>
      </c>
      <c r="K410" s="96" t="str">
        <f t="shared" si="53"/>
        <v/>
      </c>
      <c r="L410" s="96"/>
      <c r="M410" s="106">
        <f>IF(D410="","",ABS(D410-G$5))</f>
        <v>2.0317017957292856E-2</v>
      </c>
    </row>
    <row r="411" spans="2:13" ht="15.75" customHeight="1" x14ac:dyDescent="0.55000000000000004">
      <c r="B411" s="94">
        <v>44399</v>
      </c>
      <c r="C411" s="95">
        <v>4411.79</v>
      </c>
      <c r="D411" s="95">
        <f t="shared" ref="D411:D474" si="54">IF(OR(C411="",C410=""),"",LN(C411/C410))</f>
        <v>0</v>
      </c>
      <c r="E411" s="95">
        <f t="shared" ref="E411:E474" si="55">IF(D411="","",ABS(D411-$E$5)/$F$5)</f>
        <v>4.6348691292451449E-2</v>
      </c>
      <c r="F411" s="96">
        <f t="shared" ref="F411:F474" si="56">IF(D411="","",ABS(D411-$G$5)/$H$5)</f>
        <v>0</v>
      </c>
      <c r="G411" s="96">
        <f t="shared" ref="G411:G474" si="57">IF(D411="","",ABS(D411-$E$5)/SQRT(0.9*(IF(G410="",($F$5)^2,(ABS(D410-$E$5)/MAX(G410,0.0000000001))^2))+0.1*(D411-$E$5)^2))</f>
        <v>5.6204284157990184E-2</v>
      </c>
      <c r="H411" s="96" t="str">
        <f t="shared" ref="H411:H474" si="58">IF(E411="","",IF(E411&gt;$I$5,"OUTLIER",""))</f>
        <v/>
      </c>
      <c r="I411" s="96" t="str">
        <f t="shared" ref="I411:I474" si="59">IF(F411="","",IF(F411&gt;$I$5,"OUTLIER",""))</f>
        <v/>
      </c>
      <c r="J411" s="96" t="str">
        <f t="shared" ref="J411:J474" si="60">IF(G411="","",IF(G411&gt;$I$5,"OUTLIER",""))</f>
        <v/>
      </c>
      <c r="K411" s="96" t="str">
        <f t="shared" ref="K411:K474" si="61">IF(C411="","MISSING","")</f>
        <v/>
      </c>
      <c r="L411" s="96"/>
      <c r="M411" s="106">
        <f>IF(D411="","",ABS(D411-G$5))</f>
        <v>0</v>
      </c>
    </row>
    <row r="412" spans="2:13" ht="15.75" customHeight="1" x14ac:dyDescent="0.55000000000000004">
      <c r="B412" s="94">
        <v>44400</v>
      </c>
      <c r="C412" s="95">
        <v>4411.79</v>
      </c>
      <c r="D412" s="95">
        <f t="shared" si="54"/>
        <v>0</v>
      </c>
      <c r="E412" s="95">
        <f t="shared" si="55"/>
        <v>4.6348691292451449E-2</v>
      </c>
      <c r="F412" s="96">
        <f t="shared" si="56"/>
        <v>0</v>
      </c>
      <c r="G412" s="96">
        <f t="shared" si="57"/>
        <v>5.923412298108368E-2</v>
      </c>
      <c r="H412" s="96" t="str">
        <f t="shared" si="58"/>
        <v/>
      </c>
      <c r="I412" s="96" t="str">
        <f t="shared" si="59"/>
        <v/>
      </c>
      <c r="J412" s="96" t="str">
        <f t="shared" si="60"/>
        <v/>
      </c>
      <c r="K412" s="96" t="str">
        <f t="shared" si="61"/>
        <v/>
      </c>
      <c r="L412" s="96"/>
      <c r="M412" s="106">
        <f>IF(D412="","",ABS(D412-G$5))</f>
        <v>0</v>
      </c>
    </row>
    <row r="413" spans="2:13" ht="15.75" customHeight="1" x14ac:dyDescent="0.55000000000000004">
      <c r="B413" s="94">
        <v>44403</v>
      </c>
      <c r="C413" s="95">
        <v>4422.3</v>
      </c>
      <c r="D413" s="95">
        <f t="shared" si="54"/>
        <v>2.3794199422129485E-3</v>
      </c>
      <c r="E413" s="95">
        <f t="shared" si="55"/>
        <v>9.6035758559793433E-2</v>
      </c>
      <c r="F413" s="96">
        <f t="shared" si="56"/>
        <v>0.25041025221555324</v>
      </c>
      <c r="G413" s="96">
        <f t="shared" si="57"/>
        <v>0.12926562648039572</v>
      </c>
      <c r="H413" s="96" t="str">
        <f t="shared" si="58"/>
        <v/>
      </c>
      <c r="I413" s="96" t="str">
        <f t="shared" si="59"/>
        <v/>
      </c>
      <c r="J413" s="96" t="str">
        <f t="shared" si="60"/>
        <v/>
      </c>
      <c r="K413" s="96" t="str">
        <f t="shared" si="61"/>
        <v/>
      </c>
      <c r="L413" s="96"/>
      <c r="M413" s="106">
        <f>IF(D413="","",ABS(D413-G$5))</f>
        <v>2.3794199422129485E-3</v>
      </c>
    </row>
    <row r="414" spans="2:13" ht="15.75" customHeight="1" x14ac:dyDescent="0.55000000000000004">
      <c r="B414" s="94">
        <v>44404</v>
      </c>
      <c r="C414" s="95">
        <v>4401.46</v>
      </c>
      <c r="D414" s="95">
        <f t="shared" si="54"/>
        <v>-4.7236186726493743E-3</v>
      </c>
      <c r="E414" s="95">
        <f t="shared" si="55"/>
        <v>0.32900995426877905</v>
      </c>
      <c r="F414" s="96">
        <f t="shared" si="56"/>
        <v>0.49711382266055121</v>
      </c>
      <c r="G414" s="96">
        <f t="shared" si="57"/>
        <v>0.46180310219500004</v>
      </c>
      <c r="H414" s="96" t="str">
        <f t="shared" si="58"/>
        <v/>
      </c>
      <c r="I414" s="96" t="str">
        <f t="shared" si="59"/>
        <v/>
      </c>
      <c r="J414" s="96" t="str">
        <f t="shared" si="60"/>
        <v/>
      </c>
      <c r="K414" s="96" t="str">
        <f t="shared" si="61"/>
        <v/>
      </c>
      <c r="L414" s="96"/>
      <c r="M414" s="106">
        <f>IF(D414="","",ABS(D414-G$5))</f>
        <v>4.7236186726493743E-3</v>
      </c>
    </row>
    <row r="415" spans="2:13" ht="15.75" customHeight="1" x14ac:dyDescent="0.55000000000000004">
      <c r="B415" s="94">
        <v>44405</v>
      </c>
      <c r="C415" s="95">
        <v>4419.1499999999996</v>
      </c>
      <c r="D415" s="95">
        <f t="shared" si="54"/>
        <v>4.0110658372478486E-3</v>
      </c>
      <c r="E415" s="95">
        <f t="shared" si="55"/>
        <v>0.19367342183925254</v>
      </c>
      <c r="F415" s="96">
        <f t="shared" si="56"/>
        <v>0.42212473306594328</v>
      </c>
      <c r="G415" s="96">
        <f t="shared" si="57"/>
        <v>0.28537825317800702</v>
      </c>
      <c r="H415" s="96" t="str">
        <f t="shared" si="58"/>
        <v/>
      </c>
      <c r="I415" s="96" t="str">
        <f t="shared" si="59"/>
        <v/>
      </c>
      <c r="J415" s="96" t="str">
        <f t="shared" si="60"/>
        <v/>
      </c>
      <c r="K415" s="96" t="str">
        <f t="shared" si="61"/>
        <v/>
      </c>
      <c r="L415" s="96"/>
      <c r="M415" s="106">
        <f>IF(D415="","",ABS(D415-G$5))</f>
        <v>4.0110658372478486E-3</v>
      </c>
    </row>
    <row r="416" spans="2:13" ht="15.75" customHeight="1" x14ac:dyDescent="0.55000000000000004">
      <c r="B416" s="94">
        <v>44406</v>
      </c>
      <c r="C416" s="95">
        <v>4395.26</v>
      </c>
      <c r="D416" s="95">
        <f t="shared" si="54"/>
        <v>-5.4206823821932627E-3</v>
      </c>
      <c r="E416" s="95">
        <f t="shared" si="55"/>
        <v>0.37072223507914509</v>
      </c>
      <c r="F416" s="96">
        <f t="shared" si="56"/>
        <v>0.57047283601523235</v>
      </c>
      <c r="G416" s="96">
        <f t="shared" si="57"/>
        <v>0.56649407187380907</v>
      </c>
      <c r="H416" s="96" t="str">
        <f t="shared" si="58"/>
        <v/>
      </c>
      <c r="I416" s="96" t="str">
        <f t="shared" si="59"/>
        <v/>
      </c>
      <c r="J416" s="96" t="str">
        <f t="shared" si="60"/>
        <v/>
      </c>
      <c r="K416" s="96" t="str">
        <f t="shared" si="61"/>
        <v/>
      </c>
      <c r="L416" s="96"/>
      <c r="M416" s="106">
        <f>IF(D416="","",ABS(D416-G$5))</f>
        <v>5.4206823821932627E-3</v>
      </c>
    </row>
    <row r="417" spans="2:13" ht="15.75" customHeight="1" x14ac:dyDescent="0.55000000000000004">
      <c r="B417" s="94">
        <v>44407</v>
      </c>
      <c r="C417" s="95">
        <v>4395.26</v>
      </c>
      <c r="D417" s="95">
        <f t="shared" si="54"/>
        <v>0</v>
      </c>
      <c r="E417" s="95">
        <f t="shared" si="55"/>
        <v>4.6348691292451449E-2</v>
      </c>
      <c r="F417" s="96">
        <f t="shared" si="56"/>
        <v>0</v>
      </c>
      <c r="G417" s="96">
        <f t="shared" si="57"/>
        <v>7.4634901351159952E-2</v>
      </c>
      <c r="H417" s="96" t="str">
        <f t="shared" si="58"/>
        <v/>
      </c>
      <c r="I417" s="96" t="str">
        <f t="shared" si="59"/>
        <v/>
      </c>
      <c r="J417" s="96" t="str">
        <f t="shared" si="60"/>
        <v/>
      </c>
      <c r="K417" s="96" t="str">
        <f t="shared" si="61"/>
        <v/>
      </c>
      <c r="L417" s="96"/>
      <c r="M417" s="106">
        <f>IF(D417="","",ABS(D417-G$5))</f>
        <v>0</v>
      </c>
    </row>
    <row r="418" spans="2:13" ht="15.75" customHeight="1" x14ac:dyDescent="0.55000000000000004">
      <c r="B418" s="94">
        <v>44410</v>
      </c>
      <c r="C418" s="95">
        <v>4387.16</v>
      </c>
      <c r="D418" s="95">
        <f t="shared" si="54"/>
        <v>-1.8445946098472469E-3</v>
      </c>
      <c r="E418" s="95">
        <f t="shared" si="55"/>
        <v>0.15672920213210179</v>
      </c>
      <c r="F418" s="96">
        <f t="shared" si="56"/>
        <v>0.19412521232284455</v>
      </c>
      <c r="G418" s="96">
        <f t="shared" si="57"/>
        <v>0.2650951342062397</v>
      </c>
      <c r="H418" s="96" t="str">
        <f t="shared" si="58"/>
        <v/>
      </c>
      <c r="I418" s="96" t="str">
        <f t="shared" si="59"/>
        <v/>
      </c>
      <c r="J418" s="96" t="str">
        <f t="shared" si="60"/>
        <v/>
      </c>
      <c r="K418" s="96" t="str">
        <f t="shared" si="61"/>
        <v/>
      </c>
      <c r="L418" s="96"/>
      <c r="M418" s="106">
        <f>IF(D418="","",ABS(D418-G$5))</f>
        <v>1.8445946098472469E-3</v>
      </c>
    </row>
    <row r="419" spans="2:13" ht="15.75" customHeight="1" x14ac:dyDescent="0.55000000000000004">
      <c r="B419" s="94">
        <v>44411</v>
      </c>
      <c r="C419" s="95">
        <v>4423.1499999999996</v>
      </c>
      <c r="D419" s="95">
        <f t="shared" si="54"/>
        <v>8.170019032652822E-3</v>
      </c>
      <c r="E419" s="95">
        <f t="shared" si="55"/>
        <v>0.44254511202868285</v>
      </c>
      <c r="F419" s="96">
        <f t="shared" si="56"/>
        <v>0.85981313776404744</v>
      </c>
      <c r="G419" s="96">
        <f t="shared" si="57"/>
        <v>0.7655502032229512</v>
      </c>
      <c r="H419" s="96" t="str">
        <f t="shared" si="58"/>
        <v/>
      </c>
      <c r="I419" s="96" t="str">
        <f t="shared" si="59"/>
        <v/>
      </c>
      <c r="J419" s="96" t="str">
        <f t="shared" si="60"/>
        <v/>
      </c>
      <c r="K419" s="96" t="str">
        <f t="shared" si="61"/>
        <v/>
      </c>
      <c r="L419" s="96"/>
      <c r="M419" s="106">
        <f>IF(D419="","",ABS(D419-G$5))</f>
        <v>8.170019032652822E-3</v>
      </c>
    </row>
    <row r="420" spans="2:13" ht="15.75" customHeight="1" x14ac:dyDescent="0.55000000000000004">
      <c r="B420" s="94">
        <v>44412</v>
      </c>
      <c r="C420" s="95">
        <v>4436.5200000000004</v>
      </c>
      <c r="D420" s="95">
        <f t="shared" si="54"/>
        <v>3.0181733968323403E-3</v>
      </c>
      <c r="E420" s="95">
        <f t="shared" si="55"/>
        <v>0.1342587546832173</v>
      </c>
      <c r="F420" s="96">
        <f t="shared" si="56"/>
        <v>0.31763269195270954</v>
      </c>
      <c r="G420" s="96">
        <f t="shared" si="57"/>
        <v>0.2440843400486403</v>
      </c>
      <c r="H420" s="96" t="str">
        <f t="shared" si="58"/>
        <v/>
      </c>
      <c r="I420" s="96" t="str">
        <f t="shared" si="59"/>
        <v/>
      </c>
      <c r="J420" s="96" t="str">
        <f t="shared" si="60"/>
        <v/>
      </c>
      <c r="K420" s="96" t="str">
        <f t="shared" si="61"/>
        <v/>
      </c>
      <c r="L420" s="96"/>
      <c r="M420" s="106">
        <f>IF(D420="","",ABS(D420-G$5))</f>
        <v>3.0181733968323403E-3</v>
      </c>
    </row>
    <row r="421" spans="2:13" ht="15.75" customHeight="1" x14ac:dyDescent="0.55000000000000004">
      <c r="B421" s="94">
        <v>44413</v>
      </c>
      <c r="C421" s="95">
        <v>4436.5200000000004</v>
      </c>
      <c r="D421" s="95">
        <f t="shared" si="54"/>
        <v>0</v>
      </c>
      <c r="E421" s="95">
        <f t="shared" si="55"/>
        <v>4.6348691292451449E-2</v>
      </c>
      <c r="F421" s="96">
        <f t="shared" si="56"/>
        <v>0</v>
      </c>
      <c r="G421" s="96">
        <f t="shared" si="57"/>
        <v>8.8785548394617872E-2</v>
      </c>
      <c r="H421" s="96" t="str">
        <f t="shared" si="58"/>
        <v/>
      </c>
      <c r="I421" s="96" t="str">
        <f t="shared" si="59"/>
        <v/>
      </c>
      <c r="J421" s="96" t="str">
        <f t="shared" si="60"/>
        <v/>
      </c>
      <c r="K421" s="96" t="str">
        <f t="shared" si="61"/>
        <v/>
      </c>
      <c r="L421" s="96"/>
      <c r="M421" s="106">
        <f>IF(D421="","",ABS(D421-G$5))</f>
        <v>0</v>
      </c>
    </row>
    <row r="422" spans="2:13" ht="15.75" customHeight="1" x14ac:dyDescent="0.55000000000000004">
      <c r="B422" s="94">
        <v>44414</v>
      </c>
      <c r="C422" s="95">
        <v>4436.5200000000004</v>
      </c>
      <c r="D422" s="95">
        <f t="shared" si="54"/>
        <v>0</v>
      </c>
      <c r="E422" s="95">
        <f t="shared" si="55"/>
        <v>4.6348691292451449E-2</v>
      </c>
      <c r="F422" s="96">
        <f t="shared" si="56"/>
        <v>0</v>
      </c>
      <c r="G422" s="96">
        <f t="shared" si="57"/>
        <v>9.3547226546843595E-2</v>
      </c>
      <c r="H422" s="96" t="str">
        <f t="shared" si="58"/>
        <v/>
      </c>
      <c r="I422" s="96" t="str">
        <f t="shared" si="59"/>
        <v/>
      </c>
      <c r="J422" s="96" t="str">
        <f t="shared" si="60"/>
        <v/>
      </c>
      <c r="K422" s="96" t="str">
        <f t="shared" si="61"/>
        <v/>
      </c>
      <c r="L422" s="96"/>
      <c r="M422" s="106">
        <f>IF(D422="","",ABS(D422-G$5))</f>
        <v>0</v>
      </c>
    </row>
    <row r="423" spans="2:13" ht="15.75" customHeight="1" x14ac:dyDescent="0.55000000000000004">
      <c r="B423" s="94">
        <v>44417</v>
      </c>
      <c r="C423" s="95">
        <v>4468</v>
      </c>
      <c r="D423" s="95">
        <f t="shared" si="54"/>
        <v>7.0705958657061698E-3</v>
      </c>
      <c r="E423" s="95">
        <f t="shared" si="55"/>
        <v>0.37675564796504923</v>
      </c>
      <c r="F423" s="96">
        <f t="shared" si="56"/>
        <v>0.74410979862556481</v>
      </c>
      <c r="G423" s="96">
        <f t="shared" si="57"/>
        <v>0.77698101282563903</v>
      </c>
      <c r="H423" s="96" t="str">
        <f t="shared" si="58"/>
        <v/>
      </c>
      <c r="I423" s="96" t="str">
        <f t="shared" si="59"/>
        <v/>
      </c>
      <c r="J423" s="96" t="str">
        <f t="shared" si="60"/>
        <v/>
      </c>
      <c r="K423" s="96" t="str">
        <f t="shared" si="61"/>
        <v/>
      </c>
      <c r="L423" s="96"/>
      <c r="M423" s="106">
        <f>IF(D423="","",ABS(D423-G$5))</f>
        <v>7.0705958657061698E-3</v>
      </c>
    </row>
    <row r="424" spans="2:13" ht="15.75" customHeight="1" x14ac:dyDescent="0.55000000000000004">
      <c r="B424" s="94">
        <v>44418</v>
      </c>
      <c r="C424" s="95">
        <v>4447.7</v>
      </c>
      <c r="D424" s="95">
        <f t="shared" si="54"/>
        <v>-4.5537725764251899E-3</v>
      </c>
      <c r="E424" s="95">
        <f t="shared" si="55"/>
        <v>0.31884636668955563</v>
      </c>
      <c r="F424" s="96">
        <f t="shared" si="56"/>
        <v>0.47923921253445068</v>
      </c>
      <c r="G424" s="96">
        <f t="shared" si="57"/>
        <v>0.67705117210759835</v>
      </c>
      <c r="H424" s="96" t="str">
        <f t="shared" si="58"/>
        <v/>
      </c>
      <c r="I424" s="96" t="str">
        <f t="shared" si="59"/>
        <v/>
      </c>
      <c r="J424" s="96" t="str">
        <f t="shared" si="60"/>
        <v/>
      </c>
      <c r="K424" s="96" t="str">
        <f t="shared" si="61"/>
        <v/>
      </c>
      <c r="L424" s="96"/>
      <c r="M424" s="106">
        <f>IF(D424="","",ABS(D424-G$5))</f>
        <v>4.5537725764251899E-3</v>
      </c>
    </row>
    <row r="425" spans="2:13" ht="15.75" customHeight="1" x14ac:dyDescent="0.55000000000000004">
      <c r="B425" s="94">
        <v>44419</v>
      </c>
      <c r="C425" s="95">
        <v>4460.83</v>
      </c>
      <c r="D425" s="95">
        <f t="shared" si="54"/>
        <v>2.9477387419454388E-3</v>
      </c>
      <c r="E425" s="95">
        <f t="shared" si="55"/>
        <v>0.13004394610374603</v>
      </c>
      <c r="F425" s="96">
        <f t="shared" si="56"/>
        <v>0.31022014598634229</v>
      </c>
      <c r="G425" s="96">
        <f t="shared" si="57"/>
        <v>0.28985236636777195</v>
      </c>
      <c r="H425" s="96" t="str">
        <f t="shared" si="58"/>
        <v/>
      </c>
      <c r="I425" s="96" t="str">
        <f t="shared" si="59"/>
        <v/>
      </c>
      <c r="J425" s="96" t="str">
        <f t="shared" si="60"/>
        <v/>
      </c>
      <c r="K425" s="96" t="str">
        <f t="shared" si="61"/>
        <v/>
      </c>
      <c r="L425" s="96"/>
      <c r="M425" s="106">
        <f>IF(D425="","",ABS(D425-G$5))</f>
        <v>2.9477387419454388E-3</v>
      </c>
    </row>
    <row r="426" spans="2:13" ht="15.75" customHeight="1" x14ac:dyDescent="0.55000000000000004">
      <c r="B426" s="94">
        <v>44420</v>
      </c>
      <c r="C426" s="95">
        <v>4468</v>
      </c>
      <c r="D426" s="95">
        <f t="shared" si="54"/>
        <v>1.6060338344795659E-3</v>
      </c>
      <c r="E426" s="95">
        <f t="shared" si="55"/>
        <v>4.9756346708444185E-2</v>
      </c>
      <c r="F426" s="96">
        <f t="shared" si="56"/>
        <v>0.1690190665480889</v>
      </c>
      <c r="G426" s="96">
        <f t="shared" si="57"/>
        <v>0.1168200532737422</v>
      </c>
      <c r="H426" s="96" t="str">
        <f t="shared" si="58"/>
        <v/>
      </c>
      <c r="I426" s="96" t="str">
        <f t="shared" si="59"/>
        <v/>
      </c>
      <c r="J426" s="96" t="str">
        <f t="shared" si="60"/>
        <v/>
      </c>
      <c r="K426" s="96" t="str">
        <f t="shared" si="61"/>
        <v/>
      </c>
      <c r="L426" s="96"/>
      <c r="M426" s="106">
        <f>IF(D426="","",ABS(D426-G$5))</f>
        <v>1.6060338344795659E-3</v>
      </c>
    </row>
    <row r="427" spans="2:13" ht="15.75" customHeight="1" x14ac:dyDescent="0.55000000000000004">
      <c r="B427" s="94">
        <v>44421</v>
      </c>
      <c r="C427" s="95">
        <v>4468</v>
      </c>
      <c r="D427" s="95">
        <f t="shared" si="54"/>
        <v>0</v>
      </c>
      <c r="E427" s="95">
        <f t="shared" si="55"/>
        <v>4.6348691292451449E-2</v>
      </c>
      <c r="F427" s="96">
        <f t="shared" si="56"/>
        <v>0</v>
      </c>
      <c r="G427" s="96">
        <f t="shared" si="57"/>
        <v>0.11463034884872421</v>
      </c>
      <c r="H427" s="96" t="str">
        <f t="shared" si="58"/>
        <v/>
      </c>
      <c r="I427" s="96" t="str">
        <f t="shared" si="59"/>
        <v/>
      </c>
      <c r="J427" s="96" t="str">
        <f t="shared" si="60"/>
        <v/>
      </c>
      <c r="K427" s="96" t="str">
        <f t="shared" si="61"/>
        <v/>
      </c>
      <c r="L427" s="96"/>
      <c r="M427" s="106">
        <f>IF(D427="","",ABS(D427-G$5))</f>
        <v>0</v>
      </c>
    </row>
    <row r="428" spans="2:13" ht="15.75" customHeight="1" x14ac:dyDescent="0.55000000000000004">
      <c r="B428" s="94">
        <v>44424</v>
      </c>
      <c r="C428" s="95">
        <v>4479.71</v>
      </c>
      <c r="D428" s="95">
        <f t="shared" si="54"/>
        <v>2.6174309818667143E-3</v>
      </c>
      <c r="E428" s="95">
        <f t="shared" si="55"/>
        <v>0.11027833522255108</v>
      </c>
      <c r="F428" s="96">
        <f t="shared" si="56"/>
        <v>0.27545854378125095</v>
      </c>
      <c r="G428" s="96">
        <f t="shared" si="57"/>
        <v>0.28631470896332506</v>
      </c>
      <c r="H428" s="96" t="str">
        <f t="shared" si="58"/>
        <v/>
      </c>
      <c r="I428" s="96" t="str">
        <f t="shared" si="59"/>
        <v/>
      </c>
      <c r="J428" s="96" t="str">
        <f t="shared" si="60"/>
        <v/>
      </c>
      <c r="K428" s="96" t="str">
        <f t="shared" si="61"/>
        <v/>
      </c>
      <c r="L428" s="96"/>
      <c r="M428" s="106">
        <f>IF(D428="","",ABS(D428-G$5))</f>
        <v>2.6174309818667143E-3</v>
      </c>
    </row>
    <row r="429" spans="2:13" ht="15.75" customHeight="1" x14ac:dyDescent="0.55000000000000004">
      <c r="B429" s="94">
        <v>44425</v>
      </c>
      <c r="C429" s="95">
        <v>4448.08</v>
      </c>
      <c r="D429" s="95">
        <f t="shared" si="54"/>
        <v>-7.0857697907681849E-3</v>
      </c>
      <c r="E429" s="95">
        <f t="shared" si="55"/>
        <v>0.47036103797383078</v>
      </c>
      <c r="F429" s="96">
        <f t="shared" si="56"/>
        <v>0.74570670312084497</v>
      </c>
      <c r="G429" s="96">
        <f t="shared" si="57"/>
        <v>1.1922568330405028</v>
      </c>
      <c r="H429" s="96" t="str">
        <f t="shared" si="58"/>
        <v/>
      </c>
      <c r="I429" s="96" t="str">
        <f t="shared" si="59"/>
        <v/>
      </c>
      <c r="J429" s="96" t="str">
        <f t="shared" si="60"/>
        <v/>
      </c>
      <c r="K429" s="96" t="str">
        <f t="shared" si="61"/>
        <v/>
      </c>
      <c r="L429" s="96"/>
      <c r="M429" s="106">
        <f>IF(D429="","",ABS(D429-G$5))</f>
        <v>7.0857697907681849E-3</v>
      </c>
    </row>
    <row r="430" spans="2:13" ht="15.75" customHeight="1" x14ac:dyDescent="0.55000000000000004">
      <c r="B430" s="94">
        <v>44426</v>
      </c>
      <c r="C430" s="95">
        <v>4405.8</v>
      </c>
      <c r="D430" s="95">
        <f t="shared" si="54"/>
        <v>-9.5506876945700148E-3</v>
      </c>
      <c r="E430" s="95">
        <f t="shared" si="55"/>
        <v>0.6178616844285969</v>
      </c>
      <c r="F430" s="96">
        <f t="shared" si="56"/>
        <v>1.0051147643173028</v>
      </c>
      <c r="G430" s="96">
        <f t="shared" si="57"/>
        <v>1.4634375336744747</v>
      </c>
      <c r="H430" s="96" t="str">
        <f t="shared" si="58"/>
        <v/>
      </c>
      <c r="I430" s="96" t="str">
        <f t="shared" si="59"/>
        <v/>
      </c>
      <c r="J430" s="96" t="str">
        <f t="shared" si="60"/>
        <v/>
      </c>
      <c r="K430" s="96" t="str">
        <f t="shared" si="61"/>
        <v/>
      </c>
      <c r="L430" s="96"/>
      <c r="M430" s="106">
        <f>IF(D430="","",ABS(D430-G$5))</f>
        <v>9.5506876945700148E-3</v>
      </c>
    </row>
    <row r="431" spans="2:13" ht="15.75" customHeight="1" x14ac:dyDescent="0.55000000000000004">
      <c r="B431" s="94">
        <v>44427</v>
      </c>
      <c r="C431" s="95">
        <v>4441.67</v>
      </c>
      <c r="D431" s="95">
        <f t="shared" si="54"/>
        <v>8.1085771490773013E-3</v>
      </c>
      <c r="E431" s="95">
        <f t="shared" si="55"/>
        <v>0.43886843073523707</v>
      </c>
      <c r="F431" s="96">
        <f t="shared" si="56"/>
        <v>0.85334699141896986</v>
      </c>
      <c r="G431" s="96">
        <f t="shared" si="57"/>
        <v>1.0353226300102523</v>
      </c>
      <c r="H431" s="96" t="str">
        <f t="shared" si="58"/>
        <v/>
      </c>
      <c r="I431" s="96" t="str">
        <f t="shared" si="59"/>
        <v/>
      </c>
      <c r="J431" s="96" t="str">
        <f t="shared" si="60"/>
        <v/>
      </c>
      <c r="K431" s="96" t="str">
        <f t="shared" si="61"/>
        <v/>
      </c>
      <c r="L431" s="96"/>
      <c r="M431" s="106">
        <f>IF(D431="","",ABS(D431-G$5))</f>
        <v>8.1085771490773013E-3</v>
      </c>
    </row>
    <row r="432" spans="2:13" ht="15.75" customHeight="1" x14ac:dyDescent="0.55000000000000004">
      <c r="B432" s="94">
        <v>44428</v>
      </c>
      <c r="C432" s="95">
        <v>4441.67</v>
      </c>
      <c r="D432" s="95">
        <f t="shared" si="54"/>
        <v>0</v>
      </c>
      <c r="E432" s="95">
        <f t="shared" si="55"/>
        <v>4.6348691292451449E-2</v>
      </c>
      <c r="F432" s="96">
        <f t="shared" si="56"/>
        <v>0</v>
      </c>
      <c r="G432" s="96">
        <f t="shared" si="57"/>
        <v>0.11517794574895987</v>
      </c>
      <c r="H432" s="96" t="str">
        <f t="shared" si="58"/>
        <v/>
      </c>
      <c r="I432" s="96" t="str">
        <f t="shared" si="59"/>
        <v/>
      </c>
      <c r="J432" s="96" t="str">
        <f t="shared" si="60"/>
        <v/>
      </c>
      <c r="K432" s="96" t="str">
        <f t="shared" si="61"/>
        <v/>
      </c>
      <c r="L432" s="96"/>
      <c r="M432" s="106">
        <f>IF(D432="","",ABS(D432-G$5))</f>
        <v>0</v>
      </c>
    </row>
    <row r="433" spans="2:13" ht="15.75" customHeight="1" x14ac:dyDescent="0.55000000000000004">
      <c r="B433" s="94">
        <v>44431</v>
      </c>
      <c r="C433" s="95">
        <v>4479.53</v>
      </c>
      <c r="D433" s="95">
        <f t="shared" si="54"/>
        <v>8.487698356534068E-3</v>
      </c>
      <c r="E433" s="95">
        <f t="shared" si="55"/>
        <v>0.46155503749740712</v>
      </c>
      <c r="F433" s="96">
        <f t="shared" si="56"/>
        <v>0.89324572282626413</v>
      </c>
      <c r="G433" s="96">
        <f t="shared" si="57"/>
        <v>1.1292989929656687</v>
      </c>
      <c r="H433" s="96" t="str">
        <f t="shared" si="58"/>
        <v/>
      </c>
      <c r="I433" s="96" t="str">
        <f t="shared" si="59"/>
        <v/>
      </c>
      <c r="J433" s="96" t="str">
        <f t="shared" si="60"/>
        <v/>
      </c>
      <c r="K433" s="96" t="str">
        <f t="shared" si="61"/>
        <v/>
      </c>
      <c r="L433" s="96"/>
      <c r="M433" s="106">
        <f>IF(D433="","",ABS(D433-G$5))</f>
        <v>8.487698356534068E-3</v>
      </c>
    </row>
    <row r="434" spans="2:13" ht="15.75" customHeight="1" x14ac:dyDescent="0.55000000000000004">
      <c r="B434" s="94">
        <v>44432</v>
      </c>
      <c r="C434" s="95">
        <v>4486.2299999999996</v>
      </c>
      <c r="D434" s="95">
        <f t="shared" si="54"/>
        <v>1.4945751943348515E-3</v>
      </c>
      <c r="E434" s="95">
        <f t="shared" si="55"/>
        <v>4.3086663531995383E-2</v>
      </c>
      <c r="F434" s="96">
        <f t="shared" si="56"/>
        <v>0.1572891546922259</v>
      </c>
      <c r="G434" s="96">
        <f t="shared" si="57"/>
        <v>0.1110552457094884</v>
      </c>
      <c r="H434" s="96" t="str">
        <f t="shared" si="58"/>
        <v/>
      </c>
      <c r="I434" s="96" t="str">
        <f t="shared" si="59"/>
        <v/>
      </c>
      <c r="J434" s="96" t="str">
        <f t="shared" si="60"/>
        <v/>
      </c>
      <c r="K434" s="96" t="str">
        <f t="shared" si="61"/>
        <v/>
      </c>
      <c r="L434" s="96"/>
      <c r="M434" s="106">
        <f>IF(D434="","",ABS(D434-G$5))</f>
        <v>1.4945751943348515E-3</v>
      </c>
    </row>
    <row r="435" spans="2:13" ht="15.75" customHeight="1" x14ac:dyDescent="0.55000000000000004">
      <c r="B435" s="94">
        <v>44433</v>
      </c>
      <c r="C435" s="95">
        <v>4509.37</v>
      </c>
      <c r="D435" s="95">
        <f t="shared" si="54"/>
        <v>5.144748774946202E-3</v>
      </c>
      <c r="E435" s="95">
        <f t="shared" si="55"/>
        <v>0.26151299001607947</v>
      </c>
      <c r="F435" s="96">
        <f t="shared" si="56"/>
        <v>0.54143357188213381</v>
      </c>
      <c r="G435" s="96">
        <f t="shared" si="57"/>
        <v>0.69322452449574512</v>
      </c>
      <c r="H435" s="96" t="str">
        <f t="shared" si="58"/>
        <v/>
      </c>
      <c r="I435" s="96" t="str">
        <f t="shared" si="59"/>
        <v/>
      </c>
      <c r="J435" s="96" t="str">
        <f t="shared" si="60"/>
        <v/>
      </c>
      <c r="K435" s="96" t="str">
        <f t="shared" si="61"/>
        <v/>
      </c>
      <c r="L435" s="96"/>
      <c r="M435" s="106">
        <f>IF(D435="","",ABS(D435-G$5))</f>
        <v>5.144748774946202E-3</v>
      </c>
    </row>
    <row r="436" spans="2:13" ht="15.75" customHeight="1" x14ac:dyDescent="0.55000000000000004">
      <c r="B436" s="94">
        <v>44434</v>
      </c>
      <c r="C436" s="95">
        <v>4470</v>
      </c>
      <c r="D436" s="95">
        <f t="shared" si="54"/>
        <v>-8.7690455528976127E-3</v>
      </c>
      <c r="E436" s="95">
        <f t="shared" si="55"/>
        <v>0.57108823164335709</v>
      </c>
      <c r="F436" s="96">
        <f t="shared" si="56"/>
        <v>0.92285471329980406</v>
      </c>
      <c r="G436" s="96">
        <f t="shared" si="57"/>
        <v>1.4246336119267724</v>
      </c>
      <c r="H436" s="96" t="str">
        <f t="shared" si="58"/>
        <v/>
      </c>
      <c r="I436" s="96" t="str">
        <f t="shared" si="59"/>
        <v/>
      </c>
      <c r="J436" s="96" t="str">
        <f t="shared" si="60"/>
        <v/>
      </c>
      <c r="K436" s="96" t="str">
        <f t="shared" si="61"/>
        <v/>
      </c>
      <c r="L436" s="96"/>
      <c r="M436" s="106">
        <f>IF(D436="","",ABS(D436-G$5))</f>
        <v>8.7690455528976127E-3</v>
      </c>
    </row>
    <row r="437" spans="2:13" ht="15.75" customHeight="1" x14ac:dyDescent="0.55000000000000004">
      <c r="B437" s="94">
        <v>44435</v>
      </c>
      <c r="C437" s="95">
        <v>4509.37</v>
      </c>
      <c r="D437" s="95">
        <f t="shared" si="54"/>
        <v>8.7690455528976891E-3</v>
      </c>
      <c r="E437" s="95">
        <f t="shared" si="55"/>
        <v>0.4783908490584588</v>
      </c>
      <c r="F437" s="96">
        <f t="shared" si="56"/>
        <v>0.92285471329981206</v>
      </c>
      <c r="G437" s="96">
        <f t="shared" si="57"/>
        <v>1.1688582164655696</v>
      </c>
      <c r="H437" s="96" t="str">
        <f t="shared" si="58"/>
        <v/>
      </c>
      <c r="I437" s="96" t="str">
        <f t="shared" si="59"/>
        <v/>
      </c>
      <c r="J437" s="96" t="str">
        <f t="shared" si="60"/>
        <v/>
      </c>
      <c r="K437" s="96" t="str">
        <f t="shared" si="61"/>
        <v/>
      </c>
      <c r="L437" s="96"/>
      <c r="M437" s="106">
        <f>IF(D437="","",ABS(D437-G$5))</f>
        <v>8.7690455528976891E-3</v>
      </c>
    </row>
    <row r="438" spans="2:13" ht="15.75" customHeight="1" x14ac:dyDescent="0.55000000000000004">
      <c r="B438" s="94">
        <v>44438</v>
      </c>
      <c r="C438" s="95">
        <v>4528.79</v>
      </c>
      <c r="D438" s="95">
        <f t="shared" si="54"/>
        <v>4.2973414690568616E-3</v>
      </c>
      <c r="E438" s="95">
        <f t="shared" si="55"/>
        <v>0.21080415089556226</v>
      </c>
      <c r="F438" s="96">
        <f t="shared" si="56"/>
        <v>0.45225239228770758</v>
      </c>
      <c r="G438" s="96">
        <f t="shared" si="57"/>
        <v>0.53509228122614316</v>
      </c>
      <c r="H438" s="96" t="str">
        <f t="shared" si="58"/>
        <v/>
      </c>
      <c r="I438" s="96" t="str">
        <f t="shared" si="59"/>
        <v/>
      </c>
      <c r="J438" s="96" t="str">
        <f t="shared" si="60"/>
        <v/>
      </c>
      <c r="K438" s="96" t="str">
        <f t="shared" si="61"/>
        <v/>
      </c>
      <c r="L438" s="96"/>
      <c r="M438" s="106">
        <f>IF(D438="","",ABS(D438-G$5))</f>
        <v>4.2973414690568616E-3</v>
      </c>
    </row>
    <row r="439" spans="2:13" ht="15.75" customHeight="1" x14ac:dyDescent="0.55000000000000004">
      <c r="B439" s="94">
        <v>44439</v>
      </c>
      <c r="C439" s="95">
        <v>4522.68</v>
      </c>
      <c r="D439" s="95">
        <f t="shared" si="54"/>
        <v>-1.3500571571324227E-3</v>
      </c>
      <c r="E439" s="95">
        <f t="shared" si="55"/>
        <v>0.12713608916918243</v>
      </c>
      <c r="F439" s="96">
        <f t="shared" si="56"/>
        <v>0.14208007053539567</v>
      </c>
      <c r="G439" s="96">
        <f t="shared" si="57"/>
        <v>0.3382196241378212</v>
      </c>
      <c r="H439" s="96" t="str">
        <f t="shared" si="58"/>
        <v/>
      </c>
      <c r="I439" s="96" t="str">
        <f t="shared" si="59"/>
        <v/>
      </c>
      <c r="J439" s="96" t="str">
        <f t="shared" si="60"/>
        <v/>
      </c>
      <c r="K439" s="96" t="str">
        <f t="shared" si="61"/>
        <v/>
      </c>
      <c r="L439" s="96"/>
      <c r="M439" s="106">
        <f>IF(D439="","",ABS(D439-G$5))</f>
        <v>1.3500571571324227E-3</v>
      </c>
    </row>
    <row r="440" spans="2:13" ht="15.75" customHeight="1" x14ac:dyDescent="0.55000000000000004">
      <c r="B440" s="94">
        <v>44440</v>
      </c>
      <c r="C440" s="95">
        <v>4536.1899999999996</v>
      </c>
      <c r="D440" s="95">
        <f t="shared" si="54"/>
        <v>2.9827141831306999E-3</v>
      </c>
      <c r="E440" s="95">
        <f t="shared" si="55"/>
        <v>0.13213687592380602</v>
      </c>
      <c r="F440" s="96">
        <f t="shared" si="56"/>
        <v>0.31390096284980273</v>
      </c>
      <c r="G440" s="96">
        <f t="shared" si="57"/>
        <v>0.36802016809517418</v>
      </c>
      <c r="H440" s="96" t="str">
        <f t="shared" si="58"/>
        <v/>
      </c>
      <c r="I440" s="96" t="str">
        <f t="shared" si="59"/>
        <v/>
      </c>
      <c r="J440" s="96" t="str">
        <f t="shared" si="60"/>
        <v/>
      </c>
      <c r="K440" s="96" t="str">
        <f t="shared" si="61"/>
        <v/>
      </c>
      <c r="L440" s="96"/>
      <c r="M440" s="106">
        <f>IF(D440="","",ABS(D440-G$5))</f>
        <v>2.9827141831306999E-3</v>
      </c>
    </row>
    <row r="441" spans="2:13" ht="15.75" customHeight="1" x14ac:dyDescent="0.55000000000000004">
      <c r="B441" s="94">
        <v>44441</v>
      </c>
      <c r="C441" s="95">
        <v>4535.43</v>
      </c>
      <c r="D441" s="95">
        <f t="shared" si="54"/>
        <v>-1.6755551969275482E-4</v>
      </c>
      <c r="E441" s="95">
        <f t="shared" si="55"/>
        <v>5.6375210810049377E-2</v>
      </c>
      <c r="F441" s="96">
        <f t="shared" si="56"/>
        <v>1.7633549758076204E-2</v>
      </c>
      <c r="G441" s="96">
        <f t="shared" si="57"/>
        <v>0.16528007646098342</v>
      </c>
      <c r="H441" s="96" t="str">
        <f t="shared" si="58"/>
        <v/>
      </c>
      <c r="I441" s="96" t="str">
        <f t="shared" si="59"/>
        <v/>
      </c>
      <c r="J441" s="96" t="str">
        <f t="shared" si="60"/>
        <v/>
      </c>
      <c r="K441" s="96" t="str">
        <f t="shared" si="61"/>
        <v/>
      </c>
      <c r="L441" s="96"/>
      <c r="M441" s="106">
        <f>IF(D441="","",ABS(D441-G$5))</f>
        <v>1.6755551969275482E-4</v>
      </c>
    </row>
    <row r="442" spans="2:13" ht="15.75" customHeight="1" x14ac:dyDescent="0.55000000000000004">
      <c r="B442" s="94">
        <v>44442</v>
      </c>
      <c r="C442" s="95">
        <v>4535.43</v>
      </c>
      <c r="D442" s="95">
        <f t="shared" si="54"/>
        <v>0</v>
      </c>
      <c r="E442" s="95">
        <f t="shared" si="55"/>
        <v>4.6348691292451449E-2</v>
      </c>
      <c r="F442" s="96">
        <f t="shared" si="56"/>
        <v>0</v>
      </c>
      <c r="G442" s="96">
        <f t="shared" si="57"/>
        <v>0.1430880943953475</v>
      </c>
      <c r="H442" s="96" t="str">
        <f t="shared" si="58"/>
        <v/>
      </c>
      <c r="I442" s="96" t="str">
        <f t="shared" si="59"/>
        <v/>
      </c>
      <c r="J442" s="96" t="str">
        <f t="shared" si="60"/>
        <v/>
      </c>
      <c r="K442" s="96" t="str">
        <f t="shared" si="61"/>
        <v/>
      </c>
      <c r="L442" s="96"/>
      <c r="M442" s="106">
        <f>IF(D442="","",ABS(D442-G$5))</f>
        <v>0</v>
      </c>
    </row>
    <row r="443" spans="2:13" ht="15.75" customHeight="1" x14ac:dyDescent="0.55000000000000004">
      <c r="B443" s="94">
        <v>44446</v>
      </c>
      <c r="C443" s="95">
        <v>4520.03</v>
      </c>
      <c r="D443" s="95">
        <f t="shared" si="54"/>
        <v>-3.401266163481994E-3</v>
      </c>
      <c r="E443" s="95">
        <f t="shared" si="55"/>
        <v>0.24988040206647905</v>
      </c>
      <c r="F443" s="96">
        <f t="shared" si="56"/>
        <v>0.35794939041219842</v>
      </c>
      <c r="G443" s="96">
        <f t="shared" si="57"/>
        <v>0.78754116946049513</v>
      </c>
      <c r="H443" s="96" t="str">
        <f t="shared" si="58"/>
        <v/>
      </c>
      <c r="I443" s="96" t="str">
        <f t="shared" si="59"/>
        <v/>
      </c>
      <c r="J443" s="96" t="str">
        <f t="shared" si="60"/>
        <v/>
      </c>
      <c r="K443" s="96" t="str">
        <f t="shared" si="61"/>
        <v/>
      </c>
      <c r="L443" s="96"/>
      <c r="M443" s="106">
        <f>IF(D443="","",ABS(D443-G$5))</f>
        <v>3.401266163481994E-3</v>
      </c>
    </row>
    <row r="444" spans="2:13" ht="15.75" customHeight="1" x14ac:dyDescent="0.55000000000000004">
      <c r="B444" s="94">
        <v>44447</v>
      </c>
      <c r="C444" s="95">
        <v>4514.07</v>
      </c>
      <c r="D444" s="95">
        <f t="shared" si="54"/>
        <v>-1.3194454045593487E-3</v>
      </c>
      <c r="E444" s="95">
        <f t="shared" si="55"/>
        <v>0.12530428240325422</v>
      </c>
      <c r="F444" s="96">
        <f t="shared" si="56"/>
        <v>0.13885848844028453</v>
      </c>
      <c r="G444" s="96">
        <f t="shared" si="57"/>
        <v>0.41271954320782145</v>
      </c>
      <c r="H444" s="96" t="str">
        <f t="shared" si="58"/>
        <v/>
      </c>
      <c r="I444" s="96" t="str">
        <f t="shared" si="59"/>
        <v/>
      </c>
      <c r="J444" s="96" t="str">
        <f t="shared" si="60"/>
        <v/>
      </c>
      <c r="K444" s="96" t="str">
        <f t="shared" si="61"/>
        <v/>
      </c>
      <c r="L444" s="96"/>
      <c r="M444" s="106">
        <f>IF(D444="","",ABS(D444-G$5))</f>
        <v>1.3194454045593487E-3</v>
      </c>
    </row>
    <row r="445" spans="2:13" ht="15.75" customHeight="1" x14ac:dyDescent="0.55000000000000004">
      <c r="B445" s="94">
        <v>44448</v>
      </c>
      <c r="C445" s="95">
        <v>4493.28</v>
      </c>
      <c r="D445" s="95">
        <f t="shared" si="54"/>
        <v>-4.6162382762889205E-3</v>
      </c>
      <c r="E445" s="95">
        <f t="shared" si="55"/>
        <v>0.32258431313269625</v>
      </c>
      <c r="F445" s="96">
        <f t="shared" si="56"/>
        <v>0.48581310534765043</v>
      </c>
      <c r="G445" s="96">
        <f t="shared" si="57"/>
        <v>1.0557247601281277</v>
      </c>
      <c r="H445" s="96" t="str">
        <f t="shared" si="58"/>
        <v/>
      </c>
      <c r="I445" s="96" t="str">
        <f t="shared" si="59"/>
        <v/>
      </c>
      <c r="J445" s="96" t="str">
        <f t="shared" si="60"/>
        <v/>
      </c>
      <c r="K445" s="96" t="str">
        <f t="shared" si="61"/>
        <v/>
      </c>
      <c r="L445" s="96"/>
      <c r="M445" s="106">
        <f>IF(D445="","",ABS(D445-G$5))</f>
        <v>4.6162382762889205E-3</v>
      </c>
    </row>
    <row r="446" spans="2:13" ht="15.75" customHeight="1" x14ac:dyDescent="0.55000000000000004">
      <c r="B446" s="94">
        <v>44449</v>
      </c>
      <c r="C446" s="95">
        <v>4458.58</v>
      </c>
      <c r="D446" s="95">
        <f t="shared" si="54"/>
        <v>-7.7526176231305427E-3</v>
      </c>
      <c r="E446" s="95">
        <f t="shared" si="55"/>
        <v>0.51026520119512853</v>
      </c>
      <c r="F446" s="96">
        <f t="shared" si="56"/>
        <v>0.81588579632284197</v>
      </c>
      <c r="G446" s="96">
        <f t="shared" si="57"/>
        <v>1.5380479008284986</v>
      </c>
      <c r="H446" s="96" t="str">
        <f t="shared" si="58"/>
        <v/>
      </c>
      <c r="I446" s="96" t="str">
        <f t="shared" si="59"/>
        <v/>
      </c>
      <c r="J446" s="96" t="str">
        <f t="shared" si="60"/>
        <v/>
      </c>
      <c r="K446" s="96" t="str">
        <f t="shared" si="61"/>
        <v/>
      </c>
      <c r="L446" s="96"/>
      <c r="M446" s="106">
        <f>IF(D446="","",ABS(D446-G$5))</f>
        <v>7.7526176231305427E-3</v>
      </c>
    </row>
    <row r="447" spans="2:13" ht="15.75" customHeight="1" x14ac:dyDescent="0.55000000000000004">
      <c r="B447" s="94">
        <v>44452</v>
      </c>
      <c r="C447" s="95">
        <v>4468.83</v>
      </c>
      <c r="D447" s="95">
        <f t="shared" si="54"/>
        <v>2.2962997115656115E-3</v>
      </c>
      <c r="E447" s="95">
        <f t="shared" si="55"/>
        <v>9.1061845337352426E-2</v>
      </c>
      <c r="F447" s="96">
        <f t="shared" si="56"/>
        <v>0.24166267573636452</v>
      </c>
      <c r="G447" s="96">
        <f t="shared" si="57"/>
        <v>0.28812366120813138</v>
      </c>
      <c r="H447" s="96" t="str">
        <f t="shared" si="58"/>
        <v/>
      </c>
      <c r="I447" s="96" t="str">
        <f t="shared" si="59"/>
        <v/>
      </c>
      <c r="J447" s="96" t="str">
        <f t="shared" si="60"/>
        <v/>
      </c>
      <c r="K447" s="96" t="str">
        <f t="shared" si="61"/>
        <v/>
      </c>
      <c r="L447" s="96"/>
      <c r="M447" s="106">
        <f>IF(D447="","",ABS(D447-G$5))</f>
        <v>2.2962997115656115E-3</v>
      </c>
    </row>
    <row r="448" spans="2:13" ht="15.75" customHeight="1" x14ac:dyDescent="0.55000000000000004">
      <c r="B448" s="94">
        <v>44453</v>
      </c>
      <c r="C448" s="95">
        <v>4443.05</v>
      </c>
      <c r="D448" s="95">
        <f t="shared" si="54"/>
        <v>-5.785551849954015E-3</v>
      </c>
      <c r="E448" s="95">
        <f t="shared" si="55"/>
        <v>0.39255601797443307</v>
      </c>
      <c r="F448" s="96">
        <f t="shared" si="56"/>
        <v>0.60887171375295102</v>
      </c>
      <c r="G448" s="96">
        <f t="shared" si="57"/>
        <v>1.2096721968365112</v>
      </c>
      <c r="H448" s="96" t="str">
        <f t="shared" si="58"/>
        <v/>
      </c>
      <c r="I448" s="96" t="str">
        <f t="shared" si="59"/>
        <v/>
      </c>
      <c r="J448" s="96" t="str">
        <f t="shared" si="60"/>
        <v/>
      </c>
      <c r="K448" s="96" t="str">
        <f t="shared" si="61"/>
        <v/>
      </c>
      <c r="L448" s="96"/>
      <c r="M448" s="106">
        <f>IF(D448="","",ABS(D448-G$5))</f>
        <v>5.785551849954015E-3</v>
      </c>
    </row>
    <row r="449" spans="2:13" ht="15.75" customHeight="1" x14ac:dyDescent="0.55000000000000004">
      <c r="B449" s="94">
        <v>44454</v>
      </c>
      <c r="C449" s="95">
        <v>4480.7</v>
      </c>
      <c r="D449" s="95">
        <f t="shared" si="54"/>
        <v>8.4382066732456781E-3</v>
      </c>
      <c r="E449" s="95">
        <f t="shared" si="55"/>
        <v>0.45859345599081303</v>
      </c>
      <c r="F449" s="96">
        <f t="shared" si="56"/>
        <v>0.88803721604906538</v>
      </c>
      <c r="G449" s="96">
        <f t="shared" si="57"/>
        <v>1.3475842105526901</v>
      </c>
      <c r="H449" s="96" t="str">
        <f t="shared" si="58"/>
        <v/>
      </c>
      <c r="I449" s="96" t="str">
        <f t="shared" si="59"/>
        <v/>
      </c>
      <c r="J449" s="96" t="str">
        <f t="shared" si="60"/>
        <v/>
      </c>
      <c r="K449" s="96" t="str">
        <f t="shared" si="61"/>
        <v/>
      </c>
      <c r="L449" s="96"/>
      <c r="M449" s="106">
        <f>IF(D449="","",ABS(D449-G$5))</f>
        <v>8.4382066732456781E-3</v>
      </c>
    </row>
    <row r="450" spans="2:13" ht="15.75" customHeight="1" x14ac:dyDescent="0.55000000000000004">
      <c r="B450" s="94">
        <v>44455</v>
      </c>
      <c r="C450" s="95">
        <v>4432.99</v>
      </c>
      <c r="D450" s="95">
        <f t="shared" si="54"/>
        <v>-1.0704984269469253E-2</v>
      </c>
      <c r="E450" s="95">
        <f t="shared" si="55"/>
        <v>0.68693477231341293</v>
      </c>
      <c r="F450" s="96">
        <f t="shared" si="56"/>
        <v>1.1265929831571613</v>
      </c>
      <c r="G450" s="96">
        <f t="shared" si="57"/>
        <v>1.765342683810595</v>
      </c>
      <c r="H450" s="96" t="str">
        <f t="shared" si="58"/>
        <v/>
      </c>
      <c r="I450" s="96" t="str">
        <f t="shared" si="59"/>
        <v/>
      </c>
      <c r="J450" s="96" t="str">
        <f t="shared" si="60"/>
        <v/>
      </c>
      <c r="K450" s="96" t="str">
        <f t="shared" si="61"/>
        <v/>
      </c>
      <c r="L450" s="96"/>
      <c r="M450" s="106">
        <f>IF(D450="","",ABS(D450-G$5))</f>
        <v>1.0704984269469253E-2</v>
      </c>
    </row>
    <row r="451" spans="2:13" ht="15.75" customHeight="1" x14ac:dyDescent="0.55000000000000004">
      <c r="B451" s="94">
        <v>44456</v>
      </c>
      <c r="C451" s="95">
        <v>4432.99</v>
      </c>
      <c r="D451" s="95">
        <f t="shared" si="54"/>
        <v>0</v>
      </c>
      <c r="E451" s="95">
        <f t="shared" si="55"/>
        <v>4.6348691292451449E-2</v>
      </c>
      <c r="F451" s="96">
        <f t="shared" si="56"/>
        <v>0</v>
      </c>
      <c r="G451" s="96">
        <f t="shared" si="57"/>
        <v>0.12545492251765472</v>
      </c>
      <c r="H451" s="96" t="str">
        <f t="shared" si="58"/>
        <v/>
      </c>
      <c r="I451" s="96" t="str">
        <f t="shared" si="59"/>
        <v/>
      </c>
      <c r="J451" s="96" t="str">
        <f t="shared" si="60"/>
        <v/>
      </c>
      <c r="K451" s="96" t="str">
        <f t="shared" si="61"/>
        <v/>
      </c>
      <c r="L451" s="96"/>
      <c r="M451" s="106">
        <f>IF(D451="","",ABS(D451-G$5))</f>
        <v>0</v>
      </c>
    </row>
    <row r="452" spans="2:13" ht="15.75" customHeight="1" x14ac:dyDescent="0.55000000000000004">
      <c r="B452" s="94">
        <v>44459</v>
      </c>
      <c r="C452" s="95">
        <v>4357.7299999999996</v>
      </c>
      <c r="D452" s="95">
        <f t="shared" si="54"/>
        <v>-1.7123020373769459E-2</v>
      </c>
      <c r="E452" s="95">
        <f t="shared" si="55"/>
        <v>1.070989946278516</v>
      </c>
      <c r="F452" s="96">
        <f t="shared" si="56"/>
        <v>1.8020273657536354</v>
      </c>
      <c r="G452" s="96">
        <f t="shared" si="57"/>
        <v>2.1974280263274828</v>
      </c>
      <c r="H452" s="96" t="str">
        <f t="shared" si="58"/>
        <v/>
      </c>
      <c r="I452" s="96" t="str">
        <f t="shared" si="59"/>
        <v/>
      </c>
      <c r="J452" s="96" t="str">
        <f t="shared" si="60"/>
        <v/>
      </c>
      <c r="K452" s="96" t="str">
        <f t="shared" si="61"/>
        <v/>
      </c>
      <c r="L452" s="96"/>
      <c r="M452" s="106">
        <f>IF(D452="","",ABS(D452-G$5))</f>
        <v>1.7123020373769459E-2</v>
      </c>
    </row>
    <row r="453" spans="2:13" ht="15.75" customHeight="1" x14ac:dyDescent="0.55000000000000004">
      <c r="B453" s="94">
        <v>44460</v>
      </c>
      <c r="C453" s="95">
        <v>4395.6400000000003</v>
      </c>
      <c r="D453" s="95">
        <f t="shared" si="54"/>
        <v>8.6618609804318559E-3</v>
      </c>
      <c r="E453" s="95">
        <f t="shared" si="55"/>
        <v>0.47197692602098013</v>
      </c>
      <c r="F453" s="96">
        <f t="shared" si="56"/>
        <v>0.91157460450160499</v>
      </c>
      <c r="G453" s="96">
        <f t="shared" si="57"/>
        <v>0.97141629905505034</v>
      </c>
      <c r="H453" s="96" t="str">
        <f t="shared" si="58"/>
        <v/>
      </c>
      <c r="I453" s="96" t="str">
        <f t="shared" si="59"/>
        <v/>
      </c>
      <c r="J453" s="96" t="str">
        <f t="shared" si="60"/>
        <v/>
      </c>
      <c r="K453" s="96" t="str">
        <f t="shared" si="61"/>
        <v/>
      </c>
      <c r="L453" s="96"/>
      <c r="M453" s="106">
        <f>IF(D453="","",ABS(D453-G$5))</f>
        <v>8.6618609804318559E-3</v>
      </c>
    </row>
    <row r="454" spans="2:13" ht="15.75" customHeight="1" x14ac:dyDescent="0.55000000000000004">
      <c r="B454" s="94">
        <v>44461</v>
      </c>
      <c r="C454" s="95">
        <v>4448.9799999999996</v>
      </c>
      <c r="D454" s="95">
        <f t="shared" si="54"/>
        <v>1.2061715863250257E-2</v>
      </c>
      <c r="E454" s="95">
        <f t="shared" si="55"/>
        <v>0.67542418578352048</v>
      </c>
      <c r="F454" s="96">
        <f t="shared" si="56"/>
        <v>1.2693754716789394</v>
      </c>
      <c r="G454" s="96">
        <f t="shared" si="57"/>
        <v>1.3295394334513451</v>
      </c>
      <c r="H454" s="96" t="str">
        <f t="shared" si="58"/>
        <v/>
      </c>
      <c r="I454" s="96" t="str">
        <f t="shared" si="59"/>
        <v/>
      </c>
      <c r="J454" s="96" t="str">
        <f t="shared" si="60"/>
        <v/>
      </c>
      <c r="K454" s="96" t="str">
        <f t="shared" si="61"/>
        <v/>
      </c>
      <c r="L454" s="96"/>
      <c r="M454" s="106">
        <f>IF(D454="","",ABS(D454-G$5))</f>
        <v>1.2061715863250257E-2</v>
      </c>
    </row>
    <row r="455" spans="2:13" ht="15.75" customHeight="1" x14ac:dyDescent="0.55000000000000004">
      <c r="B455" s="94">
        <v>44462</v>
      </c>
      <c r="C455" s="95">
        <v>4455.4799999999996</v>
      </c>
      <c r="D455" s="95">
        <f t="shared" si="54"/>
        <v>1.4599428049598621E-3</v>
      </c>
      <c r="E455" s="95">
        <f t="shared" si="55"/>
        <v>4.1014261926568603E-2</v>
      </c>
      <c r="F455" s="96">
        <f t="shared" si="56"/>
        <v>0.15364444061533505</v>
      </c>
      <c r="G455" s="96">
        <f t="shared" si="57"/>
        <v>8.5070905039582673E-2</v>
      </c>
      <c r="H455" s="96" t="str">
        <f t="shared" si="58"/>
        <v/>
      </c>
      <c r="I455" s="96" t="str">
        <f t="shared" si="59"/>
        <v/>
      </c>
      <c r="J455" s="96" t="str">
        <f t="shared" si="60"/>
        <v/>
      </c>
      <c r="K455" s="96" t="str">
        <f t="shared" si="61"/>
        <v/>
      </c>
      <c r="L455" s="96"/>
      <c r="M455" s="106">
        <f>IF(D455="","",ABS(D455-G$5))</f>
        <v>1.4599428049598621E-3</v>
      </c>
    </row>
    <row r="456" spans="2:13" ht="15.75" customHeight="1" x14ac:dyDescent="0.55000000000000004">
      <c r="B456" s="94">
        <v>44463</v>
      </c>
      <c r="C456" s="95">
        <v>4455.4799999999996</v>
      </c>
      <c r="D456" s="95">
        <f t="shared" si="54"/>
        <v>0</v>
      </c>
      <c r="E456" s="95">
        <f t="shared" si="55"/>
        <v>4.6348691292451449E-2</v>
      </c>
      <c r="F456" s="96">
        <f t="shared" si="56"/>
        <v>0</v>
      </c>
      <c r="G456" s="96">
        <f t="shared" si="57"/>
        <v>0.10128368674002033</v>
      </c>
      <c r="H456" s="96" t="str">
        <f t="shared" si="58"/>
        <v/>
      </c>
      <c r="I456" s="96" t="str">
        <f t="shared" si="59"/>
        <v/>
      </c>
      <c r="J456" s="96" t="str">
        <f t="shared" si="60"/>
        <v/>
      </c>
      <c r="K456" s="96" t="str">
        <f t="shared" si="61"/>
        <v/>
      </c>
      <c r="L456" s="96"/>
      <c r="M456" s="106">
        <f>IF(D456="","",ABS(D456-G$5))</f>
        <v>0</v>
      </c>
    </row>
    <row r="457" spans="2:13" ht="15.75" customHeight="1" x14ac:dyDescent="0.55000000000000004">
      <c r="B457" s="94">
        <v>44466</v>
      </c>
      <c r="C457" s="95">
        <v>4443.1099999999997</v>
      </c>
      <c r="D457" s="95">
        <f t="shared" si="54"/>
        <v>-2.7802175328761427E-3</v>
      </c>
      <c r="E457" s="95">
        <f t="shared" si="55"/>
        <v>0.21271686231818931</v>
      </c>
      <c r="F457" s="96">
        <f t="shared" si="56"/>
        <v>0.29259020707968475</v>
      </c>
      <c r="G457" s="96">
        <f t="shared" si="57"/>
        <v>0.48420682223957517</v>
      </c>
      <c r="H457" s="96" t="str">
        <f t="shared" si="58"/>
        <v/>
      </c>
      <c r="I457" s="96" t="str">
        <f t="shared" si="59"/>
        <v/>
      </c>
      <c r="J457" s="96" t="str">
        <f t="shared" si="60"/>
        <v/>
      </c>
      <c r="K457" s="96" t="str">
        <f t="shared" si="61"/>
        <v/>
      </c>
      <c r="L457" s="96"/>
      <c r="M457" s="106">
        <f>IF(D457="","",ABS(D457-G$5))</f>
        <v>2.7802175328761427E-3</v>
      </c>
    </row>
    <row r="458" spans="2:13" ht="15.75" customHeight="1" x14ac:dyDescent="0.55000000000000004">
      <c r="B458" s="94">
        <v>44467</v>
      </c>
      <c r="C458" s="95">
        <v>4352.34</v>
      </c>
      <c r="D458" s="95">
        <f t="shared" si="54"/>
        <v>-2.0640950191618334E-2</v>
      </c>
      <c r="E458" s="95">
        <f t="shared" si="55"/>
        <v>1.2815028081936624</v>
      </c>
      <c r="F458" s="96">
        <f t="shared" si="56"/>
        <v>2.1722544439317137</v>
      </c>
      <c r="G458" s="96">
        <f t="shared" si="57"/>
        <v>2.2045165508724427</v>
      </c>
      <c r="H458" s="96" t="str">
        <f t="shared" si="58"/>
        <v/>
      </c>
      <c r="I458" s="96" t="str">
        <f t="shared" si="59"/>
        <v/>
      </c>
      <c r="J458" s="96" t="str">
        <f t="shared" si="60"/>
        <v/>
      </c>
      <c r="K458" s="96" t="str">
        <f t="shared" si="61"/>
        <v/>
      </c>
      <c r="L458" s="96"/>
      <c r="M458" s="106">
        <f>IF(D458="","",ABS(D458-G$5))</f>
        <v>2.0640950191618334E-2</v>
      </c>
    </row>
    <row r="459" spans="2:13" ht="15.75" customHeight="1" x14ac:dyDescent="0.55000000000000004">
      <c r="B459" s="94">
        <v>44468</v>
      </c>
      <c r="C459" s="95">
        <v>4359.46</v>
      </c>
      <c r="D459" s="95">
        <f t="shared" si="54"/>
        <v>1.6345649774487975E-3</v>
      </c>
      <c r="E459" s="95">
        <f t="shared" si="55"/>
        <v>5.1463649830209068E-2</v>
      </c>
      <c r="F459" s="96">
        <f t="shared" si="56"/>
        <v>0.17202168520323838</v>
      </c>
      <c r="G459" s="96">
        <f t="shared" si="57"/>
        <v>9.3279048746609805E-2</v>
      </c>
      <c r="H459" s="96" t="str">
        <f t="shared" si="58"/>
        <v/>
      </c>
      <c r="I459" s="96" t="str">
        <f t="shared" si="59"/>
        <v/>
      </c>
      <c r="J459" s="96" t="str">
        <f t="shared" si="60"/>
        <v/>
      </c>
      <c r="K459" s="96" t="str">
        <f t="shared" si="61"/>
        <v/>
      </c>
      <c r="L459" s="96"/>
      <c r="M459" s="106">
        <f>IF(D459="","",ABS(D459-G$5))</f>
        <v>1.6345649774487975E-3</v>
      </c>
    </row>
    <row r="460" spans="2:13" ht="15.75" customHeight="1" x14ac:dyDescent="0.55000000000000004">
      <c r="B460" s="94">
        <v>44469</v>
      </c>
      <c r="C460" s="95">
        <v>4307.54</v>
      </c>
      <c r="D460" s="95">
        <f t="shared" si="54"/>
        <v>-1.1981220973814677E-2</v>
      </c>
      <c r="E460" s="95">
        <f t="shared" si="55"/>
        <v>0.76330475552052279</v>
      </c>
      <c r="F460" s="96">
        <f t="shared" si="56"/>
        <v>1.2609041862164498</v>
      </c>
      <c r="G460" s="96">
        <f t="shared" si="57"/>
        <v>1.324303944039154</v>
      </c>
      <c r="H460" s="96" t="str">
        <f t="shared" si="58"/>
        <v/>
      </c>
      <c r="I460" s="96" t="str">
        <f t="shared" si="59"/>
        <v/>
      </c>
      <c r="J460" s="96" t="str">
        <f t="shared" si="60"/>
        <v/>
      </c>
      <c r="K460" s="96" t="str">
        <f t="shared" si="61"/>
        <v/>
      </c>
      <c r="L460" s="96"/>
      <c r="M460" s="106">
        <f>IF(D460="","",ABS(D460-G$5))</f>
        <v>1.1981220973814677E-2</v>
      </c>
    </row>
    <row r="461" spans="2:13" ht="15.75" customHeight="1" x14ac:dyDescent="0.55000000000000004">
      <c r="B461" s="94">
        <v>44470</v>
      </c>
      <c r="C461" s="95">
        <v>4357.04</v>
      </c>
      <c r="D461" s="95">
        <f t="shared" si="54"/>
        <v>1.1425952216359555E-2</v>
      </c>
      <c r="E461" s="95">
        <f t="shared" si="55"/>
        <v>0.63738009970496146</v>
      </c>
      <c r="F461" s="96">
        <f t="shared" si="56"/>
        <v>1.2024676794296583</v>
      </c>
      <c r="G461" s="96">
        <f t="shared" si="57"/>
        <v>1.0937095828264292</v>
      </c>
      <c r="H461" s="96" t="str">
        <f t="shared" si="58"/>
        <v/>
      </c>
      <c r="I461" s="96" t="str">
        <f t="shared" si="59"/>
        <v/>
      </c>
      <c r="J461" s="96" t="str">
        <f t="shared" si="60"/>
        <v/>
      </c>
      <c r="K461" s="96" t="str">
        <f t="shared" si="61"/>
        <v/>
      </c>
      <c r="L461" s="96"/>
      <c r="M461" s="106">
        <f>IF(D461="","",ABS(D461-G$5))</f>
        <v>1.1425952216359555E-2</v>
      </c>
    </row>
    <row r="462" spans="2:13" ht="15.75" customHeight="1" x14ac:dyDescent="0.55000000000000004">
      <c r="B462" s="94">
        <v>44473</v>
      </c>
      <c r="C462" s="95">
        <v>4300.46</v>
      </c>
      <c r="D462" s="95">
        <f t="shared" si="54"/>
        <v>-1.3070933999937525E-2</v>
      </c>
      <c r="E462" s="95">
        <f t="shared" si="55"/>
        <v>0.8285131649184132</v>
      </c>
      <c r="F462" s="96">
        <f t="shared" si="56"/>
        <v>1.375585629736761</v>
      </c>
      <c r="G462" s="96">
        <f t="shared" si="57"/>
        <v>1.3542186910600096</v>
      </c>
      <c r="H462" s="96" t="str">
        <f t="shared" si="58"/>
        <v/>
      </c>
      <c r="I462" s="96" t="str">
        <f t="shared" si="59"/>
        <v/>
      </c>
      <c r="J462" s="96" t="str">
        <f t="shared" si="60"/>
        <v/>
      </c>
      <c r="K462" s="96" t="str">
        <f t="shared" si="61"/>
        <v/>
      </c>
      <c r="L462" s="96"/>
      <c r="M462" s="106">
        <f>IF(D462="","",ABS(D462-G$5))</f>
        <v>1.3070933999937525E-2</v>
      </c>
    </row>
    <row r="463" spans="2:13" ht="15.75" customHeight="1" x14ac:dyDescent="0.55000000000000004">
      <c r="B463" s="94">
        <v>44474</v>
      </c>
      <c r="C463" s="95">
        <v>4363.55</v>
      </c>
      <c r="D463" s="95">
        <f t="shared" si="54"/>
        <v>1.4563952524897257E-2</v>
      </c>
      <c r="E463" s="95">
        <f t="shared" si="55"/>
        <v>0.82515798608838509</v>
      </c>
      <c r="F463" s="96">
        <f t="shared" si="56"/>
        <v>1.5327109604801645</v>
      </c>
      <c r="G463" s="96">
        <f t="shared" si="57"/>
        <v>1.296675277636518</v>
      </c>
      <c r="H463" s="96" t="str">
        <f t="shared" si="58"/>
        <v/>
      </c>
      <c r="I463" s="96" t="str">
        <f t="shared" si="59"/>
        <v/>
      </c>
      <c r="J463" s="96" t="str">
        <f t="shared" si="60"/>
        <v/>
      </c>
      <c r="K463" s="96" t="str">
        <f t="shared" si="61"/>
        <v/>
      </c>
      <c r="L463" s="96"/>
      <c r="M463" s="106">
        <f>IF(D463="","",ABS(D463-G$5))</f>
        <v>1.4563952524897257E-2</v>
      </c>
    </row>
    <row r="464" spans="2:13" ht="15.75" customHeight="1" x14ac:dyDescent="0.55000000000000004">
      <c r="B464" s="94">
        <v>44475</v>
      </c>
      <c r="C464" s="95">
        <v>4399.7700000000004</v>
      </c>
      <c r="D464" s="95">
        <f t="shared" si="54"/>
        <v>8.2663205836800754E-3</v>
      </c>
      <c r="E464" s="95">
        <f t="shared" si="55"/>
        <v>0.44830779524389569</v>
      </c>
      <c r="F464" s="96">
        <f t="shared" si="56"/>
        <v>0.86994791694012497</v>
      </c>
      <c r="G464" s="96">
        <f t="shared" si="57"/>
        <v>0.72292507879717305</v>
      </c>
      <c r="H464" s="96" t="str">
        <f t="shared" si="58"/>
        <v/>
      </c>
      <c r="I464" s="96" t="str">
        <f t="shared" si="59"/>
        <v/>
      </c>
      <c r="J464" s="96" t="str">
        <f t="shared" si="60"/>
        <v/>
      </c>
      <c r="K464" s="96" t="str">
        <f t="shared" si="61"/>
        <v/>
      </c>
      <c r="L464" s="96"/>
      <c r="M464" s="106">
        <f>IF(D464="","",ABS(D464-G$5))</f>
        <v>8.2663205836800754E-3</v>
      </c>
    </row>
    <row r="465" spans="2:13" ht="15.75" customHeight="1" x14ac:dyDescent="0.55000000000000004">
      <c r="B465" s="94">
        <v>44476</v>
      </c>
      <c r="C465" s="95">
        <v>4391.3500000000004</v>
      </c>
      <c r="D465" s="95">
        <f t="shared" si="54"/>
        <v>-1.9155699330008478E-3</v>
      </c>
      <c r="E465" s="95">
        <f t="shared" si="55"/>
        <v>0.16097636429167922</v>
      </c>
      <c r="F465" s="96">
        <f t="shared" si="56"/>
        <v>0.20159465823975323</v>
      </c>
      <c r="G465" s="96">
        <f t="shared" si="57"/>
        <v>0.27260769172383076</v>
      </c>
      <c r="H465" s="96" t="str">
        <f t="shared" si="58"/>
        <v/>
      </c>
      <c r="I465" s="96" t="str">
        <f t="shared" si="59"/>
        <v/>
      </c>
      <c r="J465" s="96" t="str">
        <f t="shared" si="60"/>
        <v/>
      </c>
      <c r="K465" s="96" t="str">
        <f t="shared" si="61"/>
        <v/>
      </c>
      <c r="L465" s="96"/>
      <c r="M465" s="106">
        <f>IF(D465="","",ABS(D465-G$5))</f>
        <v>1.9155699330008478E-3</v>
      </c>
    </row>
    <row r="466" spans="2:13" ht="15.75" customHeight="1" x14ac:dyDescent="0.55000000000000004">
      <c r="B466" s="94">
        <v>44477</v>
      </c>
      <c r="C466" s="95">
        <v>4391.3500000000004</v>
      </c>
      <c r="D466" s="95">
        <f t="shared" si="54"/>
        <v>0</v>
      </c>
      <c r="E466" s="95">
        <f t="shared" si="55"/>
        <v>4.6348691292451449E-2</v>
      </c>
      <c r="F466" s="96">
        <f t="shared" si="56"/>
        <v>0</v>
      </c>
      <c r="G466" s="96">
        <f t="shared" si="57"/>
        <v>8.2707257820459484E-2</v>
      </c>
      <c r="H466" s="96" t="str">
        <f t="shared" si="58"/>
        <v/>
      </c>
      <c r="I466" s="96" t="str">
        <f t="shared" si="59"/>
        <v/>
      </c>
      <c r="J466" s="96" t="str">
        <f t="shared" si="60"/>
        <v/>
      </c>
      <c r="K466" s="96" t="str">
        <f t="shared" si="61"/>
        <v/>
      </c>
      <c r="L466" s="96"/>
      <c r="M466" s="106">
        <f>IF(D466="","",ABS(D466-G$5))</f>
        <v>0</v>
      </c>
    </row>
    <row r="467" spans="2:13" ht="15.75" customHeight="1" x14ac:dyDescent="0.55000000000000004">
      <c r="B467" s="94">
        <v>44480</v>
      </c>
      <c r="C467" s="95">
        <v>4391.3500000000004</v>
      </c>
      <c r="D467" s="95">
        <f t="shared" si="54"/>
        <v>0</v>
      </c>
      <c r="E467" s="95">
        <f t="shared" si="55"/>
        <v>4.6348691292451449E-2</v>
      </c>
      <c r="F467" s="96">
        <f t="shared" si="56"/>
        <v>0</v>
      </c>
      <c r="G467" s="96">
        <f t="shared" si="57"/>
        <v>8.7147992258583079E-2</v>
      </c>
      <c r="H467" s="96" t="str">
        <f t="shared" si="58"/>
        <v/>
      </c>
      <c r="I467" s="96" t="str">
        <f t="shared" si="59"/>
        <v/>
      </c>
      <c r="J467" s="96" t="str">
        <f t="shared" si="60"/>
        <v/>
      </c>
      <c r="K467" s="96" t="str">
        <f t="shared" si="61"/>
        <v/>
      </c>
      <c r="L467" s="96"/>
      <c r="M467" s="106">
        <f>IF(D467="","",ABS(D467-G$5))</f>
        <v>0</v>
      </c>
    </row>
    <row r="468" spans="2:13" ht="15.75" customHeight="1" x14ac:dyDescent="0.55000000000000004">
      <c r="B468" s="94">
        <v>44481</v>
      </c>
      <c r="C468" s="95">
        <v>4438.26</v>
      </c>
      <c r="D468" s="95">
        <f t="shared" si="54"/>
        <v>1.0625710844870587E-2</v>
      </c>
      <c r="E468" s="95">
        <f t="shared" si="55"/>
        <v>0.5894936693161783</v>
      </c>
      <c r="F468" s="96">
        <f t="shared" si="56"/>
        <v>1.118250244704158</v>
      </c>
      <c r="G468" s="96">
        <f t="shared" si="57"/>
        <v>1.0959524269994334</v>
      </c>
      <c r="H468" s="96" t="str">
        <f t="shared" si="58"/>
        <v/>
      </c>
      <c r="I468" s="96" t="str">
        <f t="shared" si="59"/>
        <v/>
      </c>
      <c r="J468" s="96" t="str">
        <f t="shared" si="60"/>
        <v/>
      </c>
      <c r="K468" s="96" t="str">
        <f t="shared" si="61"/>
        <v/>
      </c>
      <c r="L468" s="96"/>
      <c r="M468" s="106">
        <f>IF(D468="","",ABS(D468-G$5))</f>
        <v>1.0625710844870587E-2</v>
      </c>
    </row>
    <row r="469" spans="2:13" ht="15.75" customHeight="1" x14ac:dyDescent="0.55000000000000004">
      <c r="B469" s="94">
        <v>44482</v>
      </c>
      <c r="C469" s="95">
        <v>4461.18</v>
      </c>
      <c r="D469" s="95">
        <f t="shared" si="54"/>
        <v>5.1508972869318609E-3</v>
      </c>
      <c r="E469" s="95">
        <f t="shared" si="55"/>
        <v>0.2618809168712582</v>
      </c>
      <c r="F469" s="96">
        <f t="shared" si="56"/>
        <v>0.54208064153544067</v>
      </c>
      <c r="G469" s="96">
        <f t="shared" si="57"/>
        <v>0.50658211680049292</v>
      </c>
      <c r="H469" s="96" t="str">
        <f t="shared" si="58"/>
        <v/>
      </c>
      <c r="I469" s="96" t="str">
        <f t="shared" si="59"/>
        <v/>
      </c>
      <c r="J469" s="96" t="str">
        <f t="shared" si="60"/>
        <v/>
      </c>
      <c r="K469" s="96" t="str">
        <f t="shared" si="61"/>
        <v/>
      </c>
      <c r="L469" s="96"/>
      <c r="M469" s="106">
        <f>IF(D469="","",ABS(D469-G$5))</f>
        <v>5.1508972869318609E-3</v>
      </c>
    </row>
    <row r="470" spans="2:13" ht="15.75" customHeight="1" x14ac:dyDescent="0.55000000000000004">
      <c r="B470" s="94">
        <v>44483</v>
      </c>
      <c r="C470" s="95">
        <v>4471.37</v>
      </c>
      <c r="D470" s="95">
        <f t="shared" si="54"/>
        <v>2.2815443339894667E-3</v>
      </c>
      <c r="E470" s="95">
        <f t="shared" si="55"/>
        <v>9.0178883788081907E-2</v>
      </c>
      <c r="F470" s="96">
        <f t="shared" si="56"/>
        <v>0.24010981919564739</v>
      </c>
      <c r="G470" s="96">
        <f t="shared" si="57"/>
        <v>0.18356785880731466</v>
      </c>
      <c r="H470" s="96" t="str">
        <f t="shared" si="58"/>
        <v/>
      </c>
      <c r="I470" s="96" t="str">
        <f t="shared" si="59"/>
        <v/>
      </c>
      <c r="J470" s="96" t="str">
        <f t="shared" si="60"/>
        <v/>
      </c>
      <c r="K470" s="96" t="str">
        <f t="shared" si="61"/>
        <v/>
      </c>
      <c r="L470" s="96"/>
      <c r="M470" s="106">
        <f>IF(D470="","",ABS(D470-G$5))</f>
        <v>2.2815443339894667E-3</v>
      </c>
    </row>
    <row r="471" spans="2:13" ht="15.75" customHeight="1" x14ac:dyDescent="0.55000000000000004">
      <c r="B471" s="94">
        <v>44484</v>
      </c>
      <c r="C471" s="95">
        <v>4471.37</v>
      </c>
      <c r="D471" s="95">
        <f t="shared" si="54"/>
        <v>0</v>
      </c>
      <c r="E471" s="95">
        <f t="shared" si="55"/>
        <v>4.6348691292451449E-2</v>
      </c>
      <c r="F471" s="96">
        <f t="shared" si="56"/>
        <v>0</v>
      </c>
      <c r="G471" s="96">
        <f t="shared" si="57"/>
        <v>9.9401593291790241E-2</v>
      </c>
      <c r="H471" s="96" t="str">
        <f t="shared" si="58"/>
        <v/>
      </c>
      <c r="I471" s="96" t="str">
        <f t="shared" si="59"/>
        <v/>
      </c>
      <c r="J471" s="96" t="str">
        <f t="shared" si="60"/>
        <v/>
      </c>
      <c r="K471" s="96" t="str">
        <f t="shared" si="61"/>
        <v/>
      </c>
      <c r="L471" s="96"/>
      <c r="M471" s="106">
        <f>IF(D471="","",ABS(D471-G$5))</f>
        <v>0</v>
      </c>
    </row>
    <row r="472" spans="2:13" ht="15.75" customHeight="1" x14ac:dyDescent="0.55000000000000004">
      <c r="B472" s="94">
        <v>44487</v>
      </c>
      <c r="C472" s="95">
        <v>4486.46</v>
      </c>
      <c r="D472" s="95">
        <f t="shared" si="54"/>
        <v>3.3691227169670899E-3</v>
      </c>
      <c r="E472" s="95">
        <f t="shared" si="55"/>
        <v>0.15525955617558942</v>
      </c>
      <c r="F472" s="96">
        <f t="shared" si="56"/>
        <v>0.35456661278388774</v>
      </c>
      <c r="G472" s="96">
        <f t="shared" si="57"/>
        <v>0.34884636164990712</v>
      </c>
      <c r="H472" s="96" t="str">
        <f t="shared" si="58"/>
        <v/>
      </c>
      <c r="I472" s="96" t="str">
        <f t="shared" si="59"/>
        <v/>
      </c>
      <c r="J472" s="96" t="str">
        <f t="shared" si="60"/>
        <v/>
      </c>
      <c r="K472" s="96" t="str">
        <f t="shared" si="61"/>
        <v/>
      </c>
      <c r="L472" s="96"/>
      <c r="M472" s="106">
        <f>IF(D472="","",ABS(D472-G$5))</f>
        <v>3.3691227169670899E-3</v>
      </c>
    </row>
    <row r="473" spans="2:13" ht="15.75" customHeight="1" x14ac:dyDescent="0.55000000000000004">
      <c r="B473" s="94">
        <v>44488</v>
      </c>
      <c r="C473" s="95">
        <v>4519.63</v>
      </c>
      <c r="D473" s="95">
        <f t="shared" si="54"/>
        <v>7.366160006043284E-3</v>
      </c>
      <c r="E473" s="95">
        <f t="shared" si="55"/>
        <v>0.39444220121752482</v>
      </c>
      <c r="F473" s="96">
        <f t="shared" si="56"/>
        <v>0.7752149808654244</v>
      </c>
      <c r="G473" s="96">
        <f t="shared" si="57"/>
        <v>0.89591917839523394</v>
      </c>
      <c r="H473" s="96" t="str">
        <f t="shared" si="58"/>
        <v/>
      </c>
      <c r="I473" s="96" t="str">
        <f t="shared" si="59"/>
        <v/>
      </c>
      <c r="J473" s="96" t="str">
        <f t="shared" si="60"/>
        <v/>
      </c>
      <c r="K473" s="96" t="str">
        <f t="shared" si="61"/>
        <v/>
      </c>
      <c r="L473" s="96"/>
      <c r="M473" s="106">
        <f>IF(D473="","",ABS(D473-G$5))</f>
        <v>7.366160006043284E-3</v>
      </c>
    </row>
    <row r="474" spans="2:13" ht="15.75" customHeight="1" x14ac:dyDescent="0.55000000000000004">
      <c r="B474" s="94">
        <v>44489</v>
      </c>
      <c r="C474" s="95">
        <v>4549.78</v>
      </c>
      <c r="D474" s="95">
        <f t="shared" si="54"/>
        <v>6.6487480590507551E-3</v>
      </c>
      <c r="E474" s="95">
        <f t="shared" si="55"/>
        <v>0.35151228221593939</v>
      </c>
      <c r="F474" s="96">
        <f t="shared" si="56"/>
        <v>0.69971451816787644</v>
      </c>
      <c r="G474" s="96">
        <f t="shared" si="57"/>
        <v>0.81328863433731158</v>
      </c>
      <c r="H474" s="96" t="str">
        <f t="shared" si="58"/>
        <v/>
      </c>
      <c r="I474" s="96" t="str">
        <f t="shared" si="59"/>
        <v/>
      </c>
      <c r="J474" s="96" t="str">
        <f t="shared" si="60"/>
        <v/>
      </c>
      <c r="K474" s="96" t="str">
        <f t="shared" si="61"/>
        <v/>
      </c>
      <c r="L474" s="96"/>
      <c r="M474" s="106">
        <f>IF(D474="","",ABS(D474-G$5))</f>
        <v>6.6487480590507551E-3</v>
      </c>
    </row>
    <row r="475" spans="2:13" ht="15.75" customHeight="1" x14ac:dyDescent="0.55000000000000004">
      <c r="B475" s="94">
        <v>44490</v>
      </c>
      <c r="C475" s="95">
        <v>4544.8999999999996</v>
      </c>
      <c r="D475" s="95">
        <f t="shared" ref="D475:D526" si="62">IF(OR(C475="",C474=""),"",LN(C475/C474))</f>
        <v>-1.0731549583585973E-3</v>
      </c>
      <c r="E475" s="95">
        <f t="shared" ref="E475:E526" si="63">IF(D475="","",ABS(D475-$E$5)/$F$5)</f>
        <v>0.11056626619013321</v>
      </c>
      <c r="F475" s="96">
        <f t="shared" ref="F475:F526" si="64">IF(D475="","",ABS(D475-$G$5)/$H$5)</f>
        <v>0.11293887179033223</v>
      </c>
      <c r="G475" s="96">
        <f t="shared" ref="G475:G526" si="65">IF(D475="","",ABS(D475-$E$5)/SQRT(0.9*(IF(G474="",($F$5)^2,(ABS(D474-$E$5)/MAX(G474,0.0000000001))^2))+0.1*(D475-$E$5)^2))</f>
        <v>0.26867815730910777</v>
      </c>
      <c r="H475" s="96" t="str">
        <f t="shared" ref="H475:H526" si="66">IF(E475="","",IF(E475&gt;$I$5,"OUTLIER",""))</f>
        <v/>
      </c>
      <c r="I475" s="96" t="str">
        <f t="shared" ref="I475:I526" si="67">IF(F475="","",IF(F475&gt;$I$5,"OUTLIER",""))</f>
        <v/>
      </c>
      <c r="J475" s="96" t="str">
        <f t="shared" ref="J475:J526" si="68">IF(G475="","",IF(G475&gt;$I$5,"OUTLIER",""))</f>
        <v/>
      </c>
      <c r="K475" s="96" t="str">
        <f t="shared" ref="K475:K526" si="69">IF(C475="","MISSING","")</f>
        <v/>
      </c>
      <c r="L475" s="96"/>
      <c r="M475" s="106">
        <f>IF(D475="","",ABS(D475-G$5))</f>
        <v>1.0731549583585973E-3</v>
      </c>
    </row>
    <row r="476" spans="2:13" ht="15.75" customHeight="1" x14ac:dyDescent="0.55000000000000004">
      <c r="B476" s="94">
        <v>44491</v>
      </c>
      <c r="C476" s="95">
        <v>4544.8999999999996</v>
      </c>
      <c r="D476" s="95">
        <f t="shared" si="62"/>
        <v>0</v>
      </c>
      <c r="E476" s="95">
        <f t="shared" si="63"/>
        <v>4.6348691292451449E-2</v>
      </c>
      <c r="F476" s="96">
        <f t="shared" si="64"/>
        <v>0</v>
      </c>
      <c r="G476" s="96">
        <f t="shared" si="65"/>
        <v>0.11863698310701939</v>
      </c>
      <c r="H476" s="96" t="str">
        <f t="shared" si="66"/>
        <v/>
      </c>
      <c r="I476" s="96" t="str">
        <f t="shared" si="67"/>
        <v/>
      </c>
      <c r="J476" s="96" t="str">
        <f t="shared" si="68"/>
        <v/>
      </c>
      <c r="K476" s="96" t="str">
        <f t="shared" si="69"/>
        <v/>
      </c>
      <c r="L476" s="96"/>
      <c r="M476" s="106">
        <f>IF(D476="","",ABS(D476-G$5))</f>
        <v>0</v>
      </c>
    </row>
    <row r="477" spans="2:13" ht="15.75" customHeight="1" x14ac:dyDescent="0.55000000000000004">
      <c r="B477" s="94">
        <v>44494</v>
      </c>
      <c r="C477" s="95">
        <v>4566.4799999999996</v>
      </c>
      <c r="D477" s="95">
        <f t="shared" si="62"/>
        <v>4.7369422309476855E-3</v>
      </c>
      <c r="E477" s="95">
        <f t="shared" si="63"/>
        <v>0.2371098531913241</v>
      </c>
      <c r="F477" s="96">
        <f t="shared" si="64"/>
        <v>0.49851599448180017</v>
      </c>
      <c r="G477" s="96">
        <f t="shared" si="65"/>
        <v>0.62704771874599818</v>
      </c>
      <c r="H477" s="96" t="str">
        <f t="shared" si="66"/>
        <v/>
      </c>
      <c r="I477" s="96" t="str">
        <f t="shared" si="67"/>
        <v/>
      </c>
      <c r="J477" s="96" t="str">
        <f t="shared" si="68"/>
        <v/>
      </c>
      <c r="K477" s="96" t="str">
        <f t="shared" si="69"/>
        <v/>
      </c>
      <c r="L477" s="96"/>
      <c r="M477" s="106">
        <f>IF(D477="","",ABS(D477-G$5))</f>
        <v>4.7369422309476855E-3</v>
      </c>
    </row>
    <row r="478" spans="2:13" ht="15.75" customHeight="1" x14ac:dyDescent="0.55000000000000004">
      <c r="B478" s="94">
        <v>44495</v>
      </c>
      <c r="C478" s="95">
        <v>4574.79</v>
      </c>
      <c r="D478" s="95">
        <f t="shared" si="62"/>
        <v>1.818128616510003E-3</v>
      </c>
      <c r="E478" s="95">
        <f t="shared" si="63"/>
        <v>6.2448094945138123E-2</v>
      </c>
      <c r="F478" s="96">
        <f t="shared" si="64"/>
        <v>0.19133993009958525</v>
      </c>
      <c r="G478" s="96">
        <f t="shared" si="65"/>
        <v>0.17381685406231734</v>
      </c>
      <c r="H478" s="96" t="str">
        <f t="shared" si="66"/>
        <v/>
      </c>
      <c r="I478" s="96" t="str">
        <f t="shared" si="67"/>
        <v/>
      </c>
      <c r="J478" s="96" t="str">
        <f t="shared" si="68"/>
        <v/>
      </c>
      <c r="K478" s="96" t="str">
        <f t="shared" si="69"/>
        <v/>
      </c>
      <c r="L478" s="96"/>
      <c r="M478" s="106">
        <f>IF(D478="","",ABS(D478-G$5))</f>
        <v>1.818128616510003E-3</v>
      </c>
    </row>
    <row r="479" spans="2:13" ht="15.75" customHeight="1" x14ac:dyDescent="0.55000000000000004">
      <c r="B479" s="94">
        <v>44496</v>
      </c>
      <c r="C479" s="95">
        <v>4596.42</v>
      </c>
      <c r="D479" s="95">
        <f t="shared" si="62"/>
        <v>4.7169435886456968E-3</v>
      </c>
      <c r="E479" s="95">
        <f t="shared" si="63"/>
        <v>0.23591313476787831</v>
      </c>
      <c r="F479" s="96">
        <f t="shared" si="64"/>
        <v>0.49641133654649172</v>
      </c>
      <c r="G479" s="96">
        <f t="shared" si="65"/>
        <v>0.67614836315565496</v>
      </c>
      <c r="H479" s="96" t="str">
        <f t="shared" si="66"/>
        <v/>
      </c>
      <c r="I479" s="96" t="str">
        <f t="shared" si="67"/>
        <v/>
      </c>
      <c r="J479" s="96" t="str">
        <f t="shared" si="68"/>
        <v/>
      </c>
      <c r="K479" s="96" t="str">
        <f t="shared" si="69"/>
        <v/>
      </c>
      <c r="L479" s="96"/>
      <c r="M479" s="106">
        <f>IF(D479="","",ABS(D479-G$5))</f>
        <v>4.7169435886456968E-3</v>
      </c>
    </row>
    <row r="480" spans="2:13" ht="15.75" customHeight="1" x14ac:dyDescent="0.55000000000000004">
      <c r="B480" s="94">
        <v>44497</v>
      </c>
      <c r="C480" s="95">
        <v>4605.38</v>
      </c>
      <c r="D480" s="95">
        <f t="shared" si="62"/>
        <v>1.9474456805769699E-3</v>
      </c>
      <c r="E480" s="95">
        <f t="shared" si="63"/>
        <v>7.0186425912709183E-2</v>
      </c>
      <c r="F480" s="96">
        <f t="shared" si="64"/>
        <v>0.2049492632207775</v>
      </c>
      <c r="G480" s="96">
        <f t="shared" si="65"/>
        <v>0.21156684418154914</v>
      </c>
      <c r="H480" s="96" t="str">
        <f t="shared" si="66"/>
        <v/>
      </c>
      <c r="I480" s="96" t="str">
        <f t="shared" si="67"/>
        <v/>
      </c>
      <c r="J480" s="96" t="str">
        <f t="shared" si="68"/>
        <v/>
      </c>
      <c r="K480" s="96" t="str">
        <f t="shared" si="69"/>
        <v/>
      </c>
      <c r="L480" s="96"/>
      <c r="M480" s="106">
        <f>IF(D480="","",ABS(D480-G$5))</f>
        <v>1.9474456805769699E-3</v>
      </c>
    </row>
    <row r="481" spans="2:13" ht="15.75" customHeight="1" x14ac:dyDescent="0.55000000000000004">
      <c r="B481" s="94">
        <v>44498</v>
      </c>
      <c r="C481" s="95">
        <v>4605.38</v>
      </c>
      <c r="D481" s="95">
        <f t="shared" si="62"/>
        <v>0</v>
      </c>
      <c r="E481" s="95">
        <f t="shared" si="63"/>
        <v>4.6348691292451449E-2</v>
      </c>
      <c r="F481" s="96">
        <f t="shared" si="64"/>
        <v>0</v>
      </c>
      <c r="G481" s="96">
        <f t="shared" si="65"/>
        <v>0.14710934459267463</v>
      </c>
      <c r="H481" s="96" t="str">
        <f t="shared" si="66"/>
        <v/>
      </c>
      <c r="I481" s="96" t="str">
        <f t="shared" si="67"/>
        <v/>
      </c>
      <c r="J481" s="96" t="str">
        <f t="shared" si="68"/>
        <v/>
      </c>
      <c r="K481" s="96" t="str">
        <f t="shared" si="69"/>
        <v/>
      </c>
      <c r="L481" s="96"/>
      <c r="M481" s="106">
        <f>IF(D481="","",ABS(D481-G$5))</f>
        <v>0</v>
      </c>
    </row>
    <row r="482" spans="2:13" ht="15.75" customHeight="1" x14ac:dyDescent="0.55000000000000004">
      <c r="B482" s="94">
        <v>44501</v>
      </c>
      <c r="C482" s="95">
        <v>4613.67</v>
      </c>
      <c r="D482" s="95">
        <f t="shared" si="62"/>
        <v>1.7984504334932693E-3</v>
      </c>
      <c r="E482" s="95">
        <f t="shared" si="63"/>
        <v>6.1270552800003548E-2</v>
      </c>
      <c r="F482" s="96">
        <f t="shared" si="64"/>
        <v>0.18926899731258792</v>
      </c>
      <c r="G482" s="96">
        <f t="shared" si="65"/>
        <v>0.20456096581510599</v>
      </c>
      <c r="H482" s="96" t="str">
        <f t="shared" si="66"/>
        <v/>
      </c>
      <c r="I482" s="96" t="str">
        <f t="shared" si="67"/>
        <v/>
      </c>
      <c r="J482" s="96" t="str">
        <f t="shared" si="68"/>
        <v/>
      </c>
      <c r="K482" s="96" t="str">
        <f t="shared" si="69"/>
        <v/>
      </c>
      <c r="L482" s="96"/>
      <c r="M482" s="106">
        <f>IF(D482="","",ABS(D482-G$5))</f>
        <v>1.7984504334932693E-3</v>
      </c>
    </row>
    <row r="483" spans="2:13" ht="15.75" customHeight="1" x14ac:dyDescent="0.55000000000000004">
      <c r="B483" s="94">
        <v>44502</v>
      </c>
      <c r="C483" s="95">
        <v>4630.6499999999996</v>
      </c>
      <c r="D483" s="95">
        <f t="shared" si="62"/>
        <v>3.673611276116367E-3</v>
      </c>
      <c r="E483" s="95">
        <f t="shared" si="63"/>
        <v>0.17348014650167171</v>
      </c>
      <c r="F483" s="96">
        <f t="shared" si="64"/>
        <v>0.38661100122521863</v>
      </c>
      <c r="G483" s="96">
        <f t="shared" si="65"/>
        <v>0.59944987273862294</v>
      </c>
      <c r="H483" s="96" t="str">
        <f t="shared" si="66"/>
        <v/>
      </c>
      <c r="I483" s="96" t="str">
        <f t="shared" si="67"/>
        <v/>
      </c>
      <c r="J483" s="96" t="str">
        <f t="shared" si="68"/>
        <v/>
      </c>
      <c r="K483" s="96" t="str">
        <f t="shared" si="69"/>
        <v/>
      </c>
      <c r="L483" s="96"/>
      <c r="M483" s="106">
        <f>IF(D483="","",ABS(D483-G$5))</f>
        <v>3.673611276116367E-3</v>
      </c>
    </row>
    <row r="484" spans="2:13" ht="15.75" customHeight="1" x14ac:dyDescent="0.55000000000000004">
      <c r="B484" s="94">
        <v>44503</v>
      </c>
      <c r="C484" s="95">
        <v>4660.57</v>
      </c>
      <c r="D484" s="95">
        <f t="shared" si="62"/>
        <v>6.4405112404735685E-3</v>
      </c>
      <c r="E484" s="95">
        <f t="shared" si="63"/>
        <v>0.33905139444825966</v>
      </c>
      <c r="F484" s="96">
        <f t="shared" si="64"/>
        <v>0.67779966684828086</v>
      </c>
      <c r="G484" s="96">
        <f t="shared" si="65"/>
        <v>1.1503374472717438</v>
      </c>
      <c r="H484" s="96" t="str">
        <f t="shared" si="66"/>
        <v/>
      </c>
      <c r="I484" s="96" t="str">
        <f t="shared" si="67"/>
        <v/>
      </c>
      <c r="J484" s="96" t="str">
        <f t="shared" si="68"/>
        <v/>
      </c>
      <c r="K484" s="96" t="str">
        <f t="shared" si="69"/>
        <v/>
      </c>
      <c r="L484" s="96"/>
      <c r="M484" s="106">
        <f>IF(D484="","",ABS(D484-G$5))</f>
        <v>6.4405112404735685E-3</v>
      </c>
    </row>
    <row r="485" spans="2:13" ht="15.75" customHeight="1" x14ac:dyDescent="0.55000000000000004">
      <c r="B485" s="94">
        <v>44504</v>
      </c>
      <c r="C485" s="95">
        <v>4697.96</v>
      </c>
      <c r="D485" s="95">
        <f t="shared" si="62"/>
        <v>7.990613685152987E-3</v>
      </c>
      <c r="E485" s="95">
        <f t="shared" si="63"/>
        <v>0.43180949901177357</v>
      </c>
      <c r="F485" s="96">
        <f t="shared" si="64"/>
        <v>0.84093251164200578</v>
      </c>
      <c r="G485" s="96">
        <f t="shared" si="65"/>
        <v>1.3876669991588573</v>
      </c>
      <c r="H485" s="96" t="str">
        <f t="shared" si="66"/>
        <v/>
      </c>
      <c r="I485" s="96" t="str">
        <f t="shared" si="67"/>
        <v/>
      </c>
      <c r="J485" s="96" t="str">
        <f t="shared" si="68"/>
        <v/>
      </c>
      <c r="K485" s="96" t="str">
        <f t="shared" si="69"/>
        <v/>
      </c>
      <c r="L485" s="96"/>
      <c r="M485" s="106">
        <f>IF(D485="","",ABS(D485-G$5))</f>
        <v>7.990613685152987E-3</v>
      </c>
    </row>
    <row r="486" spans="2:13" ht="15.75" customHeight="1" x14ac:dyDescent="0.55000000000000004">
      <c r="B486" s="94">
        <v>44505</v>
      </c>
      <c r="C486" s="95">
        <v>4697.96</v>
      </c>
      <c r="D486" s="95">
        <f t="shared" si="62"/>
        <v>0</v>
      </c>
      <c r="E486" s="95">
        <f t="shared" si="63"/>
        <v>4.6348691292451449E-2</v>
      </c>
      <c r="F486" s="96">
        <f t="shared" si="64"/>
        <v>0</v>
      </c>
      <c r="G486" s="96">
        <f t="shared" si="65"/>
        <v>0.15681033341800177</v>
      </c>
      <c r="H486" s="96" t="str">
        <f t="shared" si="66"/>
        <v/>
      </c>
      <c r="I486" s="96" t="str">
        <f t="shared" si="67"/>
        <v/>
      </c>
      <c r="J486" s="96" t="str">
        <f t="shared" si="68"/>
        <v/>
      </c>
      <c r="K486" s="96" t="str">
        <f t="shared" si="69"/>
        <v/>
      </c>
      <c r="L486" s="96"/>
      <c r="M486" s="106">
        <f>IF(D486="","",ABS(D486-G$5))</f>
        <v>0</v>
      </c>
    </row>
    <row r="487" spans="2:13" ht="15.75" customHeight="1" x14ac:dyDescent="0.55000000000000004">
      <c r="B487" s="94">
        <v>44508</v>
      </c>
      <c r="C487" s="95">
        <v>4701.21</v>
      </c>
      <c r="D487" s="95">
        <f t="shared" si="62"/>
        <v>6.9155045169388095E-4</v>
      </c>
      <c r="E487" s="95">
        <f t="shared" si="63"/>
        <v>4.9663237403296309E-3</v>
      </c>
      <c r="F487" s="96">
        <f t="shared" si="64"/>
        <v>7.2778797872639828E-2</v>
      </c>
      <c r="G487" s="96">
        <f t="shared" si="65"/>
        <v>1.7711044025083597E-2</v>
      </c>
      <c r="H487" s="96" t="str">
        <f t="shared" si="66"/>
        <v/>
      </c>
      <c r="I487" s="96" t="str">
        <f t="shared" si="67"/>
        <v/>
      </c>
      <c r="J487" s="96" t="str">
        <f t="shared" si="68"/>
        <v/>
      </c>
      <c r="K487" s="96" t="str">
        <f t="shared" si="69"/>
        <v/>
      </c>
      <c r="L487" s="96"/>
      <c r="M487" s="106">
        <f>IF(D487="","",ABS(D487-G$5))</f>
        <v>6.9155045169388095E-4</v>
      </c>
    </row>
    <row r="488" spans="2:13" ht="15.75" customHeight="1" x14ac:dyDescent="0.55000000000000004">
      <c r="B488" s="94">
        <v>44509</v>
      </c>
      <c r="C488" s="95">
        <v>4685.25</v>
      </c>
      <c r="D488" s="95">
        <f t="shared" si="62"/>
        <v>-3.4006463311287097E-3</v>
      </c>
      <c r="E488" s="95">
        <f t="shared" si="63"/>
        <v>0.24984331130874551</v>
      </c>
      <c r="F488" s="96">
        <f t="shared" si="64"/>
        <v>0.35788415922994105</v>
      </c>
      <c r="G488" s="96">
        <f t="shared" si="65"/>
        <v>0.90032543595061509</v>
      </c>
      <c r="H488" s="96" t="str">
        <f t="shared" si="66"/>
        <v/>
      </c>
      <c r="I488" s="96" t="str">
        <f t="shared" si="67"/>
        <v/>
      </c>
      <c r="J488" s="96" t="str">
        <f t="shared" si="68"/>
        <v/>
      </c>
      <c r="K488" s="96" t="str">
        <f t="shared" si="69"/>
        <v/>
      </c>
      <c r="L488" s="96"/>
      <c r="M488" s="106">
        <f>IF(D488="","",ABS(D488-G$5))</f>
        <v>3.4006463311287097E-3</v>
      </c>
    </row>
    <row r="489" spans="2:13" ht="15.75" customHeight="1" x14ac:dyDescent="0.55000000000000004">
      <c r="B489" s="94">
        <v>44510</v>
      </c>
      <c r="C489" s="95">
        <v>4646.71</v>
      </c>
      <c r="D489" s="95">
        <f t="shared" si="62"/>
        <v>-8.259833757375561E-3</v>
      </c>
      <c r="E489" s="95">
        <f t="shared" si="63"/>
        <v>0.54061700625039444</v>
      </c>
      <c r="F489" s="96">
        <f t="shared" si="64"/>
        <v>0.8692652430740393</v>
      </c>
      <c r="G489" s="96">
        <f t="shared" si="65"/>
        <v>1.7222520964184809</v>
      </c>
      <c r="H489" s="96" t="str">
        <f t="shared" si="66"/>
        <v/>
      </c>
      <c r="I489" s="96" t="str">
        <f t="shared" si="67"/>
        <v/>
      </c>
      <c r="J489" s="96" t="str">
        <f t="shared" si="68"/>
        <v/>
      </c>
      <c r="K489" s="96" t="str">
        <f t="shared" si="69"/>
        <v/>
      </c>
      <c r="L489" s="96"/>
      <c r="M489" s="106">
        <f>IF(D489="","",ABS(D489-G$5))</f>
        <v>8.259833757375561E-3</v>
      </c>
    </row>
    <row r="490" spans="2:13" ht="15.75" customHeight="1" x14ac:dyDescent="0.55000000000000004">
      <c r="B490" s="94">
        <v>44511</v>
      </c>
      <c r="C490" s="95">
        <v>4682.8500000000004</v>
      </c>
      <c r="D490" s="95">
        <f t="shared" si="62"/>
        <v>7.7474566366135741E-3</v>
      </c>
      <c r="E490" s="95">
        <f t="shared" si="63"/>
        <v>0.41725898526270394</v>
      </c>
      <c r="F490" s="96">
        <f t="shared" si="64"/>
        <v>0.81534265389032412</v>
      </c>
      <c r="G490" s="96">
        <f t="shared" si="65"/>
        <v>1.2810505641675491</v>
      </c>
      <c r="H490" s="96" t="str">
        <f t="shared" si="66"/>
        <v/>
      </c>
      <c r="I490" s="96" t="str">
        <f t="shared" si="67"/>
        <v/>
      </c>
      <c r="J490" s="96" t="str">
        <f t="shared" si="68"/>
        <v/>
      </c>
      <c r="K490" s="96" t="str">
        <f t="shared" si="69"/>
        <v/>
      </c>
      <c r="L490" s="96"/>
      <c r="M490" s="106">
        <f>IF(D490="","",ABS(D490-G$5))</f>
        <v>7.7474566366135741E-3</v>
      </c>
    </row>
    <row r="491" spans="2:13" ht="15.75" customHeight="1" x14ac:dyDescent="0.55000000000000004">
      <c r="B491" s="94">
        <v>44512</v>
      </c>
      <c r="C491" s="95">
        <v>4682.8500000000004</v>
      </c>
      <c r="D491" s="95">
        <f t="shared" si="62"/>
        <v>0</v>
      </c>
      <c r="E491" s="95">
        <f t="shared" si="63"/>
        <v>4.6348691292451449E-2</v>
      </c>
      <c r="F491" s="96">
        <f t="shared" si="64"/>
        <v>0</v>
      </c>
      <c r="G491" s="96">
        <f t="shared" si="65"/>
        <v>0.14982655564145281</v>
      </c>
      <c r="H491" s="96" t="str">
        <f t="shared" si="66"/>
        <v/>
      </c>
      <c r="I491" s="96" t="str">
        <f t="shared" si="67"/>
        <v/>
      </c>
      <c r="J491" s="96" t="str">
        <f t="shared" si="68"/>
        <v/>
      </c>
      <c r="K491" s="96" t="str">
        <f t="shared" si="69"/>
        <v/>
      </c>
      <c r="L491" s="96"/>
      <c r="M491" s="106">
        <f>IF(D491="","",ABS(D491-G$5))</f>
        <v>0</v>
      </c>
    </row>
    <row r="492" spans="2:13" ht="15.75" customHeight="1" x14ac:dyDescent="0.55000000000000004">
      <c r="B492" s="94">
        <v>44515</v>
      </c>
      <c r="C492" s="95">
        <v>4682.9399999999996</v>
      </c>
      <c r="D492" s="95">
        <f t="shared" si="62"/>
        <v>1.9218880628678464E-5</v>
      </c>
      <c r="E492" s="95">
        <f t="shared" si="63"/>
        <v>4.5198633794595336E-2</v>
      </c>
      <c r="F492" s="96">
        <f t="shared" si="64"/>
        <v>2.0225957848584242E-3</v>
      </c>
      <c r="G492" s="96">
        <f t="shared" si="65"/>
        <v>0.15382995539398608</v>
      </c>
      <c r="H492" s="96" t="str">
        <f t="shared" si="66"/>
        <v/>
      </c>
      <c r="I492" s="96" t="str">
        <f t="shared" si="67"/>
        <v/>
      </c>
      <c r="J492" s="96" t="str">
        <f t="shared" si="68"/>
        <v/>
      </c>
      <c r="K492" s="96" t="str">
        <f t="shared" si="69"/>
        <v/>
      </c>
      <c r="L492" s="96"/>
      <c r="M492" s="106">
        <f>IF(D492="","",ABS(D492-G$5))</f>
        <v>1.9218880628678464E-5</v>
      </c>
    </row>
    <row r="493" spans="2:13" ht="15.75" customHeight="1" x14ac:dyDescent="0.55000000000000004">
      <c r="B493" s="94">
        <v>44516</v>
      </c>
      <c r="C493" s="95">
        <v>4704.54</v>
      </c>
      <c r="D493" s="95">
        <f t="shared" si="62"/>
        <v>4.6018821066272815E-3</v>
      </c>
      <c r="E493" s="95">
        <f t="shared" si="63"/>
        <v>0.22902785759350142</v>
      </c>
      <c r="F493" s="96">
        <f t="shared" si="64"/>
        <v>0.48430226146421346</v>
      </c>
      <c r="G493" s="96">
        <f t="shared" si="65"/>
        <v>0.7952373588220184</v>
      </c>
      <c r="H493" s="96" t="str">
        <f t="shared" si="66"/>
        <v/>
      </c>
      <c r="I493" s="96" t="str">
        <f t="shared" si="67"/>
        <v/>
      </c>
      <c r="J493" s="96" t="str">
        <f t="shared" si="68"/>
        <v/>
      </c>
      <c r="K493" s="96" t="str">
        <f t="shared" si="69"/>
        <v/>
      </c>
      <c r="L493" s="96"/>
      <c r="M493" s="106">
        <f>IF(D493="","",ABS(D493-G$5))</f>
        <v>4.6018821066272815E-3</v>
      </c>
    </row>
    <row r="494" spans="2:13" ht="15.75" customHeight="1" x14ac:dyDescent="0.55000000000000004">
      <c r="B494" s="94">
        <v>44517</v>
      </c>
      <c r="C494" s="95">
        <v>4704.54</v>
      </c>
      <c r="D494" s="95">
        <f t="shared" si="62"/>
        <v>0</v>
      </c>
      <c r="E494" s="95">
        <f t="shared" si="63"/>
        <v>4.6348691292451449E-2</v>
      </c>
      <c r="F494" s="96">
        <f t="shared" si="64"/>
        <v>0</v>
      </c>
      <c r="G494" s="96">
        <f t="shared" si="65"/>
        <v>0.1693950409054289</v>
      </c>
      <c r="H494" s="96" t="str">
        <f t="shared" si="66"/>
        <v/>
      </c>
      <c r="I494" s="96" t="str">
        <f t="shared" si="67"/>
        <v/>
      </c>
      <c r="J494" s="96" t="str">
        <f t="shared" si="68"/>
        <v/>
      </c>
      <c r="K494" s="96" t="str">
        <f t="shared" si="69"/>
        <v/>
      </c>
      <c r="L494" s="96"/>
      <c r="M494" s="106">
        <f>IF(D494="","",ABS(D494-G$5))</f>
        <v>0</v>
      </c>
    </row>
    <row r="495" spans="2:13" ht="15.75" customHeight="1" x14ac:dyDescent="0.55000000000000004">
      <c r="B495" s="94">
        <v>44518</v>
      </c>
      <c r="C495" s="95">
        <v>4697.96</v>
      </c>
      <c r="D495" s="95">
        <f t="shared" si="62"/>
        <v>-1.3996279870592404E-3</v>
      </c>
      <c r="E495" s="95">
        <f t="shared" si="63"/>
        <v>0.13010240680930646</v>
      </c>
      <c r="F495" s="96">
        <f t="shared" si="64"/>
        <v>0.14729690670806558</v>
      </c>
      <c r="G495" s="96">
        <f t="shared" si="65"/>
        <v>0.49503910944243351</v>
      </c>
      <c r="H495" s="96" t="str">
        <f t="shared" si="66"/>
        <v/>
      </c>
      <c r="I495" s="96" t="str">
        <f t="shared" si="67"/>
        <v/>
      </c>
      <c r="J495" s="96" t="str">
        <f t="shared" si="68"/>
        <v/>
      </c>
      <c r="K495" s="96" t="str">
        <f t="shared" si="69"/>
        <v/>
      </c>
      <c r="L495" s="96"/>
      <c r="M495" s="106">
        <f>IF(D495="","",ABS(D495-G$5))</f>
        <v>1.3996279870592404E-3</v>
      </c>
    </row>
    <row r="496" spans="2:13" ht="15.75" customHeight="1" x14ac:dyDescent="0.55000000000000004">
      <c r="B496" s="94">
        <v>44519</v>
      </c>
      <c r="C496" s="95">
        <v>4697.96</v>
      </c>
      <c r="D496" s="95">
        <f t="shared" si="62"/>
        <v>0</v>
      </c>
      <c r="E496" s="95">
        <f t="shared" si="63"/>
        <v>4.6348691292451449E-2</v>
      </c>
      <c r="F496" s="96">
        <f t="shared" si="64"/>
        <v>0</v>
      </c>
      <c r="G496" s="96">
        <f t="shared" si="65"/>
        <v>0.18557577833893926</v>
      </c>
      <c r="H496" s="96" t="str">
        <f t="shared" si="66"/>
        <v/>
      </c>
      <c r="I496" s="96" t="str">
        <f t="shared" si="67"/>
        <v/>
      </c>
      <c r="J496" s="96" t="str">
        <f t="shared" si="68"/>
        <v/>
      </c>
      <c r="K496" s="96" t="str">
        <f t="shared" si="69"/>
        <v/>
      </c>
      <c r="L496" s="96"/>
      <c r="M496" s="106">
        <f>IF(D496="","",ABS(D496-G$5))</f>
        <v>0</v>
      </c>
    </row>
    <row r="497" spans="2:13" ht="15.75" customHeight="1" x14ac:dyDescent="0.55000000000000004">
      <c r="B497" s="94">
        <v>44522</v>
      </c>
      <c r="C497" s="95">
        <v>4682.9399999999996</v>
      </c>
      <c r="D497" s="95">
        <f t="shared" si="62"/>
        <v>-3.2022541195681504E-3</v>
      </c>
      <c r="E497" s="95">
        <f t="shared" si="63"/>
        <v>0.23797152466155588</v>
      </c>
      <c r="F497" s="96">
        <f t="shared" si="64"/>
        <v>0.33700535475615939</v>
      </c>
      <c r="G497" s="96">
        <f t="shared" si="65"/>
        <v>0.95723580604427894</v>
      </c>
      <c r="H497" s="96" t="str">
        <f t="shared" si="66"/>
        <v/>
      </c>
      <c r="I497" s="96" t="str">
        <f t="shared" si="67"/>
        <v/>
      </c>
      <c r="J497" s="96" t="str">
        <f t="shared" si="68"/>
        <v/>
      </c>
      <c r="K497" s="96" t="str">
        <f t="shared" si="69"/>
        <v/>
      </c>
      <c r="L497" s="96"/>
      <c r="M497" s="106">
        <f>IF(D497="","",ABS(D497-G$5))</f>
        <v>3.2022541195681504E-3</v>
      </c>
    </row>
    <row r="498" spans="2:13" ht="15.75" customHeight="1" x14ac:dyDescent="0.55000000000000004">
      <c r="B498" s="94">
        <v>44523</v>
      </c>
      <c r="C498" s="95">
        <v>4701.46</v>
      </c>
      <c r="D498" s="95">
        <f t="shared" si="62"/>
        <v>3.9469809562800622E-3</v>
      </c>
      <c r="E498" s="95">
        <f t="shared" si="63"/>
        <v>0.18983858362571779</v>
      </c>
      <c r="F498" s="96">
        <f t="shared" si="64"/>
        <v>0.41538043756700654</v>
      </c>
      <c r="G498" s="96">
        <f t="shared" si="65"/>
        <v>0.78005459046248016</v>
      </c>
      <c r="H498" s="96" t="str">
        <f t="shared" si="66"/>
        <v/>
      </c>
      <c r="I498" s="96" t="str">
        <f t="shared" si="67"/>
        <v/>
      </c>
      <c r="J498" s="96" t="str">
        <f t="shared" si="68"/>
        <v/>
      </c>
      <c r="K498" s="96" t="str">
        <f t="shared" si="69"/>
        <v/>
      </c>
      <c r="L498" s="96"/>
      <c r="M498" s="106">
        <f>IF(D498="","",ABS(D498-G$5))</f>
        <v>3.9469809562800622E-3</v>
      </c>
    </row>
    <row r="499" spans="2:13" ht="15.75" customHeight="1" x14ac:dyDescent="0.55000000000000004">
      <c r="B499" s="94">
        <v>44524</v>
      </c>
      <c r="C499" s="95">
        <v>4701.46</v>
      </c>
      <c r="D499" s="95">
        <f t="shared" si="62"/>
        <v>0</v>
      </c>
      <c r="E499" s="95">
        <f t="shared" si="63"/>
        <v>4.6348691292451449E-2</v>
      </c>
      <c r="F499" s="96">
        <f t="shared" si="64"/>
        <v>0</v>
      </c>
      <c r="G499" s="96">
        <f t="shared" si="65"/>
        <v>0.20034724345557905</v>
      </c>
      <c r="H499" s="96" t="str">
        <f t="shared" si="66"/>
        <v/>
      </c>
      <c r="I499" s="96" t="str">
        <f t="shared" si="67"/>
        <v/>
      </c>
      <c r="J499" s="96" t="str">
        <f t="shared" si="68"/>
        <v/>
      </c>
      <c r="K499" s="96" t="str">
        <f t="shared" si="69"/>
        <v/>
      </c>
      <c r="L499" s="96"/>
      <c r="M499" s="106">
        <f>IF(D499="","",ABS(D499-G$5))</f>
        <v>0</v>
      </c>
    </row>
    <row r="500" spans="2:13" ht="15.75" customHeight="1" x14ac:dyDescent="0.55000000000000004">
      <c r="B500" s="94">
        <v>44526</v>
      </c>
      <c r="C500" s="95">
        <v>4594.62</v>
      </c>
      <c r="D500" s="95">
        <f t="shared" si="62"/>
        <v>-2.2987044973283768E-2</v>
      </c>
      <c r="E500" s="95">
        <f t="shared" si="63"/>
        <v>1.4218930809918213</v>
      </c>
      <c r="F500" s="96">
        <f t="shared" si="64"/>
        <v>2.4191575548857438</v>
      </c>
      <c r="G500" s="96">
        <f t="shared" si="65"/>
        <v>2.8418253103584363</v>
      </c>
      <c r="H500" s="96" t="str">
        <f t="shared" si="66"/>
        <v/>
      </c>
      <c r="I500" s="96" t="str">
        <f t="shared" si="67"/>
        <v/>
      </c>
      <c r="J500" s="96" t="str">
        <f t="shared" si="68"/>
        <v/>
      </c>
      <c r="K500" s="96" t="str">
        <f t="shared" si="69"/>
        <v/>
      </c>
      <c r="L500" s="96"/>
      <c r="M500" s="106">
        <f>IF(D500="","",ABS(D500-G$5))</f>
        <v>2.2987044973283768E-2</v>
      </c>
    </row>
    <row r="501" spans="2:13" ht="15.75" customHeight="1" x14ac:dyDescent="0.55000000000000004">
      <c r="B501" s="94">
        <v>44529</v>
      </c>
      <c r="C501" s="95">
        <v>4655.2700000000004</v>
      </c>
      <c r="D501" s="95">
        <f t="shared" si="62"/>
        <v>1.3113857392683798E-2</v>
      </c>
      <c r="E501" s="95">
        <f t="shared" si="63"/>
        <v>0.73838431744307398</v>
      </c>
      <c r="F501" s="96">
        <f t="shared" si="64"/>
        <v>1.3801028893481706</v>
      </c>
      <c r="G501" s="96">
        <f t="shared" si="65"/>
        <v>1.395834643865699</v>
      </c>
      <c r="H501" s="96" t="str">
        <f t="shared" si="66"/>
        <v/>
      </c>
      <c r="I501" s="96" t="str">
        <f t="shared" si="67"/>
        <v/>
      </c>
      <c r="J501" s="96" t="str">
        <f t="shared" si="68"/>
        <v/>
      </c>
      <c r="K501" s="96" t="str">
        <f t="shared" si="69"/>
        <v/>
      </c>
      <c r="L501" s="96"/>
      <c r="M501" s="106">
        <f>IF(D501="","",ABS(D501-G$5))</f>
        <v>1.3113857392683798E-2</v>
      </c>
    </row>
    <row r="502" spans="2:13" ht="15.75" customHeight="1" x14ac:dyDescent="0.55000000000000004">
      <c r="B502" s="94">
        <v>44530</v>
      </c>
      <c r="C502" s="95">
        <v>4567</v>
      </c>
      <c r="D502" s="95">
        <f t="shared" si="62"/>
        <v>-1.9143376992336782E-2</v>
      </c>
      <c r="E502" s="95">
        <f t="shared" si="63"/>
        <v>1.1918880528029612</v>
      </c>
      <c r="F502" s="96">
        <f t="shared" si="64"/>
        <v>2.0146497790760538</v>
      </c>
      <c r="G502" s="96">
        <f t="shared" si="65"/>
        <v>1.8990566020029576</v>
      </c>
      <c r="H502" s="96" t="str">
        <f t="shared" si="66"/>
        <v/>
      </c>
      <c r="I502" s="96" t="str">
        <f t="shared" si="67"/>
        <v/>
      </c>
      <c r="J502" s="96" t="str">
        <f t="shared" si="68"/>
        <v/>
      </c>
      <c r="K502" s="96" t="str">
        <f t="shared" si="69"/>
        <v/>
      </c>
      <c r="L502" s="96"/>
      <c r="M502" s="106">
        <f>IF(D502="","",ABS(D502-G$5))</f>
        <v>1.9143376992336782E-2</v>
      </c>
    </row>
    <row r="503" spans="2:13" ht="15.75" customHeight="1" x14ac:dyDescent="0.55000000000000004">
      <c r="B503" s="94">
        <v>44531</v>
      </c>
      <c r="C503" s="95">
        <v>4538.43</v>
      </c>
      <c r="D503" s="95">
        <f t="shared" si="62"/>
        <v>-6.2753969353669661E-3</v>
      </c>
      <c r="E503" s="95">
        <f t="shared" si="63"/>
        <v>0.42186833975588467</v>
      </c>
      <c r="F503" s="96">
        <f t="shared" si="64"/>
        <v>0.66042303061328034</v>
      </c>
      <c r="G503" s="96">
        <f t="shared" si="65"/>
        <v>0.69138796485242182</v>
      </c>
      <c r="H503" s="96" t="str">
        <f t="shared" si="66"/>
        <v/>
      </c>
      <c r="I503" s="96" t="str">
        <f t="shared" si="67"/>
        <v/>
      </c>
      <c r="J503" s="96" t="str">
        <f t="shared" si="68"/>
        <v/>
      </c>
      <c r="K503" s="96" t="str">
        <f t="shared" si="69"/>
        <v/>
      </c>
      <c r="L503" s="96"/>
      <c r="M503" s="106">
        <f>IF(D503="","",ABS(D503-G$5))</f>
        <v>6.2753969353669661E-3</v>
      </c>
    </row>
    <row r="504" spans="2:13" ht="15.75" customHeight="1" x14ac:dyDescent="0.55000000000000004">
      <c r="B504" s="94">
        <v>44532</v>
      </c>
      <c r="C504" s="95">
        <v>4538.43</v>
      </c>
      <c r="D504" s="95">
        <f t="shared" si="62"/>
        <v>0</v>
      </c>
      <c r="E504" s="95">
        <f t="shared" si="63"/>
        <v>4.6348691292451449E-2</v>
      </c>
      <c r="F504" s="96">
        <f t="shared" si="64"/>
        <v>0</v>
      </c>
      <c r="G504" s="96">
        <f t="shared" si="65"/>
        <v>8.0042737886579701E-2</v>
      </c>
      <c r="H504" s="96" t="str">
        <f t="shared" si="66"/>
        <v/>
      </c>
      <c r="I504" s="96" t="str">
        <f t="shared" si="67"/>
        <v/>
      </c>
      <c r="J504" s="96" t="str">
        <f t="shared" si="68"/>
        <v/>
      </c>
      <c r="K504" s="96" t="str">
        <f t="shared" si="69"/>
        <v/>
      </c>
      <c r="L504" s="96"/>
      <c r="M504" s="106">
        <f>IF(D504="","",ABS(D504-G$5))</f>
        <v>0</v>
      </c>
    </row>
    <row r="505" spans="2:13" ht="15.75" customHeight="1" x14ac:dyDescent="0.55000000000000004">
      <c r="B505" s="94">
        <v>44533</v>
      </c>
      <c r="C505" s="95">
        <v>4538.43</v>
      </c>
      <c r="D505" s="95">
        <f t="shared" si="62"/>
        <v>0</v>
      </c>
      <c r="E505" s="95">
        <f t="shared" si="63"/>
        <v>4.6348691292451449E-2</v>
      </c>
      <c r="F505" s="96">
        <f t="shared" si="64"/>
        <v>0</v>
      </c>
      <c r="G505" s="96">
        <f t="shared" si="65"/>
        <v>8.434243882762589E-2</v>
      </c>
      <c r="H505" s="96" t="str">
        <f t="shared" si="66"/>
        <v/>
      </c>
      <c r="I505" s="96" t="str">
        <f t="shared" si="67"/>
        <v/>
      </c>
      <c r="J505" s="96" t="str">
        <f t="shared" si="68"/>
        <v/>
      </c>
      <c r="K505" s="96" t="str">
        <f t="shared" si="69"/>
        <v/>
      </c>
      <c r="L505" s="96"/>
      <c r="M505" s="106">
        <f>IF(D505="","",ABS(D505-G$5))</f>
        <v>0</v>
      </c>
    </row>
    <row r="506" spans="2:13" ht="15.75" customHeight="1" x14ac:dyDescent="0.55000000000000004">
      <c r="B506" s="94">
        <v>44536</v>
      </c>
      <c r="C506" s="95">
        <v>4686.75</v>
      </c>
      <c r="D506" s="95">
        <f t="shared" si="62"/>
        <v>3.2158241227668791E-2</v>
      </c>
      <c r="E506" s="95">
        <f t="shared" si="63"/>
        <v>1.8779999300605816</v>
      </c>
      <c r="F506" s="96">
        <f t="shared" si="64"/>
        <v>3.3843346244882637</v>
      </c>
      <c r="G506" s="96">
        <f t="shared" si="65"/>
        <v>2.3765047205204826</v>
      </c>
      <c r="H506" s="96" t="str">
        <f t="shared" si="66"/>
        <v/>
      </c>
      <c r="I506" s="96" t="str">
        <f t="shared" si="67"/>
        <v>OUTLIER</v>
      </c>
      <c r="J506" s="96" t="str">
        <f t="shared" si="68"/>
        <v/>
      </c>
      <c r="K506" s="96" t="str">
        <f t="shared" si="69"/>
        <v/>
      </c>
      <c r="L506" s="96"/>
      <c r="M506" s="106">
        <f>IF(D506="","",ABS(D506-G$5))</f>
        <v>3.2158241227668791E-2</v>
      </c>
    </row>
    <row r="507" spans="2:13" ht="15.75" customHeight="1" x14ac:dyDescent="0.55000000000000004">
      <c r="B507" s="94">
        <v>44537</v>
      </c>
      <c r="C507" s="95">
        <v>4712.0200000000004</v>
      </c>
      <c r="D507" s="95">
        <f t="shared" si="62"/>
        <v>5.3773123272874536E-3</v>
      </c>
      <c r="E507" s="95">
        <f t="shared" si="63"/>
        <v>0.27542958912846488</v>
      </c>
      <c r="F507" s="96">
        <f t="shared" si="64"/>
        <v>0.56590856965985092</v>
      </c>
      <c r="G507" s="96">
        <f t="shared" si="65"/>
        <v>0.36493963318961775</v>
      </c>
      <c r="H507" s="96" t="str">
        <f t="shared" si="66"/>
        <v/>
      </c>
      <c r="I507" s="96" t="str">
        <f t="shared" si="67"/>
        <v/>
      </c>
      <c r="J507" s="96" t="str">
        <f t="shared" si="68"/>
        <v/>
      </c>
      <c r="K507" s="96" t="str">
        <f t="shared" si="69"/>
        <v/>
      </c>
      <c r="L507" s="96"/>
      <c r="M507" s="106">
        <f>IF(D507="","",ABS(D507-G$5))</f>
        <v>5.3773123272874536E-3</v>
      </c>
    </row>
    <row r="508" spans="2:13" ht="15.75" customHeight="1" x14ac:dyDescent="0.55000000000000004">
      <c r="B508" s="94">
        <v>44538</v>
      </c>
      <c r="C508" s="95">
        <v>4701.21</v>
      </c>
      <c r="D508" s="95">
        <f t="shared" si="62"/>
        <v>-2.2967684316704956E-3</v>
      </c>
      <c r="E508" s="95">
        <f t="shared" si="63"/>
        <v>0.18378727612555254</v>
      </c>
      <c r="F508" s="96">
        <f t="shared" si="64"/>
        <v>0.24171200385940839</v>
      </c>
      <c r="G508" s="96">
        <f t="shared" si="65"/>
        <v>0.25584596202408433</v>
      </c>
      <c r="H508" s="96" t="str">
        <f t="shared" si="66"/>
        <v/>
      </c>
      <c r="I508" s="96" t="str">
        <f t="shared" si="67"/>
        <v/>
      </c>
      <c r="J508" s="96" t="str">
        <f t="shared" si="68"/>
        <v/>
      </c>
      <c r="K508" s="96" t="str">
        <f t="shared" si="69"/>
        <v/>
      </c>
      <c r="L508" s="96"/>
      <c r="M508" s="106">
        <f>IF(D508="","",ABS(D508-G$5))</f>
        <v>2.2967684316704956E-3</v>
      </c>
    </row>
    <row r="509" spans="2:13" ht="15.75" customHeight="1" x14ac:dyDescent="0.55000000000000004">
      <c r="B509" s="94">
        <v>44539</v>
      </c>
      <c r="C509" s="95">
        <v>4667.45</v>
      </c>
      <c r="D509" s="95">
        <f t="shared" si="62"/>
        <v>-7.2070383872084483E-3</v>
      </c>
      <c r="E509" s="95">
        <f t="shared" si="63"/>
        <v>0.47761774877219543</v>
      </c>
      <c r="F509" s="96">
        <f t="shared" si="64"/>
        <v>0.75846901517921583</v>
      </c>
      <c r="G509" s="96">
        <f t="shared" si="65"/>
        <v>0.68424253162548798</v>
      </c>
      <c r="H509" s="96" t="str">
        <f t="shared" si="66"/>
        <v/>
      </c>
      <c r="I509" s="96" t="str">
        <f t="shared" si="67"/>
        <v/>
      </c>
      <c r="J509" s="96" t="str">
        <f t="shared" si="68"/>
        <v/>
      </c>
      <c r="K509" s="96" t="str">
        <f t="shared" si="69"/>
        <v/>
      </c>
      <c r="L509" s="96"/>
      <c r="M509" s="106">
        <f>IF(D509="","",ABS(D509-G$5))</f>
        <v>7.2070383872084483E-3</v>
      </c>
    </row>
    <row r="510" spans="2:13" ht="15.75" customHeight="1" x14ac:dyDescent="0.55000000000000004">
      <c r="B510" s="94">
        <v>44540</v>
      </c>
      <c r="C510" s="95">
        <v>4712.0200000000004</v>
      </c>
      <c r="D510" s="95">
        <f t="shared" si="62"/>
        <v>9.5038068188789387E-3</v>
      </c>
      <c r="E510" s="95">
        <f t="shared" si="63"/>
        <v>0.52235895102039331</v>
      </c>
      <c r="F510" s="96">
        <f t="shared" si="64"/>
        <v>1.0001810190386238</v>
      </c>
      <c r="G510" s="96">
        <f t="shared" si="65"/>
        <v>0.76536646948114817</v>
      </c>
      <c r="H510" s="96" t="str">
        <f t="shared" si="66"/>
        <v/>
      </c>
      <c r="I510" s="96" t="str">
        <f t="shared" si="67"/>
        <v/>
      </c>
      <c r="J510" s="96" t="str">
        <f t="shared" si="68"/>
        <v/>
      </c>
      <c r="K510" s="96" t="str">
        <f t="shared" si="69"/>
        <v/>
      </c>
      <c r="L510" s="96"/>
      <c r="M510" s="106">
        <f>IF(D510="","",ABS(D510-G$5))</f>
        <v>9.5038068188789387E-3</v>
      </c>
    </row>
    <row r="511" spans="2:13" ht="15.75" customHeight="1" x14ac:dyDescent="0.55000000000000004">
      <c r="B511" s="94">
        <v>44543</v>
      </c>
      <c r="C511" s="95">
        <v>4709.8500000000004</v>
      </c>
      <c r="D511" s="95">
        <f t="shared" si="62"/>
        <v>-4.6063043501324712E-4</v>
      </c>
      <c r="E511" s="95">
        <f t="shared" si="63"/>
        <v>7.3912808878842468E-2</v>
      </c>
      <c r="F511" s="96">
        <f t="shared" si="64"/>
        <v>4.8476765855190167E-2</v>
      </c>
      <c r="G511" s="96">
        <f t="shared" si="65"/>
        <v>0.11408171720781719</v>
      </c>
      <c r="H511" s="96" t="str">
        <f t="shared" si="66"/>
        <v/>
      </c>
      <c r="I511" s="96" t="str">
        <f t="shared" si="67"/>
        <v/>
      </c>
      <c r="J511" s="96" t="str">
        <f t="shared" si="68"/>
        <v/>
      </c>
      <c r="K511" s="96" t="str">
        <f t="shared" si="69"/>
        <v/>
      </c>
      <c r="L511" s="96"/>
      <c r="M511" s="106">
        <f>IF(D511="","",ABS(D511-G$5))</f>
        <v>4.6063043501324712E-4</v>
      </c>
    </row>
    <row r="512" spans="2:13" ht="15.75" customHeight="1" x14ac:dyDescent="0.55000000000000004">
      <c r="B512" s="94">
        <v>44544</v>
      </c>
      <c r="C512" s="95">
        <v>4634.09</v>
      </c>
      <c r="D512" s="95">
        <f t="shared" si="62"/>
        <v>-1.6216212899904076E-2</v>
      </c>
      <c r="E512" s="95">
        <f t="shared" si="63"/>
        <v>1.0167266020921406</v>
      </c>
      <c r="F512" s="96">
        <f t="shared" si="64"/>
        <v>1.7065949100474804</v>
      </c>
      <c r="G512" s="96">
        <f t="shared" si="65"/>
        <v>1.4657442162587804</v>
      </c>
      <c r="H512" s="96" t="str">
        <f t="shared" si="66"/>
        <v/>
      </c>
      <c r="I512" s="96" t="str">
        <f t="shared" si="67"/>
        <v/>
      </c>
      <c r="J512" s="96" t="str">
        <f t="shared" si="68"/>
        <v/>
      </c>
      <c r="K512" s="96" t="str">
        <f t="shared" si="69"/>
        <v/>
      </c>
      <c r="L512" s="96"/>
      <c r="M512" s="106">
        <f>IF(D512="","",ABS(D512-G$5))</f>
        <v>1.6216212899904076E-2</v>
      </c>
    </row>
    <row r="513" spans="2:13" ht="15.75" customHeight="1" x14ac:dyDescent="0.55000000000000004">
      <c r="B513" s="94">
        <v>44545</v>
      </c>
      <c r="C513" s="95">
        <v>4709.8500000000004</v>
      </c>
      <c r="D513" s="95">
        <f t="shared" si="62"/>
        <v>1.6216212899904034E-2</v>
      </c>
      <c r="E513" s="95">
        <f t="shared" si="63"/>
        <v>0.92402921950723538</v>
      </c>
      <c r="F513" s="96">
        <f t="shared" si="64"/>
        <v>1.706594910047476</v>
      </c>
      <c r="G513" s="96">
        <f t="shared" si="65"/>
        <v>1.2833374367536903</v>
      </c>
      <c r="H513" s="96" t="str">
        <f t="shared" si="66"/>
        <v/>
      </c>
      <c r="I513" s="96" t="str">
        <f t="shared" si="67"/>
        <v/>
      </c>
      <c r="J513" s="96" t="str">
        <f t="shared" si="68"/>
        <v/>
      </c>
      <c r="K513" s="96" t="str">
        <f t="shared" si="69"/>
        <v/>
      </c>
      <c r="L513" s="96"/>
      <c r="M513" s="106">
        <f>IF(D513="","",ABS(D513-G$5))</f>
        <v>1.6216212899904034E-2</v>
      </c>
    </row>
    <row r="514" spans="2:13" ht="15.75" customHeight="1" x14ac:dyDescent="0.55000000000000004">
      <c r="B514" s="94">
        <v>44546</v>
      </c>
      <c r="C514" s="95">
        <v>4766.18</v>
      </c>
      <c r="D514" s="95">
        <f t="shared" si="62"/>
        <v>1.1889085095870661E-2</v>
      </c>
      <c r="E514" s="95">
        <f t="shared" si="63"/>
        <v>0.66509396352857275</v>
      </c>
      <c r="F514" s="96">
        <f t="shared" si="64"/>
        <v>1.2512078026463411</v>
      </c>
      <c r="G514" s="96">
        <f t="shared" si="65"/>
        <v>0.93056863941006984</v>
      </c>
      <c r="H514" s="96" t="str">
        <f t="shared" si="66"/>
        <v/>
      </c>
      <c r="I514" s="96" t="str">
        <f t="shared" si="67"/>
        <v/>
      </c>
      <c r="J514" s="96" t="str">
        <f t="shared" si="68"/>
        <v/>
      </c>
      <c r="K514" s="96" t="str">
        <f t="shared" si="69"/>
        <v/>
      </c>
      <c r="L514" s="96"/>
      <c r="M514" s="106">
        <f>IF(D514="","",ABS(D514-G$5))</f>
        <v>1.1889085095870661E-2</v>
      </c>
    </row>
    <row r="515" spans="2:13" ht="15.75" customHeight="1" x14ac:dyDescent="0.55000000000000004">
      <c r="B515" s="94">
        <v>44547</v>
      </c>
      <c r="C515" s="95">
        <v>4620.6400000000003</v>
      </c>
      <c r="D515" s="95">
        <f t="shared" si="62"/>
        <v>-3.1011921845269394E-2</v>
      </c>
      <c r="E515" s="95">
        <f t="shared" si="63"/>
        <v>1.9021015798274663</v>
      </c>
      <c r="F515" s="96">
        <f t="shared" si="64"/>
        <v>3.2636959257139551</v>
      </c>
      <c r="G515" s="96">
        <f t="shared" si="65"/>
        <v>2.0985521644459224</v>
      </c>
      <c r="H515" s="96" t="str">
        <f t="shared" si="66"/>
        <v/>
      </c>
      <c r="I515" s="96" t="str">
        <f t="shared" si="67"/>
        <v>OUTLIER</v>
      </c>
      <c r="J515" s="96" t="str">
        <f t="shared" si="68"/>
        <v/>
      </c>
      <c r="K515" s="96" t="str">
        <f t="shared" si="69"/>
        <v/>
      </c>
      <c r="L515" s="96"/>
      <c r="M515" s="106">
        <f>IF(D515="","",ABS(D515-G$5))</f>
        <v>3.1011921845269394E-2</v>
      </c>
    </row>
    <row r="516" spans="2:13" ht="15.75" customHeight="1" x14ac:dyDescent="0.55000000000000004">
      <c r="B516" s="94">
        <v>44550</v>
      </c>
      <c r="C516" s="95">
        <v>4568.0200000000004</v>
      </c>
      <c r="D516" s="95">
        <f t="shared" si="62"/>
        <v>-1.1453373010201799E-2</v>
      </c>
      <c r="E516" s="95">
        <f t="shared" si="63"/>
        <v>0.73171834213829812</v>
      </c>
      <c r="F516" s="96">
        <f t="shared" si="64"/>
        <v>1.205353444897187</v>
      </c>
      <c r="G516" s="96">
        <f t="shared" si="65"/>
        <v>0.82172723718201557</v>
      </c>
      <c r="H516" s="96" t="str">
        <f t="shared" si="66"/>
        <v/>
      </c>
      <c r="I516" s="96" t="str">
        <f t="shared" si="67"/>
        <v/>
      </c>
      <c r="J516" s="96" t="str">
        <f t="shared" si="68"/>
        <v/>
      </c>
      <c r="K516" s="96" t="str">
        <f t="shared" si="69"/>
        <v/>
      </c>
      <c r="L516" s="96"/>
      <c r="M516" s="106">
        <f>IF(D516="","",ABS(D516-G$5))</f>
        <v>1.1453373010201799E-2</v>
      </c>
    </row>
    <row r="517" spans="2:13" ht="15.75" customHeight="1" x14ac:dyDescent="0.55000000000000004">
      <c r="B517" s="94">
        <v>44551</v>
      </c>
      <c r="C517" s="95">
        <v>4649.2299999999996</v>
      </c>
      <c r="D517" s="95">
        <f t="shared" si="62"/>
        <v>1.7621763861808751E-2</v>
      </c>
      <c r="E517" s="95">
        <f t="shared" si="63"/>
        <v>1.0081373657405439</v>
      </c>
      <c r="F517" s="96">
        <f t="shared" si="64"/>
        <v>1.8545151508709743</v>
      </c>
      <c r="G517" s="96">
        <f t="shared" si="65"/>
        <v>1.1165282335897966</v>
      </c>
      <c r="H517" s="96" t="str">
        <f t="shared" si="66"/>
        <v/>
      </c>
      <c r="I517" s="96" t="str">
        <f t="shared" si="67"/>
        <v/>
      </c>
      <c r="J517" s="96" t="str">
        <f t="shared" si="68"/>
        <v/>
      </c>
      <c r="K517" s="96" t="str">
        <f t="shared" si="69"/>
        <v/>
      </c>
      <c r="L517" s="96"/>
      <c r="M517" s="106">
        <f>IF(D517="","",ABS(D517-G$5))</f>
        <v>1.7621763861808751E-2</v>
      </c>
    </row>
    <row r="518" spans="2:13" ht="15.75" customHeight="1" x14ac:dyDescent="0.55000000000000004">
      <c r="B518" s="94">
        <v>44552</v>
      </c>
      <c r="C518" s="95">
        <v>4725.79</v>
      </c>
      <c r="D518" s="95">
        <f t="shared" si="62"/>
        <v>1.6333128247601091E-2</v>
      </c>
      <c r="E518" s="95">
        <f t="shared" si="63"/>
        <v>0.93102543197305476</v>
      </c>
      <c r="F518" s="96">
        <f t="shared" si="64"/>
        <v>1.7188990860297368</v>
      </c>
      <c r="G518" s="96">
        <f t="shared" si="65"/>
        <v>1.0278815276348972</v>
      </c>
      <c r="H518" s="96" t="str">
        <f t="shared" si="66"/>
        <v/>
      </c>
      <c r="I518" s="96" t="str">
        <f t="shared" si="67"/>
        <v/>
      </c>
      <c r="J518" s="96" t="str">
        <f t="shared" si="68"/>
        <v/>
      </c>
      <c r="K518" s="96" t="str">
        <f t="shared" si="69"/>
        <v/>
      </c>
      <c r="L518" s="96"/>
      <c r="M518" s="106">
        <f>IF(D518="","",ABS(D518-G$5))</f>
        <v>1.6333128247601091E-2</v>
      </c>
    </row>
    <row r="519" spans="2:13" ht="15.75" customHeight="1" x14ac:dyDescent="0.55000000000000004">
      <c r="B519" s="94">
        <v>44553</v>
      </c>
      <c r="C519" s="95">
        <v>4725.79</v>
      </c>
      <c r="D519" s="95">
        <f t="shared" si="62"/>
        <v>0</v>
      </c>
      <c r="E519" s="95">
        <f t="shared" si="63"/>
        <v>4.6348691292451449E-2</v>
      </c>
      <c r="F519" s="96">
        <f t="shared" si="64"/>
        <v>0</v>
      </c>
      <c r="G519" s="96">
        <f t="shared" si="65"/>
        <v>5.3930515504727411E-2</v>
      </c>
      <c r="H519" s="96" t="str">
        <f t="shared" si="66"/>
        <v/>
      </c>
      <c r="I519" s="96" t="str">
        <f t="shared" si="67"/>
        <v/>
      </c>
      <c r="J519" s="96" t="str">
        <f t="shared" si="68"/>
        <v/>
      </c>
      <c r="K519" s="96" t="str">
        <f t="shared" si="69"/>
        <v/>
      </c>
      <c r="L519" s="96"/>
      <c r="M519" s="106">
        <f>IF(D519="","",ABS(D519-G$5))</f>
        <v>0</v>
      </c>
    </row>
    <row r="520" spans="2:13" ht="15.75" customHeight="1" x14ac:dyDescent="0.55000000000000004">
      <c r="B520" s="94">
        <v>44554</v>
      </c>
      <c r="C520" s="95">
        <v>4725.79</v>
      </c>
      <c r="D520" s="95">
        <f t="shared" si="62"/>
        <v>0</v>
      </c>
      <c r="E520" s="95">
        <f t="shared" si="63"/>
        <v>4.6348691292451449E-2</v>
      </c>
      <c r="F520" s="96">
        <f t="shared" si="64"/>
        <v>0</v>
      </c>
      <c r="G520" s="96">
        <f t="shared" si="65"/>
        <v>5.6838571368461724E-2</v>
      </c>
      <c r="H520" s="96" t="str">
        <f t="shared" si="66"/>
        <v/>
      </c>
      <c r="I520" s="96" t="str">
        <f t="shared" si="67"/>
        <v/>
      </c>
      <c r="J520" s="96" t="str">
        <f t="shared" si="68"/>
        <v/>
      </c>
      <c r="K520" s="96" t="str">
        <f t="shared" si="69"/>
        <v/>
      </c>
      <c r="L520" s="96"/>
      <c r="M520" s="106">
        <f>IF(D520="","",ABS(D520-G$5))</f>
        <v>0</v>
      </c>
    </row>
    <row r="521" spans="2:13" ht="15.75" customHeight="1" x14ac:dyDescent="0.55000000000000004">
      <c r="B521" s="94">
        <v>44557</v>
      </c>
      <c r="C521" s="95">
        <v>4791.1899999999996</v>
      </c>
      <c r="D521" s="95">
        <f t="shared" si="62"/>
        <v>1.3744072068897223E-2</v>
      </c>
      <c r="E521" s="95">
        <f t="shared" si="63"/>
        <v>0.77609635320839765</v>
      </c>
      <c r="F521" s="96">
        <f t="shared" si="64"/>
        <v>1.4464267076960053</v>
      </c>
      <c r="G521" s="96">
        <f t="shared" si="65"/>
        <v>0.95626017809555452</v>
      </c>
      <c r="H521" s="96" t="str">
        <f t="shared" si="66"/>
        <v/>
      </c>
      <c r="I521" s="96" t="str">
        <f t="shared" si="67"/>
        <v/>
      </c>
      <c r="J521" s="96" t="str">
        <f t="shared" si="68"/>
        <v/>
      </c>
      <c r="K521" s="96" t="str">
        <f t="shared" si="69"/>
        <v/>
      </c>
      <c r="L521" s="96"/>
      <c r="M521" s="106">
        <f>IF(D521="","",ABS(D521-G$5))</f>
        <v>1.3744072068897223E-2</v>
      </c>
    </row>
    <row r="522" spans="2:13" ht="15.75" customHeight="1" x14ac:dyDescent="0.55000000000000004">
      <c r="B522" s="94">
        <v>44558</v>
      </c>
      <c r="C522" s="95">
        <v>4786.3500000000004</v>
      </c>
      <c r="D522" s="95">
        <f t="shared" si="62"/>
        <v>-1.0106980314378653E-3</v>
      </c>
      <c r="E522" s="95">
        <f t="shared" si="63"/>
        <v>0.10682884471975604</v>
      </c>
      <c r="F522" s="96">
        <f t="shared" si="64"/>
        <v>0.10636590224201313</v>
      </c>
      <c r="G522" s="96">
        <f t="shared" si="65"/>
        <v>0.13861495065647847</v>
      </c>
      <c r="H522" s="96" t="str">
        <f t="shared" si="66"/>
        <v/>
      </c>
      <c r="I522" s="96" t="str">
        <f t="shared" si="67"/>
        <v/>
      </c>
      <c r="J522" s="96" t="str">
        <f t="shared" si="68"/>
        <v/>
      </c>
      <c r="K522" s="96" t="str">
        <f t="shared" si="69"/>
        <v/>
      </c>
      <c r="L522" s="96"/>
      <c r="M522" s="106">
        <f>IF(D522="","",ABS(D522-G$5))</f>
        <v>1.0106980314378653E-3</v>
      </c>
    </row>
    <row r="523" spans="2:13" ht="15.75" customHeight="1" x14ac:dyDescent="0.55000000000000004">
      <c r="B523" s="94">
        <v>44559</v>
      </c>
      <c r="C523" s="95">
        <v>4793.0600000000004</v>
      </c>
      <c r="D523" s="95">
        <f t="shared" si="62"/>
        <v>1.4009215802245781E-3</v>
      </c>
      <c r="E523" s="95">
        <f t="shared" si="63"/>
        <v>3.7482432817948386E-2</v>
      </c>
      <c r="F523" s="96">
        <f t="shared" si="64"/>
        <v>0.14743304450579089</v>
      </c>
      <c r="G523" s="96">
        <f t="shared" si="65"/>
        <v>5.1259102353292972E-2</v>
      </c>
      <c r="H523" s="96" t="str">
        <f t="shared" si="66"/>
        <v/>
      </c>
      <c r="I523" s="96" t="str">
        <f t="shared" si="67"/>
        <v/>
      </c>
      <c r="J523" s="96" t="str">
        <f t="shared" si="68"/>
        <v/>
      </c>
      <c r="K523" s="96" t="str">
        <f t="shared" si="69"/>
        <v/>
      </c>
      <c r="L523" s="96"/>
      <c r="M523" s="106">
        <f>IF(D523="","",ABS(D523-G$5))</f>
        <v>1.4009215802245781E-3</v>
      </c>
    </row>
    <row r="524" spans="2:13" ht="15.75" customHeight="1" x14ac:dyDescent="0.55000000000000004">
      <c r="B524" s="94">
        <v>44560</v>
      </c>
      <c r="C524" s="95">
        <v>4778.7299999999996</v>
      </c>
      <c r="D524" s="95">
        <f t="shared" si="62"/>
        <v>-2.9942175300769428E-3</v>
      </c>
      <c r="E524" s="95">
        <f t="shared" si="63"/>
        <v>0.22552261859905809</v>
      </c>
      <c r="F524" s="96">
        <f t="shared" si="64"/>
        <v>0.31511157555377656</v>
      </c>
      <c r="G524" s="96">
        <f t="shared" si="65"/>
        <v>0.32339190248367411</v>
      </c>
      <c r="H524" s="96" t="str">
        <f t="shared" si="66"/>
        <v/>
      </c>
      <c r="I524" s="96" t="str">
        <f t="shared" si="67"/>
        <v/>
      </c>
      <c r="J524" s="96" t="str">
        <f t="shared" si="68"/>
        <v/>
      </c>
      <c r="K524" s="96" t="str">
        <f t="shared" si="69"/>
        <v/>
      </c>
      <c r="L524" s="96"/>
      <c r="M524" s="106">
        <f>IF(D524="","",ABS(D524-G$5))</f>
        <v>2.9942175300769428E-3</v>
      </c>
    </row>
    <row r="525" spans="2:13" ht="15.75" customHeight="1" x14ac:dyDescent="0.55000000000000004">
      <c r="B525" s="94">
        <v>44561</v>
      </c>
      <c r="C525" s="95">
        <v>4766.18</v>
      </c>
      <c r="D525" s="95">
        <f t="shared" si="62"/>
        <v>-2.6296753415458013E-3</v>
      </c>
      <c r="E525" s="95">
        <f t="shared" si="63"/>
        <v>0.20370842008743839</v>
      </c>
      <c r="F525" s="96">
        <f t="shared" si="64"/>
        <v>0.27674714069559242</v>
      </c>
      <c r="G525" s="96">
        <f t="shared" si="65"/>
        <v>0.30646274676290891</v>
      </c>
      <c r="H525" s="96" t="str">
        <f t="shared" si="66"/>
        <v/>
      </c>
      <c r="I525" s="96" t="str">
        <f t="shared" si="67"/>
        <v/>
      </c>
      <c r="J525" s="96" t="str">
        <f t="shared" si="68"/>
        <v/>
      </c>
      <c r="K525" s="96" t="str">
        <f t="shared" si="69"/>
        <v/>
      </c>
      <c r="L525" s="96"/>
      <c r="M525" s="106">
        <f>IF(D525="","",ABS(D525-G$5))</f>
        <v>2.6296753415458013E-3</v>
      </c>
    </row>
    <row r="526" spans="2:13" ht="12.75" customHeight="1" x14ac:dyDescent="0.55000000000000004">
      <c r="B526" s="97"/>
      <c r="C526" s="89"/>
      <c r="D526" s="91" t="str">
        <f t="shared" si="62"/>
        <v/>
      </c>
      <c r="E526" s="89" t="str">
        <f t="shared" si="63"/>
        <v/>
      </c>
      <c r="F526" s="89" t="str">
        <f t="shared" si="64"/>
        <v/>
      </c>
      <c r="G526" s="89" t="str">
        <f t="shared" si="65"/>
        <v/>
      </c>
      <c r="H526" s="90" t="str">
        <f t="shared" si="66"/>
        <v/>
      </c>
      <c r="I526" s="90" t="str">
        <f t="shared" si="67"/>
        <v/>
      </c>
      <c r="J526" s="90" t="str">
        <f t="shared" si="68"/>
        <v/>
      </c>
      <c r="K526" s="90" t="str">
        <f t="shared" si="69"/>
        <v>MISSING</v>
      </c>
      <c r="L526" s="90"/>
      <c r="M526" s="106" t="str">
        <f>IF(D526="","",ABS(D526-G$5))</f>
        <v/>
      </c>
    </row>
    <row r="527" spans="2:13" ht="12.75" customHeight="1" x14ac:dyDescent="0.55000000000000004">
      <c r="B527" s="102" t="str">
        <f>"YEAR 2025   |   Observations: "&amp;COUNTA(C529:C787)&amp;"   |   Missing: "&amp;COUNTIF(K529:K787,"MISSING")&amp;"   |   Stale: "&amp;COUNTIF(L529:L787,"STALE")&amp;"   |   Z&gt;3 Outliers: "&amp;COUNTIF(H529:H787,"OUTLIER")&amp;"   |   Robust Z&gt;3: "&amp;COUNTIF(I529:I787,"OUTLIER")</f>
        <v>YEAR 2025   |   Observations: 243   |   Missing: 13   |   Stale: 0   |   Z&gt;3 Outliers: 5   |   Robust Z&gt;3: 12</v>
      </c>
      <c r="C527" s="102"/>
      <c r="D527" s="102"/>
      <c r="E527" s="102"/>
      <c r="F527" s="102"/>
      <c r="G527" s="102"/>
      <c r="H527" s="102"/>
      <c r="I527" s="102"/>
      <c r="J527" s="102"/>
      <c r="K527" s="102"/>
      <c r="L527" s="102"/>
      <c r="M527" s="106"/>
    </row>
    <row r="528" spans="2:13" ht="12.75" customHeight="1" x14ac:dyDescent="0.55000000000000004">
      <c r="B528" s="84" t="s">
        <v>51</v>
      </c>
      <c r="C528" s="85" t="s">
        <v>52</v>
      </c>
      <c r="D528" s="81" t="s">
        <v>53</v>
      </c>
      <c r="E528" s="80" t="s">
        <v>54</v>
      </c>
      <c r="F528" s="80" t="s">
        <v>55</v>
      </c>
      <c r="G528" s="80" t="s">
        <v>56</v>
      </c>
      <c r="H528" s="82" t="s">
        <v>57</v>
      </c>
      <c r="I528" s="82" t="s">
        <v>105</v>
      </c>
      <c r="J528" s="82" t="s">
        <v>106</v>
      </c>
      <c r="K528" s="82" t="s">
        <v>58</v>
      </c>
      <c r="L528" s="82" t="s">
        <v>59</v>
      </c>
      <c r="M528" s="106"/>
    </row>
    <row r="529" spans="2:13" ht="12.75" customHeight="1" x14ac:dyDescent="0.55000000000000004">
      <c r="B529" s="97">
        <v>45658</v>
      </c>
      <c r="C529" s="89"/>
      <c r="D529" s="91"/>
      <c r="E529" s="89" t="str">
        <f t="shared" ref="E529:E536" si="70">IF(D529="","",ABS(D529-$E$5)/$F$5)</f>
        <v/>
      </c>
      <c r="F529" s="89" t="str">
        <f t="shared" ref="F529:F547" si="71">IF(D529="","",ABS(D529-$G$5)/$H$5)</f>
        <v/>
      </c>
      <c r="G529" s="89" t="str">
        <f>IF(D529="","",ABS(D529-$E$5)/$F$5)</f>
        <v/>
      </c>
      <c r="H529" s="90" t="str">
        <f t="shared" ref="H529:J536" si="72">IF(E529="","",IF(E529&gt;$I$5,"OUTLIER",""))</f>
        <v/>
      </c>
      <c r="I529" s="90" t="str">
        <f t="shared" si="72"/>
        <v/>
      </c>
      <c r="J529" s="90" t="str">
        <f t="shared" si="72"/>
        <v/>
      </c>
      <c r="K529" s="90" t="str">
        <f t="shared" ref="K529:K536" si="73">IF(C529="","MISSING","")</f>
        <v>MISSING</v>
      </c>
      <c r="L529" s="90"/>
      <c r="M529" s="106" t="str">
        <f>IF(D529="","",ABS(D529-G$5))</f>
        <v/>
      </c>
    </row>
    <row r="530" spans="2:13" ht="12.75" customHeight="1" x14ac:dyDescent="0.55000000000000004">
      <c r="B530" s="97">
        <v>45659</v>
      </c>
      <c r="C530" s="89">
        <v>5868.55</v>
      </c>
      <c r="D530" s="91" t="str">
        <f t="shared" ref="D530:D535" si="74">IF(OR(C530="",C529=""),"",LN(C530/C529))</f>
        <v/>
      </c>
      <c r="E530" s="89" t="str">
        <f t="shared" si="70"/>
        <v/>
      </c>
      <c r="F530" s="89" t="str">
        <f t="shared" si="71"/>
        <v/>
      </c>
      <c r="G530" s="89" t="str">
        <f t="shared" ref="G530:G536" si="75">IF(D530="","",ABS(D530-$E$5)/SQRT(0.9*(IF(G529="",($F$5)^2,(ABS(D529-$E$5)/MAX(G529,0.0000000001))^2))+0.1*(D530-$E$5)^2))</f>
        <v/>
      </c>
      <c r="H530" s="90" t="str">
        <f t="shared" si="72"/>
        <v/>
      </c>
      <c r="I530" s="90" t="str">
        <f t="shared" si="72"/>
        <v/>
      </c>
      <c r="J530" s="90" t="str">
        <f t="shared" si="72"/>
        <v/>
      </c>
      <c r="K530" s="90" t="str">
        <f t="shared" si="73"/>
        <v/>
      </c>
      <c r="L530" s="90"/>
      <c r="M530" s="106" t="str">
        <f>IF(D530="","",ABS(D530-G$5))</f>
        <v/>
      </c>
    </row>
    <row r="531" spans="2:13" ht="12.75" customHeight="1" x14ac:dyDescent="0.55000000000000004">
      <c r="B531" s="97">
        <v>45660</v>
      </c>
      <c r="C531" s="89">
        <v>5942.47</v>
      </c>
      <c r="D531" s="91">
        <f t="shared" si="74"/>
        <v>1.2517287272659085E-2</v>
      </c>
      <c r="E531" s="89">
        <f t="shared" si="70"/>
        <v>0.70268557136170462</v>
      </c>
      <c r="F531" s="89">
        <f t="shared" si="71"/>
        <v>1.3173198254722263</v>
      </c>
      <c r="G531" s="89">
        <f t="shared" si="75"/>
        <v>0.72117680684452445</v>
      </c>
      <c r="H531" s="90" t="str">
        <f t="shared" si="72"/>
        <v/>
      </c>
      <c r="I531" s="90" t="str">
        <f t="shared" si="72"/>
        <v/>
      </c>
      <c r="J531" s="90" t="str">
        <f t="shared" si="72"/>
        <v/>
      </c>
      <c r="K531" s="90" t="str">
        <f t="shared" si="73"/>
        <v/>
      </c>
      <c r="L531" s="90"/>
      <c r="M531" s="106">
        <f>IF(D531="","",ABS(D531-G$5))</f>
        <v>1.2517287272659085E-2</v>
      </c>
    </row>
    <row r="532" spans="2:13" ht="12.75" customHeight="1" x14ac:dyDescent="0.55000000000000004">
      <c r="B532" s="97">
        <v>45663</v>
      </c>
      <c r="C532" s="89">
        <v>5975.38</v>
      </c>
      <c r="D532" s="91">
        <f t="shared" si="74"/>
        <v>5.5228222624888485E-3</v>
      </c>
      <c r="E532" s="89">
        <f t="shared" si="70"/>
        <v>0.2841369012359769</v>
      </c>
      <c r="F532" s="89">
        <f t="shared" si="71"/>
        <v>0.58122204120273557</v>
      </c>
      <c r="G532" s="89">
        <f t="shared" si="75"/>
        <v>0.30594612981808911</v>
      </c>
      <c r="H532" s="90" t="str">
        <f t="shared" si="72"/>
        <v/>
      </c>
      <c r="I532" s="90" t="str">
        <f t="shared" si="72"/>
        <v/>
      </c>
      <c r="J532" s="90" t="str">
        <f t="shared" si="72"/>
        <v/>
      </c>
      <c r="K532" s="90" t="str">
        <f t="shared" si="73"/>
        <v/>
      </c>
      <c r="L532" s="90"/>
      <c r="M532" s="106">
        <f>IF(D532="","",ABS(D532-G$5))</f>
        <v>5.5228222624888485E-3</v>
      </c>
    </row>
    <row r="533" spans="2:13" ht="12.75" customHeight="1" x14ac:dyDescent="0.55000000000000004">
      <c r="B533" s="97">
        <v>45664</v>
      </c>
      <c r="C533" s="89">
        <v>5909.03</v>
      </c>
      <c r="D533" s="91">
        <f t="shared" si="74"/>
        <v>-1.116600476981219E-2</v>
      </c>
      <c r="E533" s="89">
        <f t="shared" si="70"/>
        <v>0.7145222314026588</v>
      </c>
      <c r="F533" s="89">
        <f t="shared" si="71"/>
        <v>1.175110799503631</v>
      </c>
      <c r="G533" s="89">
        <f t="shared" si="75"/>
        <v>0.78556151574226074</v>
      </c>
      <c r="H533" s="90" t="str">
        <f t="shared" si="72"/>
        <v/>
      </c>
      <c r="I533" s="90" t="str">
        <f t="shared" si="72"/>
        <v/>
      </c>
      <c r="J533" s="90" t="str">
        <f t="shared" si="72"/>
        <v/>
      </c>
      <c r="K533" s="90" t="str">
        <f t="shared" si="73"/>
        <v/>
      </c>
      <c r="L533" s="90"/>
      <c r="M533" s="106">
        <f>IF(D533="","",ABS(D533-G$5))</f>
        <v>1.116600476981219E-2</v>
      </c>
    </row>
    <row r="534" spans="2:13" ht="12.75" customHeight="1" x14ac:dyDescent="0.55000000000000004">
      <c r="B534" s="97">
        <v>45665</v>
      </c>
      <c r="C534" s="89">
        <v>5918.25</v>
      </c>
      <c r="D534" s="91">
        <f t="shared" si="74"/>
        <v>1.559107735282887E-3</v>
      </c>
      <c r="E534" s="89">
        <f t="shared" si="70"/>
        <v>4.6948289711318696E-2</v>
      </c>
      <c r="F534" s="89">
        <f t="shared" si="71"/>
        <v>0.16408056194582699</v>
      </c>
      <c r="G534" s="89">
        <f t="shared" si="75"/>
        <v>5.4399975441342244E-2</v>
      </c>
      <c r="H534" s="90" t="str">
        <f t="shared" si="72"/>
        <v/>
      </c>
      <c r="I534" s="90" t="str">
        <f t="shared" si="72"/>
        <v/>
      </c>
      <c r="J534" s="90" t="str">
        <f t="shared" si="72"/>
        <v/>
      </c>
      <c r="K534" s="90" t="str">
        <f t="shared" si="73"/>
        <v/>
      </c>
      <c r="L534" s="90"/>
      <c r="M534" s="106">
        <f>IF(D534="","",ABS(D534-G$5))</f>
        <v>1.559107735282887E-3</v>
      </c>
    </row>
    <row r="535" spans="2:13" ht="12.75" customHeight="1" x14ac:dyDescent="0.55000000000000004">
      <c r="B535" s="97">
        <v>45666</v>
      </c>
      <c r="C535" s="89"/>
      <c r="D535" s="91" t="str">
        <f t="shared" si="74"/>
        <v/>
      </c>
      <c r="E535" s="89" t="str">
        <f t="shared" si="70"/>
        <v/>
      </c>
      <c r="F535" s="89" t="str">
        <f t="shared" si="71"/>
        <v/>
      </c>
      <c r="G535" s="89" t="str">
        <f t="shared" si="75"/>
        <v/>
      </c>
      <c r="H535" s="90" t="str">
        <f t="shared" si="72"/>
        <v/>
      </c>
      <c r="I535" s="90" t="str">
        <f t="shared" si="72"/>
        <v/>
      </c>
      <c r="J535" s="90" t="str">
        <f t="shared" si="72"/>
        <v/>
      </c>
      <c r="K535" s="90" t="str">
        <f t="shared" si="73"/>
        <v>MISSING</v>
      </c>
      <c r="L535" s="90"/>
      <c r="M535" s="106" t="str">
        <f>IF(D535="","",ABS(D535-G$5))</f>
        <v/>
      </c>
    </row>
    <row r="536" spans="2:13" ht="12.75" customHeight="1" x14ac:dyDescent="0.55000000000000004">
      <c r="B536" s="97">
        <v>45667</v>
      </c>
      <c r="C536" s="89"/>
      <c r="D536" s="91"/>
      <c r="E536" s="89" t="str">
        <f t="shared" si="70"/>
        <v/>
      </c>
      <c r="F536" s="89" t="str">
        <f t="shared" si="71"/>
        <v/>
      </c>
      <c r="G536" s="89" t="str">
        <f t="shared" si="75"/>
        <v/>
      </c>
      <c r="H536" s="90" t="str">
        <f t="shared" si="72"/>
        <v/>
      </c>
      <c r="I536" s="90" t="str">
        <f t="shared" si="72"/>
        <v/>
      </c>
      <c r="J536" s="90" t="str">
        <f t="shared" si="72"/>
        <v/>
      </c>
      <c r="K536" s="90" t="str">
        <f t="shared" si="73"/>
        <v>MISSING</v>
      </c>
      <c r="L536" s="90"/>
      <c r="M536" s="106" t="str">
        <f>IF(D536="","",ABS(D536-G$5))</f>
        <v/>
      </c>
    </row>
    <row r="537" spans="2:13" ht="12.75" customHeight="1" x14ac:dyDescent="0.55000000000000004">
      <c r="B537" s="97">
        <v>45670</v>
      </c>
      <c r="C537" s="89">
        <v>5836.22</v>
      </c>
      <c r="D537" s="91"/>
      <c r="E537" s="89"/>
      <c r="F537" s="89" t="str">
        <f t="shared" si="71"/>
        <v/>
      </c>
      <c r="G537" s="89"/>
      <c r="H537" s="90"/>
      <c r="I537" s="90"/>
      <c r="J537" s="90"/>
      <c r="K537" s="90"/>
      <c r="L537" s="90"/>
      <c r="M537" s="106" t="str">
        <f>IF(D537="","",ABS(D537-G$5))</f>
        <v/>
      </c>
    </row>
    <row r="538" spans="2:13" ht="12.75" customHeight="1" x14ac:dyDescent="0.55000000000000004">
      <c r="B538" s="97">
        <v>45671</v>
      </c>
      <c r="C538" s="89">
        <v>5842.91</v>
      </c>
      <c r="D538" s="91"/>
      <c r="E538" s="89"/>
      <c r="F538" s="89" t="str">
        <f t="shared" si="71"/>
        <v/>
      </c>
      <c r="G538" s="89"/>
      <c r="H538" s="90"/>
      <c r="I538" s="90"/>
      <c r="J538" s="90"/>
      <c r="K538" s="90"/>
      <c r="L538" s="90"/>
      <c r="M538" s="106" t="str">
        <f>IF(D538="","",ABS(D538-G$5))</f>
        <v/>
      </c>
    </row>
    <row r="539" spans="2:13" ht="12.75" customHeight="1" x14ac:dyDescent="0.55000000000000004">
      <c r="B539" s="97">
        <v>45672</v>
      </c>
      <c r="C539" s="89">
        <v>5949.91</v>
      </c>
      <c r="D539" s="91"/>
      <c r="E539" s="89"/>
      <c r="F539" s="89" t="str">
        <f t="shared" si="71"/>
        <v/>
      </c>
      <c r="G539" s="89"/>
      <c r="H539" s="90"/>
      <c r="I539" s="90"/>
      <c r="J539" s="90"/>
      <c r="K539" s="90"/>
      <c r="L539" s="90"/>
      <c r="M539" s="106" t="str">
        <f>IF(D539="","",ABS(D539-G$5))</f>
        <v/>
      </c>
    </row>
    <row r="540" spans="2:13" ht="12.75" customHeight="1" x14ac:dyDescent="0.55000000000000004">
      <c r="B540" s="97">
        <v>45673</v>
      </c>
      <c r="C540" s="89">
        <v>5937.34</v>
      </c>
      <c r="D540" s="91"/>
      <c r="E540" s="89"/>
      <c r="F540" s="89" t="str">
        <f t="shared" si="71"/>
        <v/>
      </c>
      <c r="G540" s="89"/>
      <c r="H540" s="90"/>
      <c r="I540" s="90"/>
      <c r="J540" s="90"/>
      <c r="K540" s="90"/>
      <c r="L540" s="90"/>
      <c r="M540" s="106" t="str">
        <f>IF(D540="","",ABS(D540-G$5))</f>
        <v/>
      </c>
    </row>
    <row r="541" spans="2:13" ht="12.75" customHeight="1" x14ac:dyDescent="0.55000000000000004">
      <c r="B541" s="97">
        <v>45674</v>
      </c>
      <c r="C541" s="89">
        <v>5996.66</v>
      </c>
      <c r="D541" s="91"/>
      <c r="E541" s="89"/>
      <c r="F541" s="89" t="str">
        <f t="shared" si="71"/>
        <v/>
      </c>
      <c r="G541" s="89"/>
      <c r="H541" s="90"/>
      <c r="I541" s="90"/>
      <c r="J541" s="90"/>
      <c r="K541" s="90"/>
      <c r="L541" s="90"/>
      <c r="M541" s="106" t="str">
        <f>IF(D541="","",ABS(D541-G$5))</f>
        <v/>
      </c>
    </row>
    <row r="542" spans="2:13" ht="12.75" customHeight="1" x14ac:dyDescent="0.55000000000000004">
      <c r="B542" s="97">
        <v>45677</v>
      </c>
      <c r="C542" s="89"/>
      <c r="D542" s="91"/>
      <c r="E542" s="89"/>
      <c r="F542" s="89" t="str">
        <f t="shared" si="71"/>
        <v/>
      </c>
      <c r="G542" s="89"/>
      <c r="H542" s="90"/>
      <c r="I542" s="90"/>
      <c r="J542" s="90"/>
      <c r="K542" s="90"/>
      <c r="L542" s="90"/>
      <c r="M542" s="106" t="str">
        <f>IF(D542="","",ABS(D542-G$5))</f>
        <v/>
      </c>
    </row>
    <row r="543" spans="2:13" ht="12.75" customHeight="1" x14ac:dyDescent="0.55000000000000004">
      <c r="B543" s="97">
        <v>45678</v>
      </c>
      <c r="C543" s="89">
        <v>6049.24</v>
      </c>
      <c r="D543" s="91"/>
      <c r="E543" s="89"/>
      <c r="F543" s="89" t="str">
        <f t="shared" si="71"/>
        <v/>
      </c>
      <c r="G543" s="89"/>
      <c r="H543" s="90"/>
      <c r="I543" s="90"/>
      <c r="J543" s="90"/>
      <c r="K543" s="90"/>
      <c r="L543" s="90"/>
      <c r="M543" s="106" t="str">
        <f>IF(D543="","",ABS(D543-G$5))</f>
        <v/>
      </c>
    </row>
    <row r="544" spans="2:13" ht="12.75" customHeight="1" x14ac:dyDescent="0.55000000000000004">
      <c r="B544" s="97">
        <v>45679</v>
      </c>
      <c r="C544" s="89">
        <v>6086.37</v>
      </c>
      <c r="D544" s="91"/>
      <c r="E544" s="89"/>
      <c r="F544" s="89" t="str">
        <f t="shared" si="71"/>
        <v/>
      </c>
      <c r="G544" s="89"/>
      <c r="H544" s="90"/>
      <c r="I544" s="90"/>
      <c r="J544" s="90"/>
      <c r="K544" s="90"/>
      <c r="L544" s="90"/>
      <c r="M544" s="106" t="str">
        <f>IF(D544="","",ABS(D544-G$5))</f>
        <v/>
      </c>
    </row>
    <row r="545" spans="2:13" ht="12.75" customHeight="1" x14ac:dyDescent="0.55000000000000004">
      <c r="B545" s="97">
        <v>45680</v>
      </c>
      <c r="C545" s="89">
        <v>6118.71</v>
      </c>
      <c r="D545" s="91"/>
      <c r="E545" s="89"/>
      <c r="F545" s="89" t="str">
        <f t="shared" si="71"/>
        <v/>
      </c>
      <c r="G545" s="89"/>
      <c r="H545" s="90"/>
      <c r="I545" s="90"/>
      <c r="J545" s="90"/>
      <c r="K545" s="90"/>
      <c r="L545" s="90"/>
      <c r="M545" s="106" t="str">
        <f>IF(D545="","",ABS(D545-G$5))</f>
        <v/>
      </c>
    </row>
    <row r="546" spans="2:13" ht="12.75" customHeight="1" x14ac:dyDescent="0.55000000000000004">
      <c r="B546" s="97">
        <v>45681</v>
      </c>
      <c r="C546" s="89">
        <v>6101.24</v>
      </c>
      <c r="D546" s="91"/>
      <c r="E546" s="89"/>
      <c r="F546" s="89" t="str">
        <f t="shared" si="71"/>
        <v/>
      </c>
      <c r="G546" s="89"/>
      <c r="H546" s="90"/>
      <c r="I546" s="90"/>
      <c r="J546" s="90"/>
      <c r="K546" s="90"/>
      <c r="L546" s="90"/>
      <c r="M546" s="106" t="str">
        <f>IF(D546="","",ABS(D546-G$5))</f>
        <v/>
      </c>
    </row>
    <row r="547" spans="2:13" ht="12.75" customHeight="1" x14ac:dyDescent="0.55000000000000004">
      <c r="B547" s="97">
        <v>45684</v>
      </c>
      <c r="C547" s="89">
        <v>6012.28</v>
      </c>
      <c r="D547" s="91">
        <f>IF(OR(C547="",C546=""),"",LN(C547/C546))</f>
        <v>-1.4687984883634318E-2</v>
      </c>
      <c r="E547" s="89">
        <f>IF(D547="","",ABS(D547-$E$5)/$F$5)</f>
        <v>0.9252774629616245</v>
      </c>
      <c r="F547" s="89">
        <f t="shared" si="71"/>
        <v>1.5457641309958958</v>
      </c>
      <c r="G547" s="89">
        <f>IF(D547="","",ABS(D547-$E$5)/SQRT(0.9*(IF(G546="",($F$5)^2,(ABS(D546-$E$5)/MAX(G546,0.0000000001))^2))+0.1*(D547-$E$5)^2))</f>
        <v>0.93200574178265472</v>
      </c>
      <c r="H547" s="90" t="str">
        <f>IF(E547="","",IF(E547&gt;$I$5,"OUTLIER",""))</f>
        <v/>
      </c>
      <c r="I547" s="90" t="str">
        <f>IF(F547="","",IF(F547&gt;$I$5,"OUTLIER",""))</f>
        <v/>
      </c>
      <c r="J547" s="90" t="str">
        <f>IF(G547="","",IF(G547&gt;$I$5,"OUTLIER",""))</f>
        <v/>
      </c>
      <c r="K547" s="90" t="str">
        <f>IF(C547="","MISSING","")</f>
        <v/>
      </c>
      <c r="L547" s="90"/>
      <c r="M547" s="106">
        <f>IF(D547="","",ABS(D547-G$5))</f>
        <v>1.4687984883634318E-2</v>
      </c>
    </row>
    <row r="548" spans="2:13" ht="12.75" customHeight="1" x14ac:dyDescent="0.55000000000000004">
      <c r="B548" s="97">
        <v>45685</v>
      </c>
      <c r="C548" s="89"/>
      <c r="D548" s="91"/>
      <c r="E548" s="89"/>
      <c r="F548" s="89"/>
      <c r="G548" s="89"/>
      <c r="H548" s="90"/>
      <c r="I548" s="90"/>
      <c r="J548" s="90"/>
      <c r="K548" s="90"/>
      <c r="L548" s="90"/>
      <c r="M548" s="106" t="str">
        <f>IF(D548="","",ABS(D548-G$5))</f>
        <v/>
      </c>
    </row>
    <row r="549" spans="2:13" ht="12.75" customHeight="1" x14ac:dyDescent="0.55000000000000004">
      <c r="B549" s="97">
        <v>45686</v>
      </c>
      <c r="C549" s="89">
        <v>6039.31</v>
      </c>
      <c r="D549" s="91" t="str">
        <f t="shared" ref="D549:D555" si="76">IF(OR(C549="",C548=""),"",LN(C549/C548))</f>
        <v/>
      </c>
      <c r="E549" s="89" t="str">
        <f t="shared" ref="E549:E555" si="77">IF(D549="","",ABS(D549-$E$5)/$F$5)</f>
        <v/>
      </c>
      <c r="F549" s="89" t="str">
        <f t="shared" ref="F549:F555" si="78">IF(D549="","",ABS(D549-$G$5)/$H$5)</f>
        <v/>
      </c>
      <c r="G549" s="89" t="str">
        <f t="shared" ref="G549:G555" si="79">IF(D549="","",ABS(D549-$E$5)/SQRT(0.9*(IF(G548="",($F$5)^2,(ABS(D548-$E$5)/MAX(G548,0.0000000001))^2))+0.1*(D549-$E$5)^2))</f>
        <v/>
      </c>
      <c r="H549" s="90" t="str">
        <f t="shared" ref="H549:J555" si="80">IF(E549="","",IF(E549&gt;$I$5,"OUTLIER",""))</f>
        <v/>
      </c>
      <c r="I549" s="90" t="str">
        <f t="shared" si="80"/>
        <v/>
      </c>
      <c r="J549" s="90" t="str">
        <f t="shared" si="80"/>
        <v/>
      </c>
      <c r="K549" s="90" t="str">
        <f t="shared" ref="K549:K555" si="81">IF(C549="","MISSING","")</f>
        <v/>
      </c>
      <c r="L549" s="90"/>
      <c r="M549" s="106" t="str">
        <f>IF(D549="","",ABS(D549-G$5))</f>
        <v/>
      </c>
    </row>
    <row r="550" spans="2:13" ht="12.75" customHeight="1" x14ac:dyDescent="0.55000000000000004">
      <c r="B550" s="97">
        <v>45687</v>
      </c>
      <c r="C550" s="89">
        <v>6071.17</v>
      </c>
      <c r="D550" s="91">
        <f t="shared" si="76"/>
        <v>5.2615707224356184E-3</v>
      </c>
      <c r="E550" s="89">
        <f t="shared" si="77"/>
        <v>0.26850361341502371</v>
      </c>
      <c r="F550" s="89">
        <f t="shared" si="78"/>
        <v>0.55372791842271551</v>
      </c>
      <c r="G550" s="89">
        <f t="shared" si="79"/>
        <v>0.2819008330954722</v>
      </c>
      <c r="H550" s="90" t="str">
        <f t="shared" si="80"/>
        <v/>
      </c>
      <c r="I550" s="90" t="str">
        <f t="shared" si="80"/>
        <v/>
      </c>
      <c r="J550" s="90" t="str">
        <f t="shared" si="80"/>
        <v/>
      </c>
      <c r="K550" s="90" t="str">
        <f t="shared" si="81"/>
        <v/>
      </c>
      <c r="L550" s="90"/>
      <c r="M550" s="106">
        <f>IF(D550="","",ABS(D550-G$5))</f>
        <v>5.2615707224356184E-3</v>
      </c>
    </row>
    <row r="551" spans="2:13" ht="12.75" customHeight="1" x14ac:dyDescent="0.55000000000000004">
      <c r="B551" s="97">
        <v>45688</v>
      </c>
      <c r="C551" s="89">
        <v>6040.53</v>
      </c>
      <c r="D551" s="91">
        <f t="shared" si="76"/>
        <v>-5.0595812914254659E-3</v>
      </c>
      <c r="E551" s="89">
        <f t="shared" si="77"/>
        <v>0.3491139518005742</v>
      </c>
      <c r="F551" s="89">
        <f t="shared" si="78"/>
        <v>0.53247054242666203</v>
      </c>
      <c r="G551" s="89">
        <f t="shared" si="79"/>
        <v>0.38350822719364797</v>
      </c>
      <c r="H551" s="90" t="str">
        <f t="shared" si="80"/>
        <v/>
      </c>
      <c r="I551" s="90" t="str">
        <f t="shared" si="80"/>
        <v/>
      </c>
      <c r="J551" s="90" t="str">
        <f t="shared" si="80"/>
        <v/>
      </c>
      <c r="K551" s="90" t="str">
        <f t="shared" si="81"/>
        <v/>
      </c>
      <c r="L551" s="90"/>
      <c r="M551" s="106">
        <f>IF(D551="","",ABS(D551-G$5))</f>
        <v>5.0595812914254659E-3</v>
      </c>
    </row>
    <row r="552" spans="2:13" ht="12.75" customHeight="1" x14ac:dyDescent="0.55000000000000004">
      <c r="B552" s="97">
        <v>45691</v>
      </c>
      <c r="C552" s="89">
        <v>5994.57</v>
      </c>
      <c r="D552" s="91">
        <f t="shared" si="76"/>
        <v>-7.637696973119063E-3</v>
      </c>
      <c r="E552" s="89">
        <f t="shared" si="77"/>
        <v>0.50338835140570937</v>
      </c>
      <c r="F552" s="89">
        <f t="shared" si="78"/>
        <v>0.80379154240674433</v>
      </c>
      <c r="G552" s="89">
        <f t="shared" si="79"/>
        <v>0.57323678355466134</v>
      </c>
      <c r="H552" s="90" t="str">
        <f t="shared" si="80"/>
        <v/>
      </c>
      <c r="I552" s="90" t="str">
        <f t="shared" si="80"/>
        <v/>
      </c>
      <c r="J552" s="90" t="str">
        <f t="shared" si="80"/>
        <v/>
      </c>
      <c r="K552" s="90" t="str">
        <f t="shared" si="81"/>
        <v/>
      </c>
      <c r="L552" s="90"/>
      <c r="M552" s="106">
        <f>IF(D552="","",ABS(D552-G$5))</f>
        <v>7.637696973119063E-3</v>
      </c>
    </row>
    <row r="553" spans="2:13" ht="12.75" customHeight="1" x14ac:dyDescent="0.55000000000000004">
      <c r="B553" s="97">
        <v>45692</v>
      </c>
      <c r="C553" s="89">
        <v>6037.88</v>
      </c>
      <c r="D553" s="91">
        <f t="shared" si="76"/>
        <v>7.1988974883324779E-3</v>
      </c>
      <c r="E553" s="89">
        <f t="shared" si="77"/>
        <v>0.38443321493366395</v>
      </c>
      <c r="F553" s="89">
        <f t="shared" si="78"/>
        <v>0.75761226664793424</v>
      </c>
      <c r="G553" s="89">
        <f t="shared" si="79"/>
        <v>0.45662018705308105</v>
      </c>
      <c r="H553" s="90" t="str">
        <f t="shared" si="80"/>
        <v/>
      </c>
      <c r="I553" s="90" t="str">
        <f t="shared" si="80"/>
        <v/>
      </c>
      <c r="J553" s="90" t="str">
        <f t="shared" si="80"/>
        <v/>
      </c>
      <c r="K553" s="90" t="str">
        <f t="shared" si="81"/>
        <v/>
      </c>
      <c r="L553" s="90"/>
      <c r="M553" s="106">
        <f>IF(D553="","",ABS(D553-G$5))</f>
        <v>7.1988974883324779E-3</v>
      </c>
    </row>
    <row r="554" spans="2:13" ht="12.75" customHeight="1" x14ac:dyDescent="0.55000000000000004">
      <c r="B554" s="97">
        <v>45693</v>
      </c>
      <c r="C554" s="89">
        <v>6061.48</v>
      </c>
      <c r="D554" s="91">
        <f t="shared" si="76"/>
        <v>3.9010377290886913E-3</v>
      </c>
      <c r="E554" s="89">
        <f t="shared" si="77"/>
        <v>0.18708934167307784</v>
      </c>
      <c r="F554" s="89">
        <f t="shared" si="78"/>
        <v>0.41054537045485656</v>
      </c>
      <c r="G554" s="89">
        <f t="shared" si="79"/>
        <v>0.23360051511031465</v>
      </c>
      <c r="H554" s="90" t="str">
        <f t="shared" si="80"/>
        <v/>
      </c>
      <c r="I554" s="90" t="str">
        <f t="shared" si="80"/>
        <v/>
      </c>
      <c r="J554" s="90" t="str">
        <f t="shared" si="80"/>
        <v/>
      </c>
      <c r="K554" s="90" t="str">
        <f t="shared" si="81"/>
        <v/>
      </c>
      <c r="L554" s="90"/>
      <c r="M554" s="106">
        <f>IF(D554="","",ABS(D554-G$5))</f>
        <v>3.9010377290886913E-3</v>
      </c>
    </row>
    <row r="555" spans="2:13" ht="12.75" customHeight="1" x14ac:dyDescent="0.55000000000000004">
      <c r="B555" s="97">
        <v>45694</v>
      </c>
      <c r="C555" s="89">
        <v>6083.57</v>
      </c>
      <c r="D555" s="91">
        <f t="shared" si="76"/>
        <v>3.637700027498819E-3</v>
      </c>
      <c r="E555" s="89">
        <f t="shared" si="77"/>
        <v>0.17133121798039466</v>
      </c>
      <c r="F555" s="89">
        <f t="shared" si="78"/>
        <v>0.38283169994923949</v>
      </c>
      <c r="G555" s="89">
        <f t="shared" si="79"/>
        <v>0.22492546592818149</v>
      </c>
      <c r="H555" s="90" t="str">
        <f t="shared" si="80"/>
        <v/>
      </c>
      <c r="I555" s="90" t="str">
        <f t="shared" si="80"/>
        <v/>
      </c>
      <c r="J555" s="90" t="str">
        <f t="shared" si="80"/>
        <v/>
      </c>
      <c r="K555" s="90" t="str">
        <f t="shared" si="81"/>
        <v/>
      </c>
      <c r="L555" s="90"/>
      <c r="M555" s="106">
        <f>IF(D555="","",ABS(D555-G$5))</f>
        <v>3.637700027498819E-3</v>
      </c>
    </row>
    <row r="556" spans="2:13" ht="12.75" customHeight="1" x14ac:dyDescent="0.55000000000000004">
      <c r="B556" s="97">
        <v>45695</v>
      </c>
      <c r="C556" s="89"/>
      <c r="D556" s="91"/>
      <c r="E556" s="89"/>
      <c r="F556" s="89"/>
      <c r="G556" s="89"/>
      <c r="H556" s="90"/>
      <c r="I556" s="90"/>
      <c r="J556" s="90"/>
      <c r="K556" s="90"/>
      <c r="L556" s="90"/>
      <c r="M556" s="106" t="str">
        <f>IF(D556="","",ABS(D556-G$5))</f>
        <v/>
      </c>
    </row>
    <row r="557" spans="2:13" ht="12.75" customHeight="1" x14ac:dyDescent="0.55000000000000004">
      <c r="B557" s="97">
        <v>45698</v>
      </c>
      <c r="C557" s="89">
        <v>6066.44</v>
      </c>
      <c r="D557" s="91" t="str">
        <f t="shared" ref="D557:D620" si="82">IF(OR(C557="",C556=""),"",LN(C557/C556))</f>
        <v/>
      </c>
      <c r="E557" s="89" t="str">
        <f t="shared" ref="E557:E620" si="83">IF(D557="","",ABS(D557-$E$5)/$F$5)</f>
        <v/>
      </c>
      <c r="F557" s="89" t="str">
        <f t="shared" ref="F557:F620" si="84">IF(D557="","",ABS(D557-$G$5)/$H$5)</f>
        <v/>
      </c>
      <c r="G557" s="89" t="str">
        <f t="shared" ref="G557:G620" si="85">IF(D557="","",ABS(D557-$E$5)/SQRT(0.9*(IF(G556="",($F$5)^2,(ABS(D556-$E$5)/MAX(G556,0.0000000001))^2))+0.1*(D557-$E$5)^2))</f>
        <v/>
      </c>
      <c r="H557" s="90" t="str">
        <f t="shared" ref="H557:H620" si="86">IF(E557="","",IF(E557&gt;$I$5,"OUTLIER",""))</f>
        <v/>
      </c>
      <c r="I557" s="90" t="str">
        <f t="shared" ref="I557:I620" si="87">IF(F557="","",IF(F557&gt;$I$5,"OUTLIER",""))</f>
        <v/>
      </c>
      <c r="J557" s="90" t="str">
        <f t="shared" ref="J557:J620" si="88">IF(G557="","",IF(G557&gt;$I$5,"OUTLIER",""))</f>
        <v/>
      </c>
      <c r="K557" s="90" t="str">
        <f t="shared" ref="K557:K620" si="89">IF(C557="","MISSING","")</f>
        <v/>
      </c>
      <c r="L557" s="90"/>
      <c r="M557" s="106" t="str">
        <f>IF(D557="","",ABS(D557-G$5))</f>
        <v/>
      </c>
    </row>
    <row r="558" spans="2:13" ht="12.75" customHeight="1" x14ac:dyDescent="0.55000000000000004">
      <c r="B558" s="97">
        <v>45699</v>
      </c>
      <c r="C558" s="89">
        <v>6068.5</v>
      </c>
      <c r="D558" s="91">
        <f t="shared" si="82"/>
        <v>3.3951548500248807E-4</v>
      </c>
      <c r="E558" s="89">
        <f t="shared" si="83"/>
        <v>2.6032090304633479E-2</v>
      </c>
      <c r="F558" s="89">
        <f t="shared" si="84"/>
        <v>3.5730623553355989E-2</v>
      </c>
      <c r="G558" s="89">
        <f t="shared" si="85"/>
        <v>2.7439199519009836E-2</v>
      </c>
      <c r="H558" s="90" t="str">
        <f t="shared" si="86"/>
        <v/>
      </c>
      <c r="I558" s="90" t="str">
        <f t="shared" si="87"/>
        <v/>
      </c>
      <c r="J558" s="90" t="str">
        <f t="shared" si="88"/>
        <v/>
      </c>
      <c r="K558" s="90" t="str">
        <f t="shared" si="89"/>
        <v/>
      </c>
      <c r="L558" s="90"/>
      <c r="M558" s="106">
        <f>IF(D558="","",ABS(D558-G$5))</f>
        <v>3.3951548500248807E-4</v>
      </c>
    </row>
    <row r="559" spans="2:13" ht="12.75" customHeight="1" x14ac:dyDescent="0.55000000000000004">
      <c r="B559" s="97">
        <v>45700</v>
      </c>
      <c r="C559" s="89">
        <v>6051.97</v>
      </c>
      <c r="D559" s="91">
        <f t="shared" si="82"/>
        <v>-2.7276186894511618E-3</v>
      </c>
      <c r="E559" s="89">
        <f t="shared" si="83"/>
        <v>0.20956934840058927</v>
      </c>
      <c r="F559" s="89">
        <f t="shared" si="84"/>
        <v>0.28705470264239485</v>
      </c>
      <c r="G559" s="89">
        <f t="shared" si="85"/>
        <v>0.23221740648544306</v>
      </c>
      <c r="H559" s="90" t="str">
        <f t="shared" si="86"/>
        <v/>
      </c>
      <c r="I559" s="90" t="str">
        <f t="shared" si="87"/>
        <v/>
      </c>
      <c r="J559" s="90" t="str">
        <f t="shared" si="88"/>
        <v/>
      </c>
      <c r="K559" s="90" t="str">
        <f t="shared" si="89"/>
        <v/>
      </c>
      <c r="L559" s="90"/>
      <c r="M559" s="106">
        <f>IF(D559="","",ABS(D559-G$5))</f>
        <v>2.7276186894511618E-3</v>
      </c>
    </row>
    <row r="560" spans="2:13" ht="12.75" customHeight="1" x14ac:dyDescent="0.55000000000000004">
      <c r="B560" s="97">
        <v>45701</v>
      </c>
      <c r="C560" s="89">
        <v>6115.07</v>
      </c>
      <c r="D560" s="91">
        <f t="shared" si="82"/>
        <v>1.0372377459622351E-2</v>
      </c>
      <c r="E560" s="89">
        <f t="shared" si="83"/>
        <v>0.57433420374734323</v>
      </c>
      <c r="F560" s="89">
        <f t="shared" si="84"/>
        <v>1.091589428860263</v>
      </c>
      <c r="G560" s="89">
        <f t="shared" si="85"/>
        <v>0.6562239979500244</v>
      </c>
      <c r="H560" s="90" t="str">
        <f t="shared" si="86"/>
        <v/>
      </c>
      <c r="I560" s="90" t="str">
        <f t="shared" si="87"/>
        <v/>
      </c>
      <c r="J560" s="90" t="str">
        <f t="shared" si="88"/>
        <v/>
      </c>
      <c r="K560" s="90" t="str">
        <f t="shared" si="89"/>
        <v/>
      </c>
      <c r="L560" s="90"/>
      <c r="M560" s="106">
        <f>IF(D560="","",ABS(D560-G$5))</f>
        <v>1.0372377459622351E-2</v>
      </c>
    </row>
    <row r="561" spans="2:13" ht="12.75" customHeight="1" x14ac:dyDescent="0.55000000000000004">
      <c r="B561" s="97">
        <v>45702</v>
      </c>
      <c r="C561" s="89">
        <v>6114.63</v>
      </c>
      <c r="D561" s="91">
        <f t="shared" si="82"/>
        <v>-7.1955976056534599E-5</v>
      </c>
      <c r="E561" s="89">
        <f t="shared" si="83"/>
        <v>5.0654535705465138E-2</v>
      </c>
      <c r="F561" s="89">
        <f t="shared" si="84"/>
        <v>7.5726498685958123E-3</v>
      </c>
      <c r="G561" s="89">
        <f t="shared" si="85"/>
        <v>6.0996330084555045E-2</v>
      </c>
      <c r="H561" s="90" t="str">
        <f t="shared" si="86"/>
        <v/>
      </c>
      <c r="I561" s="90" t="str">
        <f t="shared" si="87"/>
        <v/>
      </c>
      <c r="J561" s="90" t="str">
        <f t="shared" si="88"/>
        <v/>
      </c>
      <c r="K561" s="90" t="str">
        <f t="shared" si="89"/>
        <v/>
      </c>
      <c r="L561" s="90"/>
      <c r="M561" s="106">
        <f>IF(D561="","",ABS(D561-G$5))</f>
        <v>7.1955976056534599E-5</v>
      </c>
    </row>
    <row r="562" spans="2:13" ht="12.75" customHeight="1" x14ac:dyDescent="0.55000000000000004">
      <c r="B562" s="97">
        <v>45705</v>
      </c>
      <c r="C562" s="89"/>
      <c r="D562" s="91" t="str">
        <f t="shared" si="82"/>
        <v/>
      </c>
      <c r="E562" s="89" t="str">
        <f t="shared" si="83"/>
        <v/>
      </c>
      <c r="F562" s="89" t="str">
        <f t="shared" si="84"/>
        <v/>
      </c>
      <c r="G562" s="89" t="str">
        <f t="shared" si="85"/>
        <v/>
      </c>
      <c r="H562" s="90" t="str">
        <f t="shared" si="86"/>
        <v/>
      </c>
      <c r="I562" s="90" t="str">
        <f t="shared" si="87"/>
        <v/>
      </c>
      <c r="J562" s="90" t="str">
        <f t="shared" si="88"/>
        <v/>
      </c>
      <c r="K562" s="90" t="str">
        <f t="shared" si="89"/>
        <v>MISSING</v>
      </c>
      <c r="L562" s="90"/>
      <c r="M562" s="106" t="str">
        <f>IF(D562="","",ABS(D562-G$5))</f>
        <v/>
      </c>
    </row>
    <row r="563" spans="2:13" ht="12.75" customHeight="1" x14ac:dyDescent="0.55000000000000004">
      <c r="B563" s="97">
        <v>45706</v>
      </c>
      <c r="C563" s="89">
        <v>6129.58</v>
      </c>
      <c r="D563" s="91" t="str">
        <f t="shared" si="82"/>
        <v/>
      </c>
      <c r="E563" s="89" t="str">
        <f t="shared" si="83"/>
        <v/>
      </c>
      <c r="F563" s="89" t="str">
        <f t="shared" si="84"/>
        <v/>
      </c>
      <c r="G563" s="89" t="str">
        <f t="shared" si="85"/>
        <v/>
      </c>
      <c r="H563" s="90" t="str">
        <f t="shared" si="86"/>
        <v/>
      </c>
      <c r="I563" s="90" t="str">
        <f t="shared" si="87"/>
        <v/>
      </c>
      <c r="J563" s="90" t="str">
        <f t="shared" si="88"/>
        <v/>
      </c>
      <c r="K563" s="90" t="str">
        <f t="shared" si="89"/>
        <v/>
      </c>
      <c r="L563" s="90"/>
      <c r="M563" s="106" t="str">
        <f>IF(D563="","",ABS(D563-G$5))</f>
        <v/>
      </c>
    </row>
    <row r="564" spans="2:13" ht="12.75" customHeight="1" x14ac:dyDescent="0.55000000000000004">
      <c r="B564" s="97">
        <v>45707</v>
      </c>
      <c r="C564" s="89">
        <v>6144.15</v>
      </c>
      <c r="D564" s="91">
        <f t="shared" si="82"/>
        <v>2.3741775065794562E-3</v>
      </c>
      <c r="E564" s="89">
        <f t="shared" si="83"/>
        <v>9.5722051298490748E-2</v>
      </c>
      <c r="F564" s="89">
        <f t="shared" si="84"/>
        <v>0.24985853807467501</v>
      </c>
      <c r="G564" s="89">
        <f t="shared" si="85"/>
        <v>0.10084857861763703</v>
      </c>
      <c r="H564" s="90" t="str">
        <f t="shared" si="86"/>
        <v/>
      </c>
      <c r="I564" s="90" t="str">
        <f t="shared" si="87"/>
        <v/>
      </c>
      <c r="J564" s="90" t="str">
        <f t="shared" si="88"/>
        <v/>
      </c>
      <c r="K564" s="90" t="str">
        <f t="shared" si="89"/>
        <v/>
      </c>
      <c r="L564" s="90"/>
      <c r="M564" s="106">
        <f>IF(D564="","",ABS(D564-G$5))</f>
        <v>2.3741775065794562E-3</v>
      </c>
    </row>
    <row r="565" spans="2:13" ht="12.75" customHeight="1" x14ac:dyDescent="0.55000000000000004">
      <c r="B565" s="97">
        <v>45708</v>
      </c>
      <c r="C565" s="89">
        <v>6117.52</v>
      </c>
      <c r="D565" s="91">
        <f t="shared" si="82"/>
        <v>-4.3436239711486854E-3</v>
      </c>
      <c r="E565" s="89">
        <f t="shared" si="83"/>
        <v>0.30627107763751754</v>
      </c>
      <c r="F565" s="89">
        <f t="shared" si="84"/>
        <v>0.45712316470428305</v>
      </c>
      <c r="G565" s="89">
        <f t="shared" si="85"/>
        <v>0.33817758812510884</v>
      </c>
      <c r="H565" s="90" t="str">
        <f t="shared" si="86"/>
        <v/>
      </c>
      <c r="I565" s="90" t="str">
        <f t="shared" si="87"/>
        <v/>
      </c>
      <c r="J565" s="90" t="str">
        <f t="shared" si="88"/>
        <v/>
      </c>
      <c r="K565" s="90" t="str">
        <f t="shared" si="89"/>
        <v/>
      </c>
      <c r="L565" s="90"/>
      <c r="M565" s="106">
        <f>IF(D565="","",ABS(D565-G$5))</f>
        <v>4.3436239711486854E-3</v>
      </c>
    </row>
    <row r="566" spans="2:13" ht="12.75" customHeight="1" x14ac:dyDescent="0.55000000000000004">
      <c r="B566" s="97">
        <v>45709</v>
      </c>
      <c r="C566" s="89">
        <v>5983.99</v>
      </c>
      <c r="D566" s="91">
        <f t="shared" si="82"/>
        <v>-2.2069216090918858E-2</v>
      </c>
      <c r="E566" s="89">
        <f t="shared" si="83"/>
        <v>1.36697021590375</v>
      </c>
      <c r="F566" s="89">
        <f t="shared" si="84"/>
        <v>2.3225652056974946</v>
      </c>
      <c r="G566" s="89">
        <f t="shared" si="85"/>
        <v>1.4212732926645297</v>
      </c>
      <c r="H566" s="90" t="str">
        <f t="shared" si="86"/>
        <v/>
      </c>
      <c r="I566" s="90" t="str">
        <f t="shared" si="87"/>
        <v/>
      </c>
      <c r="J566" s="90" t="str">
        <f t="shared" si="88"/>
        <v/>
      </c>
      <c r="K566" s="90" t="str">
        <f t="shared" si="89"/>
        <v/>
      </c>
      <c r="L566" s="90"/>
      <c r="M566" s="106">
        <f>IF(D566="","",ABS(D566-G$5))</f>
        <v>2.2069216090918858E-2</v>
      </c>
    </row>
    <row r="567" spans="2:13" ht="12.75" customHeight="1" x14ac:dyDescent="0.55000000000000004">
      <c r="B567" s="97">
        <v>45712</v>
      </c>
      <c r="C567" s="89">
        <v>5849.72</v>
      </c>
      <c r="D567" s="91">
        <f t="shared" si="82"/>
        <v>-2.2693772697365E-2</v>
      </c>
      <c r="E567" s="89">
        <f t="shared" si="83"/>
        <v>1.4043436728681029</v>
      </c>
      <c r="F567" s="89">
        <f t="shared" si="84"/>
        <v>2.3882935685511804</v>
      </c>
      <c r="G567" s="89">
        <f t="shared" si="85"/>
        <v>1.3839030396355168</v>
      </c>
      <c r="H567" s="90" t="str">
        <f t="shared" si="86"/>
        <v/>
      </c>
      <c r="I567" s="90" t="str">
        <f t="shared" si="87"/>
        <v/>
      </c>
      <c r="J567" s="90" t="str">
        <f t="shared" si="88"/>
        <v/>
      </c>
      <c r="K567" s="90" t="str">
        <f t="shared" si="89"/>
        <v/>
      </c>
      <c r="L567" s="90"/>
      <c r="M567" s="106">
        <f>IF(D567="","",ABS(D567-G$5))</f>
        <v>2.2693772697365E-2</v>
      </c>
    </row>
    <row r="568" spans="2:13" ht="12.75" customHeight="1" x14ac:dyDescent="0.55000000000000004">
      <c r="B568" s="97">
        <v>45713</v>
      </c>
      <c r="C568" s="89">
        <v>5861.57</v>
      </c>
      <c r="D568" s="91">
        <f t="shared" si="82"/>
        <v>2.0236889435963461E-3</v>
      </c>
      <c r="E568" s="89">
        <f t="shared" si="83"/>
        <v>7.4748821506425825E-2</v>
      </c>
      <c r="F568" s="89">
        <f t="shared" si="84"/>
        <v>0.21297310734501496</v>
      </c>
      <c r="G568" s="89">
        <f t="shared" si="85"/>
        <v>7.7621938114662253E-2</v>
      </c>
      <c r="H568" s="90" t="str">
        <f t="shared" si="86"/>
        <v/>
      </c>
      <c r="I568" s="90" t="str">
        <f t="shared" si="87"/>
        <v/>
      </c>
      <c r="J568" s="90" t="str">
        <f t="shared" si="88"/>
        <v/>
      </c>
      <c r="K568" s="90" t="str">
        <f t="shared" si="89"/>
        <v/>
      </c>
      <c r="L568" s="90"/>
      <c r="M568" s="106">
        <f>IF(D568="","",ABS(D568-G$5))</f>
        <v>2.0236889435963461E-3</v>
      </c>
    </row>
    <row r="569" spans="2:13" ht="12.75" customHeight="1" x14ac:dyDescent="0.55000000000000004">
      <c r="B569" s="97">
        <v>45714</v>
      </c>
      <c r="C569" s="89">
        <v>5776.65</v>
      </c>
      <c r="D569" s="91">
        <f t="shared" si="82"/>
        <v>-1.4593555908998622E-2</v>
      </c>
      <c r="E569" s="89">
        <f t="shared" si="83"/>
        <v>0.91962683468660433</v>
      </c>
      <c r="F569" s="89">
        <f t="shared" si="84"/>
        <v>1.5358264218359949</v>
      </c>
      <c r="G569" s="89">
        <f t="shared" si="85"/>
        <v>0.95920545761372167</v>
      </c>
      <c r="H569" s="90" t="str">
        <f t="shared" si="86"/>
        <v/>
      </c>
      <c r="I569" s="90" t="str">
        <f t="shared" si="87"/>
        <v/>
      </c>
      <c r="J569" s="90" t="str">
        <f t="shared" si="88"/>
        <v/>
      </c>
      <c r="K569" s="90" t="str">
        <f t="shared" si="89"/>
        <v/>
      </c>
      <c r="L569" s="90"/>
      <c r="M569" s="106">
        <f>IF(D569="","",ABS(D569-G$5))</f>
        <v>1.4593555908998622E-2</v>
      </c>
    </row>
    <row r="570" spans="2:13" ht="12.75" customHeight="1" x14ac:dyDescent="0.55000000000000004">
      <c r="B570" s="97">
        <v>45715</v>
      </c>
      <c r="C570" s="89">
        <v>5861.57</v>
      </c>
      <c r="D570" s="91">
        <f t="shared" si="82"/>
        <v>1.4593555908998497E-2</v>
      </c>
      <c r="E570" s="89">
        <f t="shared" si="83"/>
        <v>0.826929452101694</v>
      </c>
      <c r="F570" s="89">
        <f t="shared" si="84"/>
        <v>1.5358264218359818</v>
      </c>
      <c r="G570" s="89">
        <f t="shared" si="85"/>
        <v>0.87377819469124796</v>
      </c>
      <c r="H570" s="90" t="str">
        <f t="shared" si="86"/>
        <v/>
      </c>
      <c r="I570" s="90" t="str">
        <f t="shared" si="87"/>
        <v/>
      </c>
      <c r="J570" s="90" t="str">
        <f t="shared" si="88"/>
        <v/>
      </c>
      <c r="K570" s="90" t="str">
        <f t="shared" si="89"/>
        <v/>
      </c>
      <c r="L570" s="90"/>
      <c r="M570" s="106">
        <f>IF(D570="","",ABS(D570-G$5))</f>
        <v>1.4593555908998497E-2</v>
      </c>
    </row>
    <row r="571" spans="2:13" ht="12.75" customHeight="1" x14ac:dyDescent="0.55000000000000004">
      <c r="B571" s="97">
        <v>45716</v>
      </c>
      <c r="C571" s="89">
        <v>5954.47</v>
      </c>
      <c r="D571" s="91">
        <f t="shared" si="82"/>
        <v>1.5724712212806902E-2</v>
      </c>
      <c r="E571" s="89">
        <f t="shared" si="83"/>
        <v>0.89461782654847943</v>
      </c>
      <c r="F571" s="89">
        <f t="shared" si="84"/>
        <v>1.6548693575980651</v>
      </c>
      <c r="G571" s="89">
        <f t="shared" si="85"/>
        <v>0.95037112545626246</v>
      </c>
      <c r="H571" s="90" t="str">
        <f t="shared" si="86"/>
        <v/>
      </c>
      <c r="I571" s="90" t="str">
        <f t="shared" si="87"/>
        <v/>
      </c>
      <c r="J571" s="90" t="str">
        <f t="shared" si="88"/>
        <v/>
      </c>
      <c r="K571" s="90" t="str">
        <f t="shared" si="89"/>
        <v/>
      </c>
      <c r="L571" s="90"/>
      <c r="M571" s="106">
        <f>IF(D571="","",ABS(D571-G$5))</f>
        <v>1.5724712212806902E-2</v>
      </c>
    </row>
    <row r="572" spans="2:13" ht="12.75" customHeight="1" x14ac:dyDescent="0.55000000000000004">
      <c r="B572" s="97">
        <v>45719</v>
      </c>
      <c r="C572" s="89">
        <v>5849.72</v>
      </c>
      <c r="D572" s="91">
        <f t="shared" si="82"/>
        <v>-1.7748401156402992E-2</v>
      </c>
      <c r="E572" s="89">
        <f t="shared" si="83"/>
        <v>1.1084127219322442</v>
      </c>
      <c r="F572" s="89">
        <f t="shared" si="84"/>
        <v>1.8678424649430529</v>
      </c>
      <c r="G572" s="89">
        <f t="shared" si="85"/>
        <v>1.1553749340595754</v>
      </c>
      <c r="H572" s="90" t="str">
        <f t="shared" si="86"/>
        <v/>
      </c>
      <c r="I572" s="90" t="str">
        <f t="shared" si="87"/>
        <v/>
      </c>
      <c r="J572" s="90" t="str">
        <f t="shared" si="88"/>
        <v/>
      </c>
      <c r="K572" s="90" t="str">
        <f t="shared" si="89"/>
        <v/>
      </c>
      <c r="L572" s="90"/>
      <c r="M572" s="106">
        <f>IF(D572="","",ABS(D572-G$5))</f>
        <v>1.7748401156402992E-2</v>
      </c>
    </row>
    <row r="573" spans="2:13" ht="12.75" customHeight="1" x14ac:dyDescent="0.55000000000000004">
      <c r="B573" s="97">
        <v>45720</v>
      </c>
      <c r="C573" s="89">
        <v>5842.94</v>
      </c>
      <c r="D573" s="91">
        <f t="shared" si="82"/>
        <v>-1.1597020284305113E-3</v>
      </c>
      <c r="E573" s="89">
        <f t="shared" si="83"/>
        <v>0.11574524142686775</v>
      </c>
      <c r="F573" s="89">
        <f t="shared" si="84"/>
        <v>0.12204708899097867</v>
      </c>
      <c r="G573" s="89">
        <f t="shared" si="85"/>
        <v>0.12707274405870383</v>
      </c>
      <c r="H573" s="90" t="str">
        <f t="shared" si="86"/>
        <v/>
      </c>
      <c r="I573" s="90" t="str">
        <f t="shared" si="87"/>
        <v/>
      </c>
      <c r="J573" s="90" t="str">
        <f t="shared" si="88"/>
        <v/>
      </c>
      <c r="K573" s="90" t="str">
        <f t="shared" si="89"/>
        <v/>
      </c>
      <c r="L573" s="90"/>
      <c r="M573" s="106">
        <f>IF(D573="","",ABS(D573-G$5))</f>
        <v>1.1597020284305113E-3</v>
      </c>
    </row>
    <row r="574" spans="2:13" ht="12.75" customHeight="1" x14ac:dyDescent="0.55000000000000004">
      <c r="B574" s="97">
        <v>45721</v>
      </c>
      <c r="C574" s="89">
        <v>5842.94</v>
      </c>
      <c r="D574" s="91">
        <f t="shared" si="82"/>
        <v>0</v>
      </c>
      <c r="E574" s="89">
        <f t="shared" si="83"/>
        <v>4.6348691292451449E-2</v>
      </c>
      <c r="F574" s="89">
        <f t="shared" si="84"/>
        <v>0</v>
      </c>
      <c r="G574" s="89">
        <f t="shared" si="85"/>
        <v>5.3629410274605216E-2</v>
      </c>
      <c r="H574" s="90" t="str">
        <f t="shared" si="86"/>
        <v/>
      </c>
      <c r="I574" s="90" t="str">
        <f t="shared" si="87"/>
        <v/>
      </c>
      <c r="J574" s="90" t="str">
        <f t="shared" si="88"/>
        <v/>
      </c>
      <c r="K574" s="90" t="str">
        <f t="shared" si="89"/>
        <v/>
      </c>
      <c r="L574" s="90"/>
      <c r="M574" s="106">
        <f>IF(D574="","",ABS(D574-G$5))</f>
        <v>0</v>
      </c>
    </row>
    <row r="575" spans="2:13" ht="12.75" customHeight="1" x14ac:dyDescent="0.55000000000000004">
      <c r="B575" s="97">
        <v>45722</v>
      </c>
      <c r="C575" s="89">
        <v>5770.15</v>
      </c>
      <c r="D575" s="91">
        <f t="shared" si="82"/>
        <v>-1.2536018106090032E-2</v>
      </c>
      <c r="E575" s="89">
        <f t="shared" si="83"/>
        <v>0.79650380670825127</v>
      </c>
      <c r="F575" s="89">
        <f t="shared" si="84"/>
        <v>1.3192910591499978</v>
      </c>
      <c r="G575" s="89">
        <f t="shared" si="85"/>
        <v>0.92864291319284376</v>
      </c>
      <c r="H575" s="90" t="str">
        <f t="shared" si="86"/>
        <v/>
      </c>
      <c r="I575" s="90" t="str">
        <f t="shared" si="87"/>
        <v/>
      </c>
      <c r="J575" s="90" t="str">
        <f t="shared" si="88"/>
        <v/>
      </c>
      <c r="K575" s="90" t="str">
        <f t="shared" si="89"/>
        <v/>
      </c>
      <c r="L575" s="90"/>
      <c r="M575" s="106">
        <f>IF(D575="","",ABS(D575-G$5))</f>
        <v>1.2536018106090032E-2</v>
      </c>
    </row>
    <row r="576" spans="2:13" ht="12.75" customHeight="1" x14ac:dyDescent="0.55000000000000004">
      <c r="B576" s="97">
        <v>45723</v>
      </c>
      <c r="C576" s="89">
        <v>5770.15</v>
      </c>
      <c r="D576" s="91">
        <f t="shared" si="82"/>
        <v>0</v>
      </c>
      <c r="E576" s="89">
        <f t="shared" si="83"/>
        <v>4.6348691292451449E-2</v>
      </c>
      <c r="F576" s="89">
        <f t="shared" si="84"/>
        <v>0</v>
      </c>
      <c r="G576" s="89">
        <f t="shared" si="85"/>
        <v>5.695169723734534E-2</v>
      </c>
      <c r="H576" s="90" t="str">
        <f t="shared" si="86"/>
        <v/>
      </c>
      <c r="I576" s="90" t="str">
        <f t="shared" si="87"/>
        <v/>
      </c>
      <c r="J576" s="90" t="str">
        <f t="shared" si="88"/>
        <v/>
      </c>
      <c r="K576" s="90" t="str">
        <f t="shared" si="89"/>
        <v/>
      </c>
      <c r="L576" s="90"/>
      <c r="M576" s="106">
        <f>IF(D576="","",ABS(D576-G$5))</f>
        <v>0</v>
      </c>
    </row>
    <row r="577" spans="2:13" ht="12.75" customHeight="1" x14ac:dyDescent="0.55000000000000004">
      <c r="B577" s="97">
        <v>45726</v>
      </c>
      <c r="C577" s="89">
        <v>5614.56</v>
      </c>
      <c r="D577" s="91">
        <f t="shared" si="82"/>
        <v>-2.7334853127530021E-2</v>
      </c>
      <c r="E577" s="89">
        <f t="shared" si="83"/>
        <v>1.6820658487840034</v>
      </c>
      <c r="F577" s="89">
        <f t="shared" si="84"/>
        <v>2.8767210631906623</v>
      </c>
      <c r="G577" s="89">
        <f t="shared" si="85"/>
        <v>1.7940936426589231</v>
      </c>
      <c r="H577" s="90" t="str">
        <f t="shared" si="86"/>
        <v/>
      </c>
      <c r="I577" s="90" t="str">
        <f t="shared" si="87"/>
        <v/>
      </c>
      <c r="J577" s="90" t="str">
        <f t="shared" si="88"/>
        <v/>
      </c>
      <c r="K577" s="90" t="str">
        <f t="shared" si="89"/>
        <v/>
      </c>
      <c r="L577" s="90"/>
      <c r="M577" s="106">
        <f>IF(D577="","",ABS(D577-G$5))</f>
        <v>2.7334853127530021E-2</v>
      </c>
    </row>
    <row r="578" spans="2:13" ht="12.75" customHeight="1" x14ac:dyDescent="0.55000000000000004">
      <c r="B578" s="97">
        <v>45727</v>
      </c>
      <c r="C578" s="89">
        <v>5572.07</v>
      </c>
      <c r="D578" s="91">
        <f t="shared" si="82"/>
        <v>-7.596604935651537E-3</v>
      </c>
      <c r="E578" s="89">
        <f t="shared" si="83"/>
        <v>0.50092940456563206</v>
      </c>
      <c r="F578" s="89">
        <f t="shared" si="84"/>
        <v>0.79946701469990988</v>
      </c>
      <c r="G578" s="89">
        <f t="shared" si="85"/>
        <v>0.55446832709995897</v>
      </c>
      <c r="H578" s="90" t="str">
        <f t="shared" si="86"/>
        <v/>
      </c>
      <c r="I578" s="90" t="str">
        <f t="shared" si="87"/>
        <v/>
      </c>
      <c r="J578" s="90" t="str">
        <f t="shared" si="88"/>
        <v/>
      </c>
      <c r="K578" s="90" t="str">
        <f t="shared" si="89"/>
        <v/>
      </c>
      <c r="L578" s="90"/>
      <c r="M578" s="106">
        <f>IF(D578="","",ABS(D578-G$5))</f>
        <v>7.596604935651537E-3</v>
      </c>
    </row>
    <row r="579" spans="2:13" ht="12.75" customHeight="1" x14ac:dyDescent="0.55000000000000004">
      <c r="B579" s="97">
        <v>45728</v>
      </c>
      <c r="C579" s="89">
        <v>5521.52</v>
      </c>
      <c r="D579" s="91">
        <f t="shared" si="82"/>
        <v>-9.1134339501185522E-3</v>
      </c>
      <c r="E579" s="89">
        <f t="shared" si="83"/>
        <v>0.59169642761745445</v>
      </c>
      <c r="F579" s="89">
        <f t="shared" si="84"/>
        <v>0.95909816233469813</v>
      </c>
      <c r="G579" s="89">
        <f t="shared" si="85"/>
        <v>0.67447784401405342</v>
      </c>
      <c r="H579" s="90" t="str">
        <f t="shared" si="86"/>
        <v/>
      </c>
      <c r="I579" s="90" t="str">
        <f t="shared" si="87"/>
        <v/>
      </c>
      <c r="J579" s="90" t="str">
        <f t="shared" si="88"/>
        <v/>
      </c>
      <c r="K579" s="90" t="str">
        <f t="shared" si="89"/>
        <v/>
      </c>
      <c r="L579" s="90"/>
      <c r="M579" s="106">
        <f>IF(D579="","",ABS(D579-G$5))</f>
        <v>9.1134339501185522E-3</v>
      </c>
    </row>
    <row r="580" spans="2:13" ht="12.75" customHeight="1" x14ac:dyDescent="0.55000000000000004">
      <c r="B580" s="97">
        <v>45729</v>
      </c>
      <c r="C580" s="89">
        <v>5521.52</v>
      </c>
      <c r="D580" s="91">
        <f t="shared" si="82"/>
        <v>0</v>
      </c>
      <c r="E580" s="89">
        <f t="shared" si="83"/>
        <v>4.6348691292451449E-2</v>
      </c>
      <c r="F580" s="89">
        <f t="shared" si="84"/>
        <v>0</v>
      </c>
      <c r="G580" s="89">
        <f t="shared" si="85"/>
        <v>5.5682358805786182E-2</v>
      </c>
      <c r="H580" s="90" t="str">
        <f t="shared" si="86"/>
        <v/>
      </c>
      <c r="I580" s="90" t="str">
        <f t="shared" si="87"/>
        <v/>
      </c>
      <c r="J580" s="90" t="str">
        <f t="shared" si="88"/>
        <v/>
      </c>
      <c r="K580" s="90" t="str">
        <f t="shared" si="89"/>
        <v/>
      </c>
      <c r="L580" s="90"/>
      <c r="M580" s="106">
        <f>IF(D580="","",ABS(D580-G$5))</f>
        <v>0</v>
      </c>
    </row>
    <row r="581" spans="2:13" ht="12.75" customHeight="1" x14ac:dyDescent="0.55000000000000004">
      <c r="B581" s="97">
        <v>45730</v>
      </c>
      <c r="C581" s="89">
        <v>5638.94</v>
      </c>
      <c r="D581" s="91">
        <f t="shared" si="82"/>
        <v>2.1042919881408308E-2</v>
      </c>
      <c r="E581" s="89">
        <f t="shared" si="83"/>
        <v>1.2128592851745466</v>
      </c>
      <c r="F581" s="89">
        <f t="shared" si="84"/>
        <v>2.2145577505559748</v>
      </c>
      <c r="G581" s="89">
        <f t="shared" si="85"/>
        <v>1.3815818706455676</v>
      </c>
      <c r="H581" s="90" t="str">
        <f t="shared" si="86"/>
        <v/>
      </c>
      <c r="I581" s="90" t="str">
        <f t="shared" si="87"/>
        <v/>
      </c>
      <c r="J581" s="90" t="str">
        <f t="shared" si="88"/>
        <v/>
      </c>
      <c r="K581" s="90" t="str">
        <f t="shared" si="89"/>
        <v/>
      </c>
      <c r="L581" s="90"/>
      <c r="M581" s="106">
        <f>IF(D581="","",ABS(D581-G$5))</f>
        <v>2.1042919881408308E-2</v>
      </c>
    </row>
    <row r="582" spans="2:13" ht="12.75" customHeight="1" x14ac:dyDescent="0.55000000000000004">
      <c r="B582" s="97">
        <v>45733</v>
      </c>
      <c r="C582" s="89">
        <v>5675.12</v>
      </c>
      <c r="D582" s="91">
        <f t="shared" si="82"/>
        <v>6.3956039343475201E-3</v>
      </c>
      <c r="E582" s="89">
        <f t="shared" si="83"/>
        <v>0.33636414199497605</v>
      </c>
      <c r="F582" s="89">
        <f t="shared" si="84"/>
        <v>0.67307362011149241</v>
      </c>
      <c r="G582" s="89">
        <f t="shared" si="85"/>
        <v>0.40062781827081656</v>
      </c>
      <c r="H582" s="90" t="str">
        <f t="shared" si="86"/>
        <v/>
      </c>
      <c r="I582" s="90" t="str">
        <f t="shared" si="87"/>
        <v/>
      </c>
      <c r="J582" s="90" t="str">
        <f t="shared" si="88"/>
        <v/>
      </c>
      <c r="K582" s="90" t="str">
        <f t="shared" si="89"/>
        <v/>
      </c>
      <c r="L582" s="90"/>
      <c r="M582" s="106">
        <f>IF(D582="","",ABS(D582-G$5))</f>
        <v>6.3956039343475201E-3</v>
      </c>
    </row>
    <row r="583" spans="2:13" ht="12.75" customHeight="1" x14ac:dyDescent="0.55000000000000004">
      <c r="B583" s="97">
        <v>45734</v>
      </c>
      <c r="C583" s="89">
        <v>5614.56</v>
      </c>
      <c r="D583" s="91">
        <f t="shared" si="82"/>
        <v>-1.0728484929985781E-2</v>
      </c>
      <c r="E583" s="89">
        <f t="shared" si="83"/>
        <v>0.68834105144869584</v>
      </c>
      <c r="F583" s="89">
        <f t="shared" si="84"/>
        <v>1.1290661936328634</v>
      </c>
      <c r="G583" s="89">
        <f t="shared" si="85"/>
        <v>0.83363018560813196</v>
      </c>
      <c r="H583" s="90" t="str">
        <f t="shared" si="86"/>
        <v/>
      </c>
      <c r="I583" s="90" t="str">
        <f t="shared" si="87"/>
        <v/>
      </c>
      <c r="J583" s="90" t="str">
        <f t="shared" si="88"/>
        <v/>
      </c>
      <c r="K583" s="90" t="str">
        <f t="shared" si="89"/>
        <v/>
      </c>
      <c r="L583" s="90"/>
      <c r="M583" s="106">
        <f>IF(D583="","",ABS(D583-G$5))</f>
        <v>1.0728484929985781E-2</v>
      </c>
    </row>
    <row r="584" spans="2:13" ht="12.75" customHeight="1" x14ac:dyDescent="0.55000000000000004">
      <c r="B584" s="97">
        <v>45735</v>
      </c>
      <c r="C584" s="89">
        <v>5675.12</v>
      </c>
      <c r="D584" s="91">
        <f t="shared" si="82"/>
        <v>1.072848492998571E-2</v>
      </c>
      <c r="E584" s="89">
        <f t="shared" si="83"/>
        <v>0.59564366886378861</v>
      </c>
      <c r="F584" s="89">
        <f t="shared" si="84"/>
        <v>1.1290661936328559</v>
      </c>
      <c r="G584" s="89">
        <f t="shared" si="85"/>
        <v>0.73931474592462776</v>
      </c>
      <c r="H584" s="90" t="str">
        <f t="shared" si="86"/>
        <v/>
      </c>
      <c r="I584" s="90" t="str">
        <f t="shared" si="87"/>
        <v/>
      </c>
      <c r="J584" s="90" t="str">
        <f t="shared" si="88"/>
        <v/>
      </c>
      <c r="K584" s="90" t="str">
        <f t="shared" si="89"/>
        <v/>
      </c>
      <c r="L584" s="90"/>
      <c r="M584" s="106">
        <f>IF(D584="","",ABS(D584-G$5))</f>
        <v>1.072848492998571E-2</v>
      </c>
    </row>
    <row r="585" spans="2:13" ht="12.75" customHeight="1" x14ac:dyDescent="0.55000000000000004">
      <c r="B585" s="97">
        <v>45736</v>
      </c>
      <c r="C585" s="89">
        <v>5667.2</v>
      </c>
      <c r="D585" s="91">
        <f t="shared" si="82"/>
        <v>-1.3965399119780996E-3</v>
      </c>
      <c r="E585" s="89">
        <f t="shared" si="83"/>
        <v>0.12991761644770189</v>
      </c>
      <c r="F585" s="89">
        <f t="shared" si="84"/>
        <v>0.14697191755999203</v>
      </c>
      <c r="G585" s="89">
        <f t="shared" si="85"/>
        <v>0.16973177316188318</v>
      </c>
      <c r="H585" s="90" t="str">
        <f t="shared" si="86"/>
        <v/>
      </c>
      <c r="I585" s="90" t="str">
        <f t="shared" si="87"/>
        <v/>
      </c>
      <c r="J585" s="90" t="str">
        <f t="shared" si="88"/>
        <v/>
      </c>
      <c r="K585" s="90" t="str">
        <f t="shared" si="89"/>
        <v/>
      </c>
      <c r="L585" s="90"/>
      <c r="M585" s="106">
        <f>IF(D585="","",ABS(D585-G$5))</f>
        <v>1.3965399119780996E-3</v>
      </c>
    </row>
    <row r="586" spans="2:13" ht="12.75" customHeight="1" x14ac:dyDescent="0.55000000000000004">
      <c r="B586" s="97">
        <v>45737</v>
      </c>
      <c r="C586" s="89">
        <v>5667.2</v>
      </c>
      <c r="D586" s="91">
        <f t="shared" si="82"/>
        <v>0</v>
      </c>
      <c r="E586" s="89">
        <f t="shared" si="83"/>
        <v>4.6348691292451449E-2</v>
      </c>
      <c r="F586" s="89">
        <f t="shared" si="84"/>
        <v>0</v>
      </c>
      <c r="G586" s="89">
        <f t="shared" si="85"/>
        <v>6.3815015222133689E-2</v>
      </c>
      <c r="H586" s="90" t="str">
        <f t="shared" si="86"/>
        <v/>
      </c>
      <c r="I586" s="90" t="str">
        <f t="shared" si="87"/>
        <v/>
      </c>
      <c r="J586" s="90" t="str">
        <f t="shared" si="88"/>
        <v/>
      </c>
      <c r="K586" s="90" t="str">
        <f t="shared" si="89"/>
        <v/>
      </c>
      <c r="L586" s="90"/>
      <c r="M586" s="106">
        <f>IF(D586="","",ABS(D586-G$5))</f>
        <v>0</v>
      </c>
    </row>
    <row r="587" spans="2:13" ht="12.75" customHeight="1" x14ac:dyDescent="0.55000000000000004">
      <c r="B587" s="97">
        <v>45740</v>
      </c>
      <c r="C587" s="89">
        <v>5776.65</v>
      </c>
      <c r="D587" s="91">
        <f t="shared" si="82"/>
        <v>1.9128761278640403E-2</v>
      </c>
      <c r="E587" s="89">
        <f t="shared" si="83"/>
        <v>1.0983160661530351</v>
      </c>
      <c r="F587" s="89">
        <f t="shared" si="84"/>
        <v>2.013111620767766</v>
      </c>
      <c r="G587" s="89">
        <f t="shared" si="85"/>
        <v>1.4234020841455539</v>
      </c>
      <c r="H587" s="90" t="str">
        <f t="shared" si="86"/>
        <v/>
      </c>
      <c r="I587" s="90" t="str">
        <f t="shared" si="87"/>
        <v/>
      </c>
      <c r="J587" s="90" t="str">
        <f t="shared" si="88"/>
        <v/>
      </c>
      <c r="K587" s="90" t="str">
        <f t="shared" si="89"/>
        <v/>
      </c>
      <c r="L587" s="90"/>
      <c r="M587" s="106">
        <f>IF(D587="","",ABS(D587-G$5))</f>
        <v>1.9128761278640403E-2</v>
      </c>
    </row>
    <row r="588" spans="2:13" ht="12.75" customHeight="1" x14ac:dyDescent="0.55000000000000004">
      <c r="B588" s="97">
        <v>45741</v>
      </c>
      <c r="C588" s="89">
        <v>5842.94</v>
      </c>
      <c r="D588" s="91">
        <f t="shared" si="82"/>
        <v>1.1410164936971893E-2</v>
      </c>
      <c r="E588" s="89">
        <f t="shared" si="83"/>
        <v>0.63643538916841558</v>
      </c>
      <c r="F588" s="89">
        <f t="shared" si="84"/>
        <v>1.2008062255000147</v>
      </c>
      <c r="G588" s="89">
        <f t="shared" si="85"/>
        <v>0.83832007816475851</v>
      </c>
      <c r="H588" s="90" t="str">
        <f t="shared" si="86"/>
        <v/>
      </c>
      <c r="I588" s="90" t="str">
        <f t="shared" si="87"/>
        <v/>
      </c>
      <c r="J588" s="90" t="str">
        <f t="shared" si="88"/>
        <v/>
      </c>
      <c r="K588" s="90" t="str">
        <f t="shared" si="89"/>
        <v/>
      </c>
      <c r="L588" s="90"/>
      <c r="M588" s="106">
        <f>IF(D588="","",ABS(D588-G$5))</f>
        <v>1.1410164936971893E-2</v>
      </c>
    </row>
    <row r="589" spans="2:13" ht="12.75" customHeight="1" x14ac:dyDescent="0.55000000000000004">
      <c r="B589" s="97">
        <v>45742</v>
      </c>
      <c r="C589" s="89">
        <v>5776.65</v>
      </c>
      <c r="D589" s="91">
        <f t="shared" si="82"/>
        <v>-1.1410164936971853E-2</v>
      </c>
      <c r="E589" s="89">
        <f t="shared" si="83"/>
        <v>0.72913277175331603</v>
      </c>
      <c r="F589" s="89">
        <f t="shared" si="84"/>
        <v>1.2008062255000107</v>
      </c>
      <c r="G589" s="89">
        <f t="shared" si="85"/>
        <v>0.96416989314217849</v>
      </c>
      <c r="H589" s="90" t="str">
        <f t="shared" si="86"/>
        <v/>
      </c>
      <c r="I589" s="90" t="str">
        <f t="shared" si="87"/>
        <v/>
      </c>
      <c r="J589" s="90" t="str">
        <f t="shared" si="88"/>
        <v/>
      </c>
      <c r="K589" s="90" t="str">
        <f t="shared" si="89"/>
        <v/>
      </c>
      <c r="L589" s="90"/>
      <c r="M589" s="106">
        <f>IF(D589="","",ABS(D589-G$5))</f>
        <v>1.1410164936971853E-2</v>
      </c>
    </row>
    <row r="590" spans="2:13" ht="12.75" customHeight="1" x14ac:dyDescent="0.55000000000000004">
      <c r="B590" s="97">
        <v>45743</v>
      </c>
      <c r="C590" s="89">
        <v>5580.94</v>
      </c>
      <c r="D590" s="91">
        <f t="shared" si="82"/>
        <v>-3.4466708898023501E-2</v>
      </c>
      <c r="E590" s="89">
        <f t="shared" si="83"/>
        <v>2.1088359797272838</v>
      </c>
      <c r="F590" s="89">
        <f t="shared" si="84"/>
        <v>3.6272778567061765</v>
      </c>
      <c r="G590" s="89">
        <f t="shared" si="85"/>
        <v>2.1529807828165382</v>
      </c>
      <c r="H590" s="90" t="str">
        <f t="shared" si="86"/>
        <v/>
      </c>
      <c r="I590" s="90" t="str">
        <f t="shared" si="87"/>
        <v>OUTLIER</v>
      </c>
      <c r="J590" s="90" t="str">
        <f t="shared" si="88"/>
        <v/>
      </c>
      <c r="K590" s="90" t="str">
        <f t="shared" si="89"/>
        <v/>
      </c>
      <c r="L590" s="90"/>
      <c r="M590" s="106">
        <f>IF(D590="","",ABS(D590-G$5))</f>
        <v>3.4466708898023501E-2</v>
      </c>
    </row>
    <row r="591" spans="2:13" ht="12.75" customHeight="1" x14ac:dyDescent="0.55000000000000004">
      <c r="B591" s="97">
        <v>45744</v>
      </c>
      <c r="C591" s="89">
        <v>5580.94</v>
      </c>
      <c r="D591" s="91">
        <f t="shared" si="82"/>
        <v>0</v>
      </c>
      <c r="E591" s="89">
        <f t="shared" si="83"/>
        <v>4.6348691292451449E-2</v>
      </c>
      <c r="F591" s="89">
        <f t="shared" si="84"/>
        <v>0</v>
      </c>
      <c r="G591" s="89">
        <f t="shared" si="85"/>
        <v>4.9872318129393113E-2</v>
      </c>
      <c r="H591" s="90" t="str">
        <f t="shared" si="86"/>
        <v/>
      </c>
      <c r="I591" s="90" t="str">
        <f t="shared" si="87"/>
        <v/>
      </c>
      <c r="J591" s="90" t="str">
        <f t="shared" si="88"/>
        <v/>
      </c>
      <c r="K591" s="90" t="str">
        <f t="shared" si="89"/>
        <v/>
      </c>
      <c r="L591" s="90"/>
      <c r="M591" s="106">
        <f>IF(D591="","",ABS(D591-G$5))</f>
        <v>0</v>
      </c>
    </row>
    <row r="592" spans="2:13" ht="12.75" customHeight="1" x14ac:dyDescent="0.55000000000000004">
      <c r="B592" s="97">
        <v>45747</v>
      </c>
      <c r="C592" s="89">
        <v>5611.85</v>
      </c>
      <c r="D592" s="91">
        <f t="shared" si="82"/>
        <v>5.523212456950013E-3</v>
      </c>
      <c r="E592" s="89">
        <f t="shared" si="83"/>
        <v>0.2841602504660572</v>
      </c>
      <c r="F592" s="89">
        <f t="shared" si="84"/>
        <v>0.58126310528381675</v>
      </c>
      <c r="G592" s="89">
        <f t="shared" si="85"/>
        <v>0.32064175760942909</v>
      </c>
      <c r="H592" s="90" t="str">
        <f t="shared" si="86"/>
        <v/>
      </c>
      <c r="I592" s="90" t="str">
        <f t="shared" si="87"/>
        <v/>
      </c>
      <c r="J592" s="90" t="str">
        <f t="shared" si="88"/>
        <v/>
      </c>
      <c r="K592" s="90" t="str">
        <f t="shared" si="89"/>
        <v/>
      </c>
      <c r="L592" s="90"/>
      <c r="M592" s="106">
        <f>IF(D592="","",ABS(D592-G$5))</f>
        <v>5.523212456950013E-3</v>
      </c>
    </row>
    <row r="593" spans="2:13" ht="12.75" customHeight="1" x14ac:dyDescent="0.55000000000000004">
      <c r="B593" s="97">
        <v>45748</v>
      </c>
      <c r="C593" s="89">
        <v>5243.77</v>
      </c>
      <c r="D593" s="91">
        <f t="shared" si="82"/>
        <v>-6.7839728153476123E-2</v>
      </c>
      <c r="E593" s="89">
        <f t="shared" si="83"/>
        <v>4.1058768981019735</v>
      </c>
      <c r="F593" s="89">
        <f t="shared" si="84"/>
        <v>7.1394557706141093</v>
      </c>
      <c r="G593" s="89">
        <f t="shared" si="85"/>
        <v>2.6543857505446589</v>
      </c>
      <c r="H593" s="90" t="str">
        <f t="shared" si="86"/>
        <v>OUTLIER</v>
      </c>
      <c r="I593" s="90" t="str">
        <f t="shared" si="87"/>
        <v>OUTLIER</v>
      </c>
      <c r="J593" s="90" t="str">
        <f t="shared" si="88"/>
        <v/>
      </c>
      <c r="K593" s="90" t="str">
        <f t="shared" si="89"/>
        <v/>
      </c>
      <c r="L593" s="90"/>
      <c r="M593" s="106">
        <f>IF(D593="","",ABS(D593-G$5))</f>
        <v>6.7839728153476123E-2</v>
      </c>
    </row>
    <row r="594" spans="2:13" ht="12.75" customHeight="1" x14ac:dyDescent="0.55000000000000004">
      <c r="B594" s="97">
        <v>45749</v>
      </c>
      <c r="C594" s="89">
        <v>5396.52</v>
      </c>
      <c r="D594" s="91">
        <f t="shared" si="82"/>
        <v>2.8713596091737587E-2</v>
      </c>
      <c r="E594" s="89">
        <f t="shared" si="83"/>
        <v>1.6718724222951276</v>
      </c>
      <c r="F594" s="89">
        <f t="shared" si="84"/>
        <v>3.021820029238051</v>
      </c>
      <c r="G594" s="89">
        <f t="shared" si="85"/>
        <v>1.0718620709224669</v>
      </c>
      <c r="H594" s="90" t="str">
        <f t="shared" si="86"/>
        <v/>
      </c>
      <c r="I594" s="90" t="str">
        <f t="shared" si="87"/>
        <v>OUTLIER</v>
      </c>
      <c r="J594" s="90" t="str">
        <f t="shared" si="88"/>
        <v/>
      </c>
      <c r="K594" s="90" t="str">
        <f t="shared" si="89"/>
        <v/>
      </c>
      <c r="L594" s="90"/>
      <c r="M594" s="106">
        <f>IF(D594="","",ABS(D594-G$5))</f>
        <v>2.8713596091737587E-2</v>
      </c>
    </row>
    <row r="595" spans="2:13" ht="12.75" customHeight="1" x14ac:dyDescent="0.55000000000000004">
      <c r="B595" s="97">
        <v>45750</v>
      </c>
      <c r="C595" s="89">
        <v>5074.08</v>
      </c>
      <c r="D595" s="91">
        <f t="shared" si="82"/>
        <v>-6.160907367588022E-2</v>
      </c>
      <c r="E595" s="89">
        <f t="shared" si="83"/>
        <v>3.7330346375689971</v>
      </c>
      <c r="F595" s="89">
        <f t="shared" si="84"/>
        <v>6.483741438089984</v>
      </c>
      <c r="G595" s="89">
        <f t="shared" si="85"/>
        <v>1.972092793796256</v>
      </c>
      <c r="H595" s="90" t="str">
        <f t="shared" si="86"/>
        <v>OUTLIER</v>
      </c>
      <c r="I595" s="90" t="str">
        <f t="shared" si="87"/>
        <v>OUTLIER</v>
      </c>
      <c r="J595" s="90" t="str">
        <f t="shared" si="88"/>
        <v/>
      </c>
      <c r="K595" s="90" t="str">
        <f t="shared" si="89"/>
        <v/>
      </c>
      <c r="L595" s="90"/>
      <c r="M595" s="106">
        <f>IF(D595="","",ABS(D595-G$5))</f>
        <v>6.160907367588022E-2</v>
      </c>
    </row>
    <row r="596" spans="2:13" ht="12.75" customHeight="1" x14ac:dyDescent="0.55000000000000004">
      <c r="B596" s="97">
        <v>45751</v>
      </c>
      <c r="C596" s="89">
        <v>5074.08</v>
      </c>
      <c r="D596" s="91">
        <f t="shared" si="82"/>
        <v>0</v>
      </c>
      <c r="E596" s="89">
        <f t="shared" si="83"/>
        <v>4.6348691292451449E-2</v>
      </c>
      <c r="F596" s="89">
        <f t="shared" si="84"/>
        <v>0</v>
      </c>
      <c r="G596" s="89">
        <f t="shared" si="85"/>
        <v>2.5808756679374305E-2</v>
      </c>
      <c r="H596" s="90" t="str">
        <f t="shared" si="86"/>
        <v/>
      </c>
      <c r="I596" s="90" t="str">
        <f t="shared" si="87"/>
        <v/>
      </c>
      <c r="J596" s="90" t="str">
        <f t="shared" si="88"/>
        <v/>
      </c>
      <c r="K596" s="90" t="str">
        <f t="shared" si="89"/>
        <v/>
      </c>
      <c r="L596" s="90"/>
      <c r="M596" s="106">
        <f>IF(D596="","",ABS(D596-G$5))</f>
        <v>0</v>
      </c>
    </row>
    <row r="597" spans="2:13" ht="12.75" customHeight="1" x14ac:dyDescent="0.55000000000000004">
      <c r="B597" s="97">
        <v>45754</v>
      </c>
      <c r="C597" s="89">
        <v>4982.7700000000004</v>
      </c>
      <c r="D597" s="91">
        <f t="shared" si="82"/>
        <v>-1.8159266405896164E-2</v>
      </c>
      <c r="E597" s="89">
        <f t="shared" si="83"/>
        <v>1.1329988916430362</v>
      </c>
      <c r="F597" s="89">
        <f t="shared" si="84"/>
        <v>1.9110819406349751</v>
      </c>
      <c r="G597" s="89">
        <f t="shared" si="85"/>
        <v>0.6507896366059116</v>
      </c>
      <c r="H597" s="90" t="str">
        <f t="shared" si="86"/>
        <v/>
      </c>
      <c r="I597" s="90" t="str">
        <f t="shared" si="87"/>
        <v/>
      </c>
      <c r="J597" s="90" t="str">
        <f t="shared" si="88"/>
        <v/>
      </c>
      <c r="K597" s="90" t="str">
        <f t="shared" si="89"/>
        <v/>
      </c>
      <c r="L597" s="90"/>
      <c r="M597" s="106">
        <f>IF(D597="","",ABS(D597-G$5))</f>
        <v>1.8159266405896164E-2</v>
      </c>
    </row>
    <row r="598" spans="2:13" ht="12.75" customHeight="1" x14ac:dyDescent="0.55000000000000004">
      <c r="B598" s="97">
        <v>45755</v>
      </c>
      <c r="C598" s="89">
        <v>5160.6400000000003</v>
      </c>
      <c r="D598" s="91">
        <f t="shared" si="82"/>
        <v>3.5074641509584475E-2</v>
      </c>
      <c r="E598" s="89">
        <f t="shared" si="83"/>
        <v>2.0525172745287037</v>
      </c>
      <c r="F598" s="89">
        <f t="shared" si="84"/>
        <v>3.6912567096569768</v>
      </c>
      <c r="G598" s="89">
        <f t="shared" si="85"/>
        <v>1.1566220112094812</v>
      </c>
      <c r="H598" s="90" t="str">
        <f t="shared" si="86"/>
        <v/>
      </c>
      <c r="I598" s="90" t="str">
        <f t="shared" si="87"/>
        <v>OUTLIER</v>
      </c>
      <c r="J598" s="90" t="str">
        <f t="shared" si="88"/>
        <v/>
      </c>
      <c r="K598" s="90" t="str">
        <f t="shared" si="89"/>
        <v/>
      </c>
      <c r="L598" s="90"/>
      <c r="M598" s="106">
        <f>IF(D598="","",ABS(D598-G$5))</f>
        <v>3.5074641509584475E-2</v>
      </c>
    </row>
    <row r="599" spans="2:13" ht="12.75" customHeight="1" x14ac:dyDescent="0.55000000000000004">
      <c r="B599" s="97">
        <v>45756</v>
      </c>
      <c r="C599" s="89">
        <v>5456.9</v>
      </c>
      <c r="D599" s="91">
        <f t="shared" si="82"/>
        <v>5.5820260139130266E-2</v>
      </c>
      <c r="E599" s="89">
        <f t="shared" si="83"/>
        <v>3.2939347490183759</v>
      </c>
      <c r="F599" s="89">
        <f t="shared" si="84"/>
        <v>5.8745264642849797</v>
      </c>
      <c r="G599" s="89">
        <f t="shared" si="85"/>
        <v>1.6638541321714748</v>
      </c>
      <c r="H599" s="90" t="str">
        <f t="shared" si="86"/>
        <v>OUTLIER</v>
      </c>
      <c r="I599" s="90" t="str">
        <f t="shared" si="87"/>
        <v>OUTLIER</v>
      </c>
      <c r="J599" s="90" t="str">
        <f t="shared" si="88"/>
        <v/>
      </c>
      <c r="K599" s="90" t="str">
        <f t="shared" si="89"/>
        <v/>
      </c>
      <c r="L599" s="90"/>
      <c r="M599" s="106">
        <f>IF(D599="","",ABS(D599-G$5))</f>
        <v>5.5820260139130266E-2</v>
      </c>
    </row>
    <row r="600" spans="2:13" ht="12.75" customHeight="1" x14ac:dyDescent="0.55000000000000004">
      <c r="B600" s="97">
        <v>45757</v>
      </c>
      <c r="C600" s="89">
        <v>5268.05</v>
      </c>
      <c r="D600" s="91">
        <f t="shared" si="82"/>
        <v>-3.5220587845117973E-2</v>
      </c>
      <c r="E600" s="89">
        <f t="shared" si="83"/>
        <v>2.1539480834097491</v>
      </c>
      <c r="F600" s="89">
        <f t="shared" si="84"/>
        <v>3.7066161079886935</v>
      </c>
      <c r="G600" s="89">
        <f t="shared" si="85"/>
        <v>1.0781544653494108</v>
      </c>
      <c r="H600" s="90" t="str">
        <f t="shared" si="86"/>
        <v/>
      </c>
      <c r="I600" s="90" t="str">
        <f t="shared" si="87"/>
        <v>OUTLIER</v>
      </c>
      <c r="J600" s="90" t="str">
        <f t="shared" si="88"/>
        <v/>
      </c>
      <c r="K600" s="90" t="str">
        <f t="shared" si="89"/>
        <v/>
      </c>
      <c r="L600" s="90"/>
      <c r="M600" s="106">
        <f>IF(D600="","",ABS(D600-G$5))</f>
        <v>3.5220587845117973E-2</v>
      </c>
    </row>
    <row r="601" spans="2:13" ht="12.75" customHeight="1" x14ac:dyDescent="0.55000000000000004">
      <c r="B601" s="97">
        <v>45758</v>
      </c>
      <c r="C601" s="89">
        <v>5268.05</v>
      </c>
      <c r="D601" s="91">
        <f t="shared" si="82"/>
        <v>0</v>
      </c>
      <c r="E601" s="89">
        <f t="shared" si="83"/>
        <v>4.6348691292451449E-2</v>
      </c>
      <c r="F601" s="89">
        <f t="shared" si="84"/>
        <v>0</v>
      </c>
      <c r="G601" s="89">
        <f t="shared" si="85"/>
        <v>2.4453948322046733E-2</v>
      </c>
      <c r="H601" s="90" t="str">
        <f t="shared" si="86"/>
        <v/>
      </c>
      <c r="I601" s="90" t="str">
        <f t="shared" si="87"/>
        <v/>
      </c>
      <c r="J601" s="90" t="str">
        <f t="shared" si="88"/>
        <v/>
      </c>
      <c r="K601" s="90" t="str">
        <f t="shared" si="89"/>
        <v/>
      </c>
      <c r="L601" s="90"/>
      <c r="M601" s="106">
        <f>IF(D601="","",ABS(D601-G$5))</f>
        <v>0</v>
      </c>
    </row>
    <row r="602" spans="2:13" ht="12.75" customHeight="1" x14ac:dyDescent="0.55000000000000004">
      <c r="B602" s="97">
        <v>45761</v>
      </c>
      <c r="C602" s="89">
        <v>5405.27</v>
      </c>
      <c r="D602" s="91">
        <f t="shared" si="82"/>
        <v>2.5714128486029657E-2</v>
      </c>
      <c r="E602" s="89">
        <f t="shared" si="83"/>
        <v>1.4923843305498949</v>
      </c>
      <c r="F602" s="89">
        <f t="shared" si="84"/>
        <v>2.7061559355097469</v>
      </c>
      <c r="G602" s="89">
        <f t="shared" si="85"/>
        <v>0.80279543437396006</v>
      </c>
      <c r="H602" s="90" t="str">
        <f t="shared" si="86"/>
        <v/>
      </c>
      <c r="I602" s="90" t="str">
        <f t="shared" si="87"/>
        <v/>
      </c>
      <c r="J602" s="90" t="str">
        <f t="shared" si="88"/>
        <v/>
      </c>
      <c r="K602" s="90" t="str">
        <f t="shared" si="89"/>
        <v/>
      </c>
      <c r="L602" s="90"/>
      <c r="M602" s="106">
        <f>IF(D602="","",ABS(D602-G$5))</f>
        <v>2.5714128486029657E-2</v>
      </c>
    </row>
    <row r="603" spans="2:13" ht="12.75" customHeight="1" x14ac:dyDescent="0.55000000000000004">
      <c r="B603" s="97">
        <v>45762</v>
      </c>
      <c r="C603" s="89">
        <v>5363.36</v>
      </c>
      <c r="D603" s="91">
        <f t="shared" si="82"/>
        <v>-7.783759233916077E-3</v>
      </c>
      <c r="E603" s="89">
        <f t="shared" si="83"/>
        <v>0.51212871466769661</v>
      </c>
      <c r="F603" s="89">
        <f t="shared" si="84"/>
        <v>0.81916314071794349</v>
      </c>
      <c r="G603" s="89">
        <f t="shared" si="85"/>
        <v>0.28917359636735523</v>
      </c>
      <c r="H603" s="90" t="str">
        <f t="shared" si="86"/>
        <v/>
      </c>
      <c r="I603" s="90" t="str">
        <f t="shared" si="87"/>
        <v/>
      </c>
      <c r="J603" s="90" t="str">
        <f t="shared" si="88"/>
        <v/>
      </c>
      <c r="K603" s="90" t="str">
        <f t="shared" si="89"/>
        <v/>
      </c>
      <c r="L603" s="90"/>
      <c r="M603" s="106">
        <f>IF(D603="","",ABS(D603-G$5))</f>
        <v>7.783759233916077E-3</v>
      </c>
    </row>
    <row r="604" spans="2:13" ht="12.75" customHeight="1" x14ac:dyDescent="0.55000000000000004">
      <c r="B604" s="97">
        <v>45763</v>
      </c>
      <c r="C604" s="89">
        <v>5282.7</v>
      </c>
      <c r="D604" s="91">
        <f t="shared" si="82"/>
        <v>-1.5153313703434861E-2</v>
      </c>
      <c r="E604" s="89">
        <f t="shared" si="83"/>
        <v>0.95312273181571094</v>
      </c>
      <c r="F604" s="89">
        <f t="shared" si="84"/>
        <v>1.5947353550586181</v>
      </c>
      <c r="G604" s="89">
        <f t="shared" si="85"/>
        <v>0.55837880335655488</v>
      </c>
      <c r="H604" s="90" t="str">
        <f t="shared" si="86"/>
        <v/>
      </c>
      <c r="I604" s="90" t="str">
        <f t="shared" si="87"/>
        <v/>
      </c>
      <c r="J604" s="90" t="str">
        <f t="shared" si="88"/>
        <v/>
      </c>
      <c r="K604" s="90" t="str">
        <f t="shared" si="89"/>
        <v/>
      </c>
      <c r="L604" s="90"/>
      <c r="M604" s="106">
        <f>IF(D604="","",ABS(D604-G$5))</f>
        <v>1.5153313703434861E-2</v>
      </c>
    </row>
    <row r="605" spans="2:13" ht="12.75" customHeight="1" x14ac:dyDescent="0.55000000000000004">
      <c r="B605" s="97">
        <v>45764</v>
      </c>
      <c r="C605" s="89">
        <v>5282.7</v>
      </c>
      <c r="D605" s="91">
        <f t="shared" si="82"/>
        <v>0</v>
      </c>
      <c r="E605" s="89">
        <f t="shared" si="83"/>
        <v>4.6348691292451449E-2</v>
      </c>
      <c r="F605" s="89">
        <f t="shared" si="84"/>
        <v>0</v>
      </c>
      <c r="G605" s="89">
        <f t="shared" si="85"/>
        <v>2.8620586500549102E-2</v>
      </c>
      <c r="H605" s="90" t="str">
        <f t="shared" si="86"/>
        <v/>
      </c>
      <c r="I605" s="90" t="str">
        <f t="shared" si="87"/>
        <v/>
      </c>
      <c r="J605" s="90" t="str">
        <f t="shared" si="88"/>
        <v/>
      </c>
      <c r="K605" s="90" t="str">
        <f t="shared" si="89"/>
        <v/>
      </c>
      <c r="L605" s="90"/>
      <c r="M605" s="106">
        <f>IF(D605="","",ABS(D605-G$5))</f>
        <v>0</v>
      </c>
    </row>
    <row r="606" spans="2:13" ht="12.75" customHeight="1" x14ac:dyDescent="0.55000000000000004">
      <c r="B606" s="97">
        <v>45765</v>
      </c>
      <c r="C606" s="89"/>
      <c r="D606" s="91" t="str">
        <f t="shared" si="82"/>
        <v/>
      </c>
      <c r="E606" s="89" t="str">
        <f t="shared" si="83"/>
        <v/>
      </c>
      <c r="F606" s="89" t="str">
        <f t="shared" si="84"/>
        <v/>
      </c>
      <c r="G606" s="89" t="str">
        <f t="shared" si="85"/>
        <v/>
      </c>
      <c r="H606" s="90" t="str">
        <f t="shared" si="86"/>
        <v/>
      </c>
      <c r="I606" s="90" t="str">
        <f t="shared" si="87"/>
        <v/>
      </c>
      <c r="J606" s="90" t="str">
        <f t="shared" si="88"/>
        <v/>
      </c>
      <c r="K606" s="90" t="str">
        <f t="shared" si="89"/>
        <v>MISSING</v>
      </c>
      <c r="L606" s="90"/>
      <c r="M606" s="106" t="str">
        <f>IF(D606="","",ABS(D606-G$5))</f>
        <v/>
      </c>
    </row>
    <row r="607" spans="2:13" ht="12.75" customHeight="1" x14ac:dyDescent="0.55000000000000004">
      <c r="B607" s="97">
        <v>45768</v>
      </c>
      <c r="C607" s="89">
        <v>5158.2</v>
      </c>
      <c r="D607" s="91" t="str">
        <f t="shared" si="82"/>
        <v/>
      </c>
      <c r="E607" s="89" t="str">
        <f t="shared" si="83"/>
        <v/>
      </c>
      <c r="F607" s="89" t="str">
        <f t="shared" si="84"/>
        <v/>
      </c>
      <c r="G607" s="89" t="str">
        <f t="shared" si="85"/>
        <v/>
      </c>
      <c r="H607" s="90" t="str">
        <f t="shared" si="86"/>
        <v/>
      </c>
      <c r="I607" s="90" t="str">
        <f t="shared" si="87"/>
        <v/>
      </c>
      <c r="J607" s="90" t="str">
        <f t="shared" si="88"/>
        <v/>
      </c>
      <c r="K607" s="90" t="str">
        <f t="shared" si="89"/>
        <v/>
      </c>
      <c r="L607" s="90"/>
      <c r="M607" s="106" t="str">
        <f>IF(D607="","",ABS(D607-G$5))</f>
        <v/>
      </c>
    </row>
    <row r="608" spans="2:13" ht="12.75" customHeight="1" x14ac:dyDescent="0.55000000000000004">
      <c r="B608" s="97">
        <v>45769</v>
      </c>
      <c r="C608" s="89">
        <v>5287.76</v>
      </c>
      <c r="D608" s="91">
        <f t="shared" si="82"/>
        <v>2.4807034313980802E-2</v>
      </c>
      <c r="E608" s="89">
        <f t="shared" si="83"/>
        <v>1.4381038303489788</v>
      </c>
      <c r="F608" s="89">
        <f t="shared" si="84"/>
        <v>2.6106933076750156</v>
      </c>
      <c r="G608" s="89">
        <f t="shared" si="85"/>
        <v>1.3669507560945273</v>
      </c>
      <c r="H608" s="90" t="str">
        <f t="shared" si="86"/>
        <v/>
      </c>
      <c r="I608" s="90" t="str">
        <f t="shared" si="87"/>
        <v/>
      </c>
      <c r="J608" s="90" t="str">
        <f t="shared" si="88"/>
        <v/>
      </c>
      <c r="K608" s="90" t="str">
        <f t="shared" si="89"/>
        <v/>
      </c>
      <c r="L608" s="90"/>
      <c r="M608" s="106">
        <f>IF(D608="","",ABS(D608-G$5))</f>
        <v>2.4807034313980802E-2</v>
      </c>
    </row>
    <row r="609" spans="2:13" ht="12.75" customHeight="1" x14ac:dyDescent="0.55000000000000004">
      <c r="B609" s="97">
        <v>45770</v>
      </c>
      <c r="C609" s="89">
        <v>5375.86</v>
      </c>
      <c r="D609" s="91">
        <f t="shared" si="82"/>
        <v>1.6523845474794581E-2</v>
      </c>
      <c r="E609" s="89">
        <f t="shared" si="83"/>
        <v>0.94243794768309608</v>
      </c>
      <c r="F609" s="89">
        <f t="shared" si="84"/>
        <v>1.7389701748342448</v>
      </c>
      <c r="G609" s="89">
        <f t="shared" si="85"/>
        <v>0.90478949486832494</v>
      </c>
      <c r="H609" s="90" t="str">
        <f t="shared" si="86"/>
        <v/>
      </c>
      <c r="I609" s="90" t="str">
        <f t="shared" si="87"/>
        <v/>
      </c>
      <c r="J609" s="90" t="str">
        <f t="shared" si="88"/>
        <v/>
      </c>
      <c r="K609" s="90" t="str">
        <f t="shared" si="89"/>
        <v/>
      </c>
      <c r="L609" s="90"/>
      <c r="M609" s="106">
        <f>IF(D609="","",ABS(D609-G$5))</f>
        <v>1.6523845474794581E-2</v>
      </c>
    </row>
    <row r="610" spans="2:13" ht="12.75" customHeight="1" x14ac:dyDescent="0.55000000000000004">
      <c r="B610" s="97">
        <v>45771</v>
      </c>
      <c r="C610" s="89">
        <v>5525.21</v>
      </c>
      <c r="D610" s="91">
        <f t="shared" si="82"/>
        <v>2.740269451617303E-2</v>
      </c>
      <c r="E610" s="89">
        <f t="shared" si="83"/>
        <v>1.5934280937695764</v>
      </c>
      <c r="F610" s="89">
        <f t="shared" si="84"/>
        <v>2.883860693711263</v>
      </c>
      <c r="G610" s="89">
        <f t="shared" si="85"/>
        <v>1.4365367452913018</v>
      </c>
      <c r="H610" s="90" t="str">
        <f t="shared" si="86"/>
        <v/>
      </c>
      <c r="I610" s="90" t="str">
        <f t="shared" si="87"/>
        <v/>
      </c>
      <c r="J610" s="90" t="str">
        <f t="shared" si="88"/>
        <v/>
      </c>
      <c r="K610" s="90" t="str">
        <f t="shared" si="89"/>
        <v/>
      </c>
      <c r="L610" s="90"/>
      <c r="M610" s="106">
        <f>IF(D610="","",ABS(D610-G$5))</f>
        <v>2.740269451617303E-2</v>
      </c>
    </row>
    <row r="611" spans="2:13" ht="12.75" customHeight="1" x14ac:dyDescent="0.55000000000000004">
      <c r="B611" s="97">
        <v>45772</v>
      </c>
      <c r="C611" s="89">
        <v>5525.21</v>
      </c>
      <c r="D611" s="91">
        <f t="shared" si="82"/>
        <v>0</v>
      </c>
      <c r="E611" s="89">
        <f t="shared" si="83"/>
        <v>4.6348691292451449E-2</v>
      </c>
      <c r="F611" s="89">
        <f t="shared" si="84"/>
        <v>0</v>
      </c>
      <c r="G611" s="89">
        <f t="shared" si="85"/>
        <v>4.4041121340281798E-2</v>
      </c>
      <c r="H611" s="90" t="str">
        <f t="shared" si="86"/>
        <v/>
      </c>
      <c r="I611" s="90" t="str">
        <f t="shared" si="87"/>
        <v/>
      </c>
      <c r="J611" s="90" t="str">
        <f t="shared" si="88"/>
        <v/>
      </c>
      <c r="K611" s="90" t="str">
        <f t="shared" si="89"/>
        <v/>
      </c>
      <c r="L611" s="90"/>
      <c r="M611" s="106">
        <f>IF(D611="","",ABS(D611-G$5))</f>
        <v>0</v>
      </c>
    </row>
    <row r="612" spans="2:13" ht="12.75" customHeight="1" x14ac:dyDescent="0.55000000000000004">
      <c r="B612" s="97">
        <v>45775</v>
      </c>
      <c r="C612" s="89">
        <v>5528.75</v>
      </c>
      <c r="D612" s="91">
        <f t="shared" si="82"/>
        <v>6.4049446913477337E-4</v>
      </c>
      <c r="E612" s="89">
        <f t="shared" si="83"/>
        <v>8.0215128893217028E-3</v>
      </c>
      <c r="F612" s="89">
        <f t="shared" si="84"/>
        <v>6.7405664176093366E-2</v>
      </c>
      <c r="G612" s="89">
        <f t="shared" si="85"/>
        <v>8.0344198280184846E-3</v>
      </c>
      <c r="H612" s="90" t="str">
        <f t="shared" si="86"/>
        <v/>
      </c>
      <c r="I612" s="90" t="str">
        <f t="shared" si="87"/>
        <v/>
      </c>
      <c r="J612" s="90" t="str">
        <f t="shared" si="88"/>
        <v/>
      </c>
      <c r="K612" s="90" t="str">
        <f t="shared" si="89"/>
        <v/>
      </c>
      <c r="L612" s="90"/>
      <c r="M612" s="106">
        <f>IF(D612="","",ABS(D612-G$5))</f>
        <v>6.4049446913477337E-4</v>
      </c>
    </row>
    <row r="613" spans="2:13" ht="12.75" customHeight="1" x14ac:dyDescent="0.55000000000000004">
      <c r="B613" s="97">
        <v>45776</v>
      </c>
      <c r="C613" s="89">
        <v>5560.83</v>
      </c>
      <c r="D613" s="91">
        <f t="shared" si="82"/>
        <v>5.7856274963946795E-3</v>
      </c>
      <c r="E613" s="89">
        <f t="shared" si="83"/>
        <v>0.29986316207128405</v>
      </c>
      <c r="F613" s="89">
        <f t="shared" si="84"/>
        <v>0.60887967478746619</v>
      </c>
      <c r="G613" s="89">
        <f t="shared" si="85"/>
        <v>0.31501733521396735</v>
      </c>
      <c r="H613" s="90" t="str">
        <f t="shared" si="86"/>
        <v/>
      </c>
      <c r="I613" s="90" t="str">
        <f t="shared" si="87"/>
        <v/>
      </c>
      <c r="J613" s="90" t="str">
        <f t="shared" si="88"/>
        <v/>
      </c>
      <c r="K613" s="90" t="str">
        <f t="shared" si="89"/>
        <v/>
      </c>
      <c r="L613" s="90"/>
      <c r="M613" s="106">
        <f>IF(D613="","",ABS(D613-G$5))</f>
        <v>5.7856274963946795E-3</v>
      </c>
    </row>
    <row r="614" spans="2:13" ht="12.75" customHeight="1" x14ac:dyDescent="0.55000000000000004">
      <c r="B614" s="97">
        <v>45777</v>
      </c>
      <c r="C614" s="89">
        <v>5035.6899999999996</v>
      </c>
      <c r="D614" s="91">
        <f t="shared" si="82"/>
        <v>-9.9196820200494612E-2</v>
      </c>
      <c r="E614" s="89">
        <f t="shared" si="83"/>
        <v>5.9822847657810758</v>
      </c>
      <c r="F614" s="89">
        <f t="shared" si="84"/>
        <v>10.439477422503536</v>
      </c>
      <c r="G614" s="89">
        <f t="shared" si="85"/>
        <v>2.8538026913228913</v>
      </c>
      <c r="H614" s="90" t="str">
        <f t="shared" si="86"/>
        <v>OUTLIER</v>
      </c>
      <c r="I614" s="90" t="str">
        <f t="shared" si="87"/>
        <v>OUTLIER</v>
      </c>
      <c r="J614" s="90" t="str">
        <f t="shared" si="88"/>
        <v/>
      </c>
      <c r="K614" s="90" t="str">
        <f t="shared" si="89"/>
        <v/>
      </c>
      <c r="L614" s="90"/>
      <c r="M614" s="106">
        <f>IF(D614="","",ABS(D614-G$5))</f>
        <v>9.9196820200494612E-2</v>
      </c>
    </row>
    <row r="615" spans="2:13" ht="12.75" customHeight="1" x14ac:dyDescent="0.55000000000000004">
      <c r="B615" s="97">
        <v>45778</v>
      </c>
      <c r="C615" s="89">
        <v>5569.06</v>
      </c>
      <c r="D615" s="91">
        <f t="shared" si="82"/>
        <v>0.10067572098029014</v>
      </c>
      <c r="E615" s="89">
        <f t="shared" si="83"/>
        <v>5.978084781314724</v>
      </c>
      <c r="F615" s="89">
        <f t="shared" si="84"/>
        <v>10.595117001167381</v>
      </c>
      <c r="G615" s="89">
        <f t="shared" si="85"/>
        <v>2.1787394025426714</v>
      </c>
      <c r="H615" s="90" t="str">
        <f t="shared" si="86"/>
        <v>OUTLIER</v>
      </c>
      <c r="I615" s="90" t="str">
        <f t="shared" si="87"/>
        <v>OUTLIER</v>
      </c>
      <c r="J615" s="90" t="str">
        <f t="shared" si="88"/>
        <v/>
      </c>
      <c r="K615" s="90" t="str">
        <f t="shared" si="89"/>
        <v/>
      </c>
      <c r="L615" s="90"/>
      <c r="M615" s="106">
        <f>IF(D615="","",ABS(D615-G$5))</f>
        <v>0.10067572098029014</v>
      </c>
    </row>
    <row r="616" spans="2:13" ht="12.75" customHeight="1" x14ac:dyDescent="0.55000000000000004">
      <c r="B616" s="97">
        <v>45779</v>
      </c>
      <c r="C616" s="89">
        <v>5606.91</v>
      </c>
      <c r="D616" s="91">
        <f t="shared" si="82"/>
        <v>6.7734871717551317E-3</v>
      </c>
      <c r="E616" s="89">
        <f t="shared" si="83"/>
        <v>0.35897666864995048</v>
      </c>
      <c r="F616" s="89">
        <f t="shared" si="84"/>
        <v>0.7128420675000875</v>
      </c>
      <c r="G616" s="89">
        <f t="shared" si="85"/>
        <v>0.1377766423324519</v>
      </c>
      <c r="H616" s="90" t="str">
        <f t="shared" si="86"/>
        <v/>
      </c>
      <c r="I616" s="90" t="str">
        <f t="shared" si="87"/>
        <v/>
      </c>
      <c r="J616" s="90" t="str">
        <f t="shared" si="88"/>
        <v/>
      </c>
      <c r="K616" s="90" t="str">
        <f t="shared" si="89"/>
        <v/>
      </c>
      <c r="L616" s="90"/>
      <c r="M616" s="106">
        <f>IF(D616="","",ABS(D616-G$5))</f>
        <v>6.7734871717551317E-3</v>
      </c>
    </row>
    <row r="617" spans="2:13" ht="12.75" customHeight="1" x14ac:dyDescent="0.55000000000000004">
      <c r="B617" s="97">
        <v>45782</v>
      </c>
      <c r="C617" s="89">
        <v>5650.48</v>
      </c>
      <c r="D617" s="91">
        <f t="shared" si="82"/>
        <v>7.740731653681378E-3</v>
      </c>
      <c r="E617" s="89">
        <f t="shared" si="83"/>
        <v>0.41685656239565178</v>
      </c>
      <c r="F617" s="89">
        <f t="shared" si="84"/>
        <v>0.81463491641098262</v>
      </c>
      <c r="G617" s="89">
        <f t="shared" si="85"/>
        <v>0.16840618718134484</v>
      </c>
      <c r="H617" s="90" t="str">
        <f t="shared" si="86"/>
        <v/>
      </c>
      <c r="I617" s="90" t="str">
        <f t="shared" si="87"/>
        <v/>
      </c>
      <c r="J617" s="90" t="str">
        <f t="shared" si="88"/>
        <v/>
      </c>
      <c r="K617" s="90" t="str">
        <f t="shared" si="89"/>
        <v/>
      </c>
      <c r="L617" s="90"/>
      <c r="M617" s="106">
        <f>IF(D617="","",ABS(D617-G$5))</f>
        <v>7.740731653681378E-3</v>
      </c>
    </row>
    <row r="618" spans="2:13" ht="12.75" customHeight="1" x14ac:dyDescent="0.55000000000000004">
      <c r="B618" s="97">
        <v>45783</v>
      </c>
      <c r="C618" s="89">
        <v>5686.67</v>
      </c>
      <c r="D618" s="91">
        <f t="shared" si="82"/>
        <v>6.3843422596965198E-3</v>
      </c>
      <c r="E618" s="89">
        <f t="shared" si="83"/>
        <v>0.33569024357076332</v>
      </c>
      <c r="F618" s="89">
        <f t="shared" si="84"/>
        <v>0.67188844100977241</v>
      </c>
      <c r="G618" s="89">
        <f t="shared" si="85"/>
        <v>0.14280571045899437</v>
      </c>
      <c r="H618" s="90" t="str">
        <f t="shared" si="86"/>
        <v/>
      </c>
      <c r="I618" s="90" t="str">
        <f t="shared" si="87"/>
        <v/>
      </c>
      <c r="J618" s="90" t="str">
        <f t="shared" si="88"/>
        <v/>
      </c>
      <c r="K618" s="90" t="str">
        <f t="shared" si="89"/>
        <v/>
      </c>
      <c r="L618" s="90"/>
      <c r="M618" s="106">
        <f>IF(D618="","",ABS(D618-G$5))</f>
        <v>6.3843422596965198E-3</v>
      </c>
    </row>
    <row r="619" spans="2:13" ht="12.75" customHeight="1" x14ac:dyDescent="0.55000000000000004">
      <c r="B619" s="97">
        <v>45784</v>
      </c>
      <c r="C619" s="89">
        <v>5631.22</v>
      </c>
      <c r="D619" s="91">
        <f t="shared" si="82"/>
        <v>-9.7987246153870347E-3</v>
      </c>
      <c r="E619" s="89">
        <f t="shared" si="83"/>
        <v>0.63270420965377028</v>
      </c>
      <c r="F619" s="89">
        <f t="shared" si="84"/>
        <v>1.0312181800274334</v>
      </c>
      <c r="G619" s="89">
        <f t="shared" si="85"/>
        <v>0.28258257617407473</v>
      </c>
      <c r="H619" s="90" t="str">
        <f t="shared" si="86"/>
        <v/>
      </c>
      <c r="I619" s="90" t="str">
        <f t="shared" si="87"/>
        <v/>
      </c>
      <c r="J619" s="90" t="str">
        <f t="shared" si="88"/>
        <v/>
      </c>
      <c r="K619" s="90" t="str">
        <f t="shared" si="89"/>
        <v/>
      </c>
      <c r="L619" s="90"/>
      <c r="M619" s="106">
        <f>IF(D619="","",ABS(D619-G$5))</f>
        <v>9.7987246153870347E-3</v>
      </c>
    </row>
    <row r="620" spans="2:13" ht="12.75" customHeight="1" x14ac:dyDescent="0.55000000000000004">
      <c r="B620" s="97">
        <v>45785</v>
      </c>
      <c r="C620" s="89">
        <v>5663.94</v>
      </c>
      <c r="D620" s="91">
        <f t="shared" si="82"/>
        <v>5.7936481686352579E-3</v>
      </c>
      <c r="E620" s="89">
        <f t="shared" si="83"/>
        <v>0.30034311896504606</v>
      </c>
      <c r="F620" s="89">
        <f t="shared" si="84"/>
        <v>0.60972377066271277</v>
      </c>
      <c r="G620" s="89">
        <f t="shared" si="85"/>
        <v>0.14125615303909567</v>
      </c>
      <c r="H620" s="90" t="str">
        <f t="shared" si="86"/>
        <v/>
      </c>
      <c r="I620" s="90" t="str">
        <f t="shared" si="87"/>
        <v/>
      </c>
      <c r="J620" s="90" t="str">
        <f t="shared" si="88"/>
        <v/>
      </c>
      <c r="K620" s="90" t="str">
        <f t="shared" si="89"/>
        <v/>
      </c>
      <c r="L620" s="90"/>
      <c r="M620" s="106">
        <f>IF(D620="","",ABS(D620-G$5))</f>
        <v>5.7936481686352579E-3</v>
      </c>
    </row>
    <row r="621" spans="2:13" ht="12.75" customHeight="1" x14ac:dyDescent="0.55000000000000004">
      <c r="B621" s="97">
        <v>45786</v>
      </c>
      <c r="C621" s="89">
        <v>5802.82</v>
      </c>
      <c r="D621" s="91">
        <f t="shared" ref="D621:D684" si="90">IF(OR(C621="",C620=""),"",LN(C621/C620))</f>
        <v>2.4224243173679924E-2</v>
      </c>
      <c r="E621" s="89">
        <f t="shared" ref="E621:E684" si="91">IF(D621="","",ABS(D621-$E$5)/$F$5)</f>
        <v>1.4032296181856025</v>
      </c>
      <c r="F621" s="89">
        <f t="shared" ref="F621:F684" si="92">IF(D621="","",ABS(D621-$G$5)/$H$5)</f>
        <v>2.5493603441898034</v>
      </c>
      <c r="G621" s="89">
        <f t="shared" ref="G621:G684" si="93">IF(D621="","",ABS(D621-$E$5)/SQRT(0.9*(IF(G620="",($F$5)^2,(ABS(D620-$E$5)/MAX(G620,0.0000000001))^2))+0.1*(D621-$E$5)^2))</f>
        <v>0.67941455650334603</v>
      </c>
      <c r="H621" s="90" t="str">
        <f t="shared" ref="H621:H684" si="94">IF(E621="","",IF(E621&gt;$I$5,"OUTLIER",""))</f>
        <v/>
      </c>
      <c r="I621" s="90" t="str">
        <f t="shared" ref="I621:I684" si="95">IF(F621="","",IF(F621&gt;$I$5,"OUTLIER",""))</f>
        <v/>
      </c>
      <c r="J621" s="90" t="str">
        <f t="shared" ref="J621:J684" si="96">IF(G621="","",IF(G621&gt;$I$5,"OUTLIER",""))</f>
        <v/>
      </c>
      <c r="K621" s="90" t="str">
        <f t="shared" ref="K621:K684" si="97">IF(C621="","MISSING","")</f>
        <v/>
      </c>
      <c r="L621" s="90"/>
      <c r="M621" s="106">
        <f>IF(D621="","",ABS(D621-G$5))</f>
        <v>2.4224243173679924E-2</v>
      </c>
    </row>
    <row r="622" spans="2:13" ht="12.75" customHeight="1" x14ac:dyDescent="0.55000000000000004">
      <c r="B622" s="97">
        <v>45789</v>
      </c>
      <c r="C622" s="89">
        <v>5844.19</v>
      </c>
      <c r="D622" s="91">
        <f t="shared" si="90"/>
        <v>7.1039990493963513E-3</v>
      </c>
      <c r="E622" s="89">
        <f t="shared" si="91"/>
        <v>0.3787544939226975</v>
      </c>
      <c r="F622" s="89">
        <f t="shared" si="92"/>
        <v>0.74762515104581961</v>
      </c>
      <c r="G622" s="89">
        <f t="shared" si="93"/>
        <v>0.19294465312952078</v>
      </c>
      <c r="H622" s="90" t="str">
        <f t="shared" si="94"/>
        <v/>
      </c>
      <c r="I622" s="90" t="str">
        <f t="shared" si="95"/>
        <v/>
      </c>
      <c r="J622" s="90" t="str">
        <f t="shared" si="96"/>
        <v/>
      </c>
      <c r="K622" s="90" t="str">
        <f t="shared" si="97"/>
        <v/>
      </c>
      <c r="L622" s="90"/>
      <c r="M622" s="106">
        <f>IF(D622="","",ABS(D622-G$5))</f>
        <v>7.1039990493963513E-3</v>
      </c>
    </row>
    <row r="623" spans="2:13" ht="12.75" customHeight="1" x14ac:dyDescent="0.55000000000000004">
      <c r="B623" s="97">
        <v>45790</v>
      </c>
      <c r="C623" s="89">
        <v>5896.36</v>
      </c>
      <c r="D623" s="91">
        <f t="shared" si="90"/>
        <v>8.8872060296436902E-3</v>
      </c>
      <c r="E623" s="89">
        <f t="shared" si="91"/>
        <v>0.48546157002590229</v>
      </c>
      <c r="F623" s="89">
        <f t="shared" si="92"/>
        <v>0.93528992671420319</v>
      </c>
      <c r="G623" s="89">
        <f t="shared" si="93"/>
        <v>0.25979927604369613</v>
      </c>
      <c r="H623" s="90" t="str">
        <f t="shared" si="94"/>
        <v/>
      </c>
      <c r="I623" s="90" t="str">
        <f t="shared" si="95"/>
        <v/>
      </c>
      <c r="J623" s="90" t="str">
        <f t="shared" si="96"/>
        <v/>
      </c>
      <c r="K623" s="90" t="str">
        <f t="shared" si="97"/>
        <v/>
      </c>
      <c r="L623" s="90"/>
      <c r="M623" s="106">
        <f>IF(D623="","",ABS(D623-G$5))</f>
        <v>8.8872060296436902E-3</v>
      </c>
    </row>
    <row r="624" spans="2:13" ht="12.75" customHeight="1" x14ac:dyDescent="0.55000000000000004">
      <c r="B624" s="97">
        <v>45791</v>
      </c>
      <c r="C624" s="89">
        <v>5886.55</v>
      </c>
      <c r="D624" s="91">
        <f t="shared" si="90"/>
        <v>-1.6651238559286781E-3</v>
      </c>
      <c r="E624" s="89">
        <f t="shared" si="91"/>
        <v>0.145989675196181</v>
      </c>
      <c r="F624" s="89">
        <f t="shared" si="92"/>
        <v>0.1752377028266153</v>
      </c>
      <c r="G624" s="89">
        <f t="shared" si="93"/>
        <v>8.2325948920961567E-2</v>
      </c>
      <c r="H624" s="90" t="str">
        <f t="shared" si="94"/>
        <v/>
      </c>
      <c r="I624" s="90" t="str">
        <f t="shared" si="95"/>
        <v/>
      </c>
      <c r="J624" s="90" t="str">
        <f t="shared" si="96"/>
        <v/>
      </c>
      <c r="K624" s="90" t="str">
        <f t="shared" si="97"/>
        <v/>
      </c>
      <c r="L624" s="90"/>
      <c r="M624" s="106">
        <f>IF(D624="","",ABS(D624-G$5))</f>
        <v>1.6651238559286781E-3</v>
      </c>
    </row>
    <row r="625" spans="2:13" ht="12.75" customHeight="1" x14ac:dyDescent="0.55000000000000004">
      <c r="B625" s="97">
        <v>45792</v>
      </c>
      <c r="C625" s="89">
        <v>5958.38</v>
      </c>
      <c r="D625" s="91">
        <f t="shared" si="90"/>
        <v>1.2128544537360326E-2</v>
      </c>
      <c r="E625" s="89">
        <f t="shared" si="91"/>
        <v>0.67942321253315241</v>
      </c>
      <c r="F625" s="89">
        <f t="shared" si="92"/>
        <v>1.2764085240805974</v>
      </c>
      <c r="G625" s="89">
        <f t="shared" si="93"/>
        <v>0.4006088331594837</v>
      </c>
      <c r="H625" s="90" t="str">
        <f t="shared" si="94"/>
        <v/>
      </c>
      <c r="I625" s="90" t="str">
        <f t="shared" si="95"/>
        <v/>
      </c>
      <c r="J625" s="90" t="str">
        <f t="shared" si="96"/>
        <v/>
      </c>
      <c r="K625" s="90" t="str">
        <f t="shared" si="97"/>
        <v/>
      </c>
      <c r="L625" s="90"/>
      <c r="M625" s="106">
        <f>IF(D625="","",ABS(D625-G$5))</f>
        <v>1.2128544537360326E-2</v>
      </c>
    </row>
    <row r="626" spans="2:13" ht="12.75" customHeight="1" x14ac:dyDescent="0.55000000000000004">
      <c r="B626" s="97">
        <v>45793</v>
      </c>
      <c r="C626" s="89">
        <v>5958.38</v>
      </c>
      <c r="D626" s="91">
        <f t="shared" si="90"/>
        <v>0</v>
      </c>
      <c r="E626" s="89">
        <f t="shared" si="91"/>
        <v>4.6348691292451449E-2</v>
      </c>
      <c r="F626" s="89">
        <f t="shared" si="92"/>
        <v>0</v>
      </c>
      <c r="G626" s="89">
        <f t="shared" si="93"/>
        <v>2.8805693985649573E-2</v>
      </c>
      <c r="H626" s="90" t="str">
        <f t="shared" si="94"/>
        <v/>
      </c>
      <c r="I626" s="90" t="str">
        <f t="shared" si="95"/>
        <v/>
      </c>
      <c r="J626" s="90" t="str">
        <f t="shared" si="96"/>
        <v/>
      </c>
      <c r="K626" s="90" t="str">
        <f t="shared" si="97"/>
        <v/>
      </c>
      <c r="L626" s="90"/>
      <c r="M626" s="106">
        <f>IF(D626="","",ABS(D626-G$5))</f>
        <v>0</v>
      </c>
    </row>
    <row r="627" spans="2:13" ht="12.75" customHeight="1" x14ac:dyDescent="0.55000000000000004">
      <c r="B627" s="97">
        <v>45796</v>
      </c>
      <c r="C627" s="89">
        <v>5963.35</v>
      </c>
      <c r="D627" s="91">
        <f t="shared" si="90"/>
        <v>8.3377165695217438E-4</v>
      </c>
      <c r="E627" s="89">
        <f t="shared" si="91"/>
        <v>3.5441908219682608E-3</v>
      </c>
      <c r="F627" s="89">
        <f t="shared" si="92"/>
        <v>8.7746163341556258E-2</v>
      </c>
      <c r="G627" s="89">
        <f t="shared" si="93"/>
        <v>2.3218630039905331E-3</v>
      </c>
      <c r="H627" s="90" t="str">
        <f t="shared" si="94"/>
        <v/>
      </c>
      <c r="I627" s="90" t="str">
        <f t="shared" si="95"/>
        <v/>
      </c>
      <c r="J627" s="90" t="str">
        <f t="shared" si="96"/>
        <v/>
      </c>
      <c r="K627" s="90" t="str">
        <f t="shared" si="97"/>
        <v/>
      </c>
      <c r="L627" s="90"/>
      <c r="M627" s="106">
        <f>IF(D627="","",ABS(D627-G$5))</f>
        <v>8.3377165695217438E-4</v>
      </c>
    </row>
    <row r="628" spans="2:13" ht="12.75" customHeight="1" x14ac:dyDescent="0.55000000000000004">
      <c r="B628" s="97">
        <v>45797</v>
      </c>
      <c r="C628" s="89">
        <v>5940.46</v>
      </c>
      <c r="D628" s="91">
        <f t="shared" si="90"/>
        <v>-3.8458322524856448E-3</v>
      </c>
      <c r="E628" s="89">
        <f t="shared" si="91"/>
        <v>0.27648322945426596</v>
      </c>
      <c r="F628" s="89">
        <f t="shared" si="92"/>
        <v>0.40473554383509985</v>
      </c>
      <c r="G628" s="89">
        <f t="shared" si="93"/>
        <v>0.19057981669662247</v>
      </c>
      <c r="H628" s="90" t="str">
        <f t="shared" si="94"/>
        <v/>
      </c>
      <c r="I628" s="90" t="str">
        <f t="shared" si="95"/>
        <v/>
      </c>
      <c r="J628" s="90" t="str">
        <f t="shared" si="96"/>
        <v/>
      </c>
      <c r="K628" s="90" t="str">
        <f t="shared" si="97"/>
        <v/>
      </c>
      <c r="L628" s="90"/>
      <c r="M628" s="106">
        <f>IF(D628="","",ABS(D628-G$5))</f>
        <v>3.8458322524856448E-3</v>
      </c>
    </row>
    <row r="629" spans="2:13" ht="12.75" customHeight="1" x14ac:dyDescent="0.55000000000000004">
      <c r="B629" s="97">
        <v>45798</v>
      </c>
      <c r="C629" s="89">
        <v>5842.01</v>
      </c>
      <c r="D629" s="91">
        <f t="shared" si="90"/>
        <v>-1.6711655746951042E-2</v>
      </c>
      <c r="E629" s="89">
        <f t="shared" si="91"/>
        <v>1.0463738938368692</v>
      </c>
      <c r="F629" s="89">
        <f t="shared" si="92"/>
        <v>1.7587353355715425</v>
      </c>
      <c r="G629" s="89">
        <f t="shared" si="93"/>
        <v>0.73921612822763549</v>
      </c>
      <c r="H629" s="90" t="str">
        <f t="shared" si="94"/>
        <v/>
      </c>
      <c r="I629" s="90" t="str">
        <f t="shared" si="95"/>
        <v/>
      </c>
      <c r="J629" s="90" t="str">
        <f t="shared" si="96"/>
        <v/>
      </c>
      <c r="K629" s="90" t="str">
        <f t="shared" si="97"/>
        <v/>
      </c>
      <c r="L629" s="90"/>
      <c r="M629" s="106">
        <f>IF(D629="","",ABS(D629-G$5))</f>
        <v>1.6711655746951042E-2</v>
      </c>
    </row>
    <row r="630" spans="2:13" ht="12.75" customHeight="1" x14ac:dyDescent="0.55000000000000004">
      <c r="B630" s="97">
        <v>45799</v>
      </c>
      <c r="C630" s="89">
        <v>5842.01</v>
      </c>
      <c r="D630" s="91">
        <f t="shared" si="90"/>
        <v>0</v>
      </c>
      <c r="E630" s="89">
        <f t="shared" si="91"/>
        <v>4.6348691292451449E-2</v>
      </c>
      <c r="F630" s="89">
        <f t="shared" si="92"/>
        <v>0</v>
      </c>
      <c r="G630" s="89">
        <f t="shared" si="93"/>
        <v>3.4512378682994567E-2</v>
      </c>
      <c r="H630" s="90" t="str">
        <f t="shared" si="94"/>
        <v/>
      </c>
      <c r="I630" s="90" t="str">
        <f t="shared" si="95"/>
        <v/>
      </c>
      <c r="J630" s="90" t="str">
        <f t="shared" si="96"/>
        <v/>
      </c>
      <c r="K630" s="90" t="str">
        <f t="shared" si="97"/>
        <v/>
      </c>
      <c r="L630" s="90"/>
      <c r="M630" s="106">
        <f>IF(D630="","",ABS(D630-G$5))</f>
        <v>0</v>
      </c>
    </row>
    <row r="631" spans="2:13" ht="12.75" customHeight="1" x14ac:dyDescent="0.55000000000000004">
      <c r="B631" s="97">
        <v>45800</v>
      </c>
      <c r="C631" s="89">
        <v>5802.82</v>
      </c>
      <c r="D631" s="91">
        <f t="shared" si="90"/>
        <v>-6.7309094179872579E-3</v>
      </c>
      <c r="E631" s="89">
        <f t="shared" si="91"/>
        <v>0.44912619915602076</v>
      </c>
      <c r="F631" s="89">
        <f t="shared" si="92"/>
        <v>0.70836118294892714</v>
      </c>
      <c r="G631" s="89">
        <f t="shared" si="93"/>
        <v>0.35035044678739163</v>
      </c>
      <c r="H631" s="90" t="str">
        <f t="shared" si="94"/>
        <v/>
      </c>
      <c r="I631" s="90" t="str">
        <f t="shared" si="95"/>
        <v/>
      </c>
      <c r="J631" s="90" t="str">
        <f t="shared" si="96"/>
        <v/>
      </c>
      <c r="K631" s="90" t="str">
        <f t="shared" si="97"/>
        <v/>
      </c>
      <c r="L631" s="90"/>
      <c r="M631" s="106">
        <f>IF(D631="","",ABS(D631-G$5))</f>
        <v>6.7309094179872579E-3</v>
      </c>
    </row>
    <row r="632" spans="2:13" ht="12.75" customHeight="1" x14ac:dyDescent="0.55000000000000004">
      <c r="B632" s="97">
        <v>45803</v>
      </c>
      <c r="C632" s="89"/>
      <c r="D632" s="91" t="str">
        <f t="shared" si="90"/>
        <v/>
      </c>
      <c r="E632" s="89" t="str">
        <f t="shared" si="91"/>
        <v/>
      </c>
      <c r="F632" s="89" t="str">
        <f t="shared" si="92"/>
        <v/>
      </c>
      <c r="G632" s="89" t="str">
        <f t="shared" si="93"/>
        <v/>
      </c>
      <c r="H632" s="90" t="str">
        <f t="shared" si="94"/>
        <v/>
      </c>
      <c r="I632" s="90" t="str">
        <f t="shared" si="95"/>
        <v/>
      </c>
      <c r="J632" s="90" t="str">
        <f t="shared" si="96"/>
        <v/>
      </c>
      <c r="K632" s="90" t="str">
        <f t="shared" si="97"/>
        <v>MISSING</v>
      </c>
      <c r="L632" s="90"/>
      <c r="M632" s="106" t="str">
        <f>IF(D632="","",ABS(D632-G$5))</f>
        <v/>
      </c>
    </row>
    <row r="633" spans="2:13" ht="12.75" customHeight="1" x14ac:dyDescent="0.55000000000000004">
      <c r="B633" s="97">
        <v>45804</v>
      </c>
      <c r="C633" s="89">
        <v>5901.47</v>
      </c>
      <c r="D633" s="91" t="str">
        <f t="shared" si="90"/>
        <v/>
      </c>
      <c r="E633" s="89" t="str">
        <f t="shared" si="91"/>
        <v/>
      </c>
      <c r="F633" s="89" t="str">
        <f t="shared" si="92"/>
        <v/>
      </c>
      <c r="G633" s="89" t="str">
        <f t="shared" si="93"/>
        <v/>
      </c>
      <c r="H633" s="90" t="str">
        <f t="shared" si="94"/>
        <v/>
      </c>
      <c r="I633" s="90" t="str">
        <f t="shared" si="95"/>
        <v/>
      </c>
      <c r="J633" s="90" t="str">
        <f t="shared" si="96"/>
        <v/>
      </c>
      <c r="K633" s="90" t="str">
        <f t="shared" si="97"/>
        <v/>
      </c>
      <c r="L633" s="90"/>
      <c r="M633" s="106" t="str">
        <f>IF(D633="","",ABS(D633-G$5))</f>
        <v/>
      </c>
    </row>
    <row r="634" spans="2:13" ht="12.75" customHeight="1" x14ac:dyDescent="0.55000000000000004">
      <c r="B634" s="97">
        <v>45805</v>
      </c>
      <c r="C634" s="89">
        <v>5941.27</v>
      </c>
      <c r="D634" s="91">
        <f t="shared" si="90"/>
        <v>6.7214428146813651E-3</v>
      </c>
      <c r="E634" s="89">
        <f t="shared" si="91"/>
        <v>0.35586233518640464</v>
      </c>
      <c r="F634" s="89">
        <f t="shared" si="92"/>
        <v>0.70736491722911954</v>
      </c>
      <c r="G634" s="89">
        <f t="shared" si="93"/>
        <v>0.3725002870618066</v>
      </c>
      <c r="H634" s="90" t="str">
        <f t="shared" si="94"/>
        <v/>
      </c>
      <c r="I634" s="90" t="str">
        <f t="shared" si="95"/>
        <v/>
      </c>
      <c r="J634" s="90" t="str">
        <f t="shared" si="96"/>
        <v/>
      </c>
      <c r="K634" s="90" t="str">
        <f t="shared" si="97"/>
        <v/>
      </c>
      <c r="L634" s="90"/>
      <c r="M634" s="106">
        <f>IF(D634="","",ABS(D634-G$5))</f>
        <v>6.7214428146813651E-3</v>
      </c>
    </row>
    <row r="635" spans="2:13" ht="12.75" customHeight="1" x14ac:dyDescent="0.55000000000000004">
      <c r="B635" s="97">
        <v>45806</v>
      </c>
      <c r="C635" s="89">
        <v>5941.27</v>
      </c>
      <c r="D635" s="91">
        <f t="shared" si="90"/>
        <v>0</v>
      </c>
      <c r="E635" s="89">
        <f t="shared" si="91"/>
        <v>4.6348691292451449E-2</v>
      </c>
      <c r="F635" s="89">
        <f t="shared" si="92"/>
        <v>0</v>
      </c>
      <c r="G635" s="89">
        <f t="shared" si="93"/>
        <v>5.1133323987046439E-2</v>
      </c>
      <c r="H635" s="90" t="str">
        <f t="shared" si="94"/>
        <v/>
      </c>
      <c r="I635" s="90" t="str">
        <f t="shared" si="95"/>
        <v/>
      </c>
      <c r="J635" s="90" t="str">
        <f t="shared" si="96"/>
        <v/>
      </c>
      <c r="K635" s="90" t="str">
        <f t="shared" si="97"/>
        <v/>
      </c>
      <c r="L635" s="90"/>
      <c r="M635" s="106">
        <f>IF(D635="","",ABS(D635-G$5))</f>
        <v>0</v>
      </c>
    </row>
    <row r="636" spans="2:13" ht="12.75" customHeight="1" x14ac:dyDescent="0.55000000000000004">
      <c r="B636" s="97">
        <v>45807</v>
      </c>
      <c r="C636" s="89">
        <v>5911.69</v>
      </c>
      <c r="D636" s="91">
        <f t="shared" si="90"/>
        <v>-4.9911686882392076E-3</v>
      </c>
      <c r="E636" s="89">
        <f t="shared" si="91"/>
        <v>0.3450201427613106</v>
      </c>
      <c r="F636" s="89">
        <f t="shared" si="92"/>
        <v>0.52527079726412429</v>
      </c>
      <c r="G636" s="89">
        <f t="shared" si="93"/>
        <v>0.39803557293868863</v>
      </c>
      <c r="H636" s="90" t="str">
        <f t="shared" si="94"/>
        <v/>
      </c>
      <c r="I636" s="90" t="str">
        <f t="shared" si="95"/>
        <v/>
      </c>
      <c r="J636" s="90" t="str">
        <f t="shared" si="96"/>
        <v/>
      </c>
      <c r="K636" s="90" t="str">
        <f t="shared" si="97"/>
        <v/>
      </c>
      <c r="L636" s="90"/>
      <c r="M636" s="106">
        <f>IF(D636="","",ABS(D636-G$5))</f>
        <v>4.9911686882392076E-3</v>
      </c>
    </row>
    <row r="637" spans="2:13" ht="12.75" customHeight="1" x14ac:dyDescent="0.55000000000000004">
      <c r="B637" s="97">
        <v>45810</v>
      </c>
      <c r="C637" s="89">
        <v>6020.29</v>
      </c>
      <c r="D637" s="91">
        <f t="shared" si="90"/>
        <v>1.8203684370785983E-2</v>
      </c>
      <c r="E637" s="89">
        <f t="shared" si="91"/>
        <v>1.0429594793399624</v>
      </c>
      <c r="F637" s="89">
        <f t="shared" si="92"/>
        <v>1.9157564890800118</v>
      </c>
      <c r="G637" s="89">
        <f t="shared" si="93"/>
        <v>1.1771552712236715</v>
      </c>
      <c r="H637" s="90" t="str">
        <f t="shared" si="94"/>
        <v/>
      </c>
      <c r="I637" s="90" t="str">
        <f t="shared" si="95"/>
        <v/>
      </c>
      <c r="J637" s="90" t="str">
        <f t="shared" si="96"/>
        <v/>
      </c>
      <c r="K637" s="90" t="str">
        <f t="shared" si="97"/>
        <v/>
      </c>
      <c r="L637" s="90"/>
      <c r="M637" s="106">
        <f>IF(D637="","",ABS(D637-G$5))</f>
        <v>1.8203684370785983E-2</v>
      </c>
    </row>
    <row r="638" spans="2:13" ht="12.75" customHeight="1" x14ac:dyDescent="0.55000000000000004">
      <c r="B638" s="97">
        <v>45811</v>
      </c>
      <c r="C638" s="89">
        <v>6020.29</v>
      </c>
      <c r="D638" s="91">
        <f t="shared" si="90"/>
        <v>0</v>
      </c>
      <c r="E638" s="89">
        <f t="shared" si="91"/>
        <v>4.6348691292451449E-2</v>
      </c>
      <c r="F638" s="89">
        <f t="shared" si="92"/>
        <v>0</v>
      </c>
      <c r="G638" s="89">
        <f t="shared" si="93"/>
        <v>5.5133621508833254E-2</v>
      </c>
      <c r="H638" s="90" t="str">
        <f t="shared" si="94"/>
        <v/>
      </c>
      <c r="I638" s="90" t="str">
        <f t="shared" si="95"/>
        <v/>
      </c>
      <c r="J638" s="90" t="str">
        <f t="shared" si="96"/>
        <v/>
      </c>
      <c r="K638" s="90" t="str">
        <f t="shared" si="97"/>
        <v/>
      </c>
      <c r="L638" s="90"/>
      <c r="M638" s="106">
        <f>IF(D638="","",ABS(D638-G$5))</f>
        <v>0</v>
      </c>
    </row>
    <row r="639" spans="2:13" ht="12.75" customHeight="1" x14ac:dyDescent="0.55000000000000004">
      <c r="B639" s="97">
        <v>45812</v>
      </c>
      <c r="C639" s="89">
        <v>6020.29</v>
      </c>
      <c r="D639" s="91">
        <f t="shared" si="90"/>
        <v>0</v>
      </c>
      <c r="E639" s="89">
        <f t="shared" si="91"/>
        <v>4.6348691292451449E-2</v>
      </c>
      <c r="F639" s="89">
        <f t="shared" si="92"/>
        <v>0</v>
      </c>
      <c r="G639" s="89">
        <f t="shared" si="93"/>
        <v>5.810612813890749E-2</v>
      </c>
      <c r="H639" s="90" t="str">
        <f t="shared" si="94"/>
        <v/>
      </c>
      <c r="I639" s="90" t="str">
        <f t="shared" si="95"/>
        <v/>
      </c>
      <c r="J639" s="90" t="str">
        <f t="shared" si="96"/>
        <v/>
      </c>
      <c r="K639" s="90" t="str">
        <f t="shared" si="97"/>
        <v/>
      </c>
      <c r="L639" s="90"/>
      <c r="M639" s="106">
        <f>IF(D639="","",ABS(D639-G$5))</f>
        <v>0</v>
      </c>
    </row>
    <row r="640" spans="2:13" ht="12.75" customHeight="1" x14ac:dyDescent="0.55000000000000004">
      <c r="B640" s="97">
        <v>45813</v>
      </c>
      <c r="C640" s="89">
        <v>6173.85</v>
      </c>
      <c r="D640" s="91">
        <f t="shared" si="90"/>
        <v>2.5187199434435297E-2</v>
      </c>
      <c r="E640" s="89">
        <f t="shared" si="91"/>
        <v>1.4608529048476078</v>
      </c>
      <c r="F640" s="89">
        <f t="shared" si="92"/>
        <v>2.6507019005289654</v>
      </c>
      <c r="G640" s="89">
        <f t="shared" si="93"/>
        <v>1.6477244794440302</v>
      </c>
      <c r="H640" s="90" t="str">
        <f t="shared" si="94"/>
        <v/>
      </c>
      <c r="I640" s="90" t="str">
        <f t="shared" si="95"/>
        <v/>
      </c>
      <c r="J640" s="90" t="str">
        <f t="shared" si="96"/>
        <v/>
      </c>
      <c r="K640" s="90" t="str">
        <f t="shared" si="97"/>
        <v/>
      </c>
      <c r="L640" s="90"/>
      <c r="M640" s="106">
        <f>IF(D640="","",ABS(D640-G$5))</f>
        <v>2.5187199434435297E-2</v>
      </c>
    </row>
    <row r="641" spans="2:13" ht="12.75" customHeight="1" x14ac:dyDescent="0.55000000000000004">
      <c r="B641" s="97">
        <v>45814</v>
      </c>
      <c r="C641" s="89">
        <v>6173.85</v>
      </c>
      <c r="D641" s="91">
        <f t="shared" si="90"/>
        <v>0</v>
      </c>
      <c r="E641" s="89">
        <f t="shared" si="91"/>
        <v>4.6348691292451449E-2</v>
      </c>
      <c r="F641" s="89">
        <f t="shared" si="92"/>
        <v>0</v>
      </c>
      <c r="G641" s="89">
        <f t="shared" si="93"/>
        <v>5.5097056459224171E-2</v>
      </c>
      <c r="H641" s="90" t="str">
        <f t="shared" si="94"/>
        <v/>
      </c>
      <c r="I641" s="90" t="str">
        <f t="shared" si="95"/>
        <v/>
      </c>
      <c r="J641" s="90" t="str">
        <f t="shared" si="96"/>
        <v/>
      </c>
      <c r="K641" s="90" t="str">
        <f t="shared" si="97"/>
        <v/>
      </c>
      <c r="L641" s="90"/>
      <c r="M641" s="106">
        <f>IF(D641="","",ABS(D641-G$5))</f>
        <v>0</v>
      </c>
    </row>
    <row r="642" spans="2:13" ht="12.75" customHeight="1" x14ac:dyDescent="0.55000000000000004">
      <c r="B642" s="97">
        <v>45817</v>
      </c>
      <c r="C642" s="89">
        <v>6147.43</v>
      </c>
      <c r="D642" s="91">
        <f t="shared" si="90"/>
        <v>-4.2885220515672369E-3</v>
      </c>
      <c r="E642" s="89">
        <f t="shared" si="91"/>
        <v>0.30297377968425654</v>
      </c>
      <c r="F642" s="89">
        <f t="shared" si="92"/>
        <v>0.45132423642972264</v>
      </c>
      <c r="G642" s="89">
        <f t="shared" si="93"/>
        <v>0.37693576250689281</v>
      </c>
      <c r="H642" s="90" t="str">
        <f t="shared" si="94"/>
        <v/>
      </c>
      <c r="I642" s="90" t="str">
        <f t="shared" si="95"/>
        <v/>
      </c>
      <c r="J642" s="90" t="str">
        <f t="shared" si="96"/>
        <v/>
      </c>
      <c r="K642" s="90" t="str">
        <f t="shared" si="97"/>
        <v/>
      </c>
      <c r="L642" s="90"/>
      <c r="M642" s="106">
        <f>IF(D642="","",ABS(D642-G$5))</f>
        <v>4.2885220515672369E-3</v>
      </c>
    </row>
    <row r="643" spans="2:13" ht="12.75" customHeight="1" x14ac:dyDescent="0.55000000000000004">
      <c r="B643" s="97">
        <v>45818</v>
      </c>
      <c r="C643" s="89">
        <v>6169.41</v>
      </c>
      <c r="D643" s="91">
        <f t="shared" si="90"/>
        <v>3.5691010571946109E-3</v>
      </c>
      <c r="E643" s="89">
        <f t="shared" si="91"/>
        <v>0.16722625673588604</v>
      </c>
      <c r="F643" s="89">
        <f t="shared" si="92"/>
        <v>0.37561234150357231</v>
      </c>
      <c r="G643" s="89">
        <f t="shared" si="93"/>
        <v>0.21877801007283343</v>
      </c>
      <c r="H643" s="90" t="str">
        <f t="shared" si="94"/>
        <v/>
      </c>
      <c r="I643" s="90" t="str">
        <f t="shared" si="95"/>
        <v/>
      </c>
      <c r="J643" s="90" t="str">
        <f t="shared" si="96"/>
        <v/>
      </c>
      <c r="K643" s="90" t="str">
        <f t="shared" si="97"/>
        <v/>
      </c>
      <c r="L643" s="90"/>
      <c r="M643" s="106">
        <f>IF(D643="","",ABS(D643-G$5))</f>
        <v>3.5691010571946109E-3</v>
      </c>
    </row>
    <row r="644" spans="2:13" ht="12.75" customHeight="1" x14ac:dyDescent="0.55000000000000004">
      <c r="B644" s="97">
        <v>45819</v>
      </c>
      <c r="C644" s="89">
        <v>6231.67</v>
      </c>
      <c r="D644" s="91">
        <f t="shared" si="90"/>
        <v>1.0041145305207061E-2</v>
      </c>
      <c r="E644" s="89">
        <f t="shared" si="91"/>
        <v>0.5545132771243898</v>
      </c>
      <c r="F644" s="89">
        <f t="shared" si="92"/>
        <v>1.0567305433573144</v>
      </c>
      <c r="G644" s="89">
        <f t="shared" si="93"/>
        <v>0.74327466090369232</v>
      </c>
      <c r="H644" s="90" t="str">
        <f t="shared" si="94"/>
        <v/>
      </c>
      <c r="I644" s="90" t="str">
        <f t="shared" si="95"/>
        <v/>
      </c>
      <c r="J644" s="90" t="str">
        <f t="shared" si="96"/>
        <v/>
      </c>
      <c r="K644" s="90" t="str">
        <f t="shared" si="97"/>
        <v/>
      </c>
      <c r="L644" s="90"/>
      <c r="M644" s="106">
        <f>IF(D644="","",ABS(D644-G$5))</f>
        <v>1.0041145305207061E-2</v>
      </c>
    </row>
    <row r="645" spans="2:13" ht="12.75" customHeight="1" x14ac:dyDescent="0.55000000000000004">
      <c r="B645" s="97">
        <v>45820</v>
      </c>
      <c r="C645" s="89">
        <v>6232.56</v>
      </c>
      <c r="D645" s="91">
        <f t="shared" si="90"/>
        <v>1.4280866150779667E-4</v>
      </c>
      <c r="E645" s="89">
        <f t="shared" si="91"/>
        <v>3.7803023357932931E-2</v>
      </c>
      <c r="F645" s="89">
        <f t="shared" si="92"/>
        <v>1.5029189388685258E-2</v>
      </c>
      <c r="G645" s="89">
        <f t="shared" si="93"/>
        <v>5.3404852164813596E-2</v>
      </c>
      <c r="H645" s="90" t="str">
        <f t="shared" si="94"/>
        <v/>
      </c>
      <c r="I645" s="90" t="str">
        <f t="shared" si="95"/>
        <v/>
      </c>
      <c r="J645" s="90" t="str">
        <f t="shared" si="96"/>
        <v/>
      </c>
      <c r="K645" s="90" t="str">
        <f t="shared" si="97"/>
        <v/>
      </c>
      <c r="L645" s="90"/>
      <c r="M645" s="106">
        <f>IF(D645="","",ABS(D645-G$5))</f>
        <v>1.4280866150779667E-4</v>
      </c>
    </row>
    <row r="646" spans="2:13" ht="12.75" customHeight="1" x14ac:dyDescent="0.55000000000000004">
      <c r="B646" s="97">
        <v>45821</v>
      </c>
      <c r="C646" s="89">
        <v>6232.56</v>
      </c>
      <c r="D646" s="91">
        <f t="shared" si="90"/>
        <v>0</v>
      </c>
      <c r="E646" s="89">
        <f t="shared" si="91"/>
        <v>4.6348691292451449E-2</v>
      </c>
      <c r="F646" s="89">
        <f t="shared" si="92"/>
        <v>0</v>
      </c>
      <c r="G646" s="89">
        <f t="shared" si="93"/>
        <v>6.9002843348954804E-2</v>
      </c>
      <c r="H646" s="90" t="str">
        <f t="shared" si="94"/>
        <v/>
      </c>
      <c r="I646" s="90" t="str">
        <f t="shared" si="95"/>
        <v/>
      </c>
      <c r="J646" s="90" t="str">
        <f t="shared" si="96"/>
        <v/>
      </c>
      <c r="K646" s="90" t="str">
        <f t="shared" si="97"/>
        <v/>
      </c>
      <c r="L646" s="90"/>
      <c r="M646" s="106">
        <f>IF(D646="","",ABS(D646-G$5))</f>
        <v>0</v>
      </c>
    </row>
    <row r="647" spans="2:13" ht="12.75" customHeight="1" x14ac:dyDescent="0.55000000000000004">
      <c r="B647" s="97">
        <v>45824</v>
      </c>
      <c r="C647" s="89">
        <v>6154.34</v>
      </c>
      <c r="D647" s="91">
        <f t="shared" si="90"/>
        <v>-1.2629639332226512E-2</v>
      </c>
      <c r="E647" s="89">
        <f t="shared" si="91"/>
        <v>0.80210609932648391</v>
      </c>
      <c r="F647" s="89">
        <f t="shared" si="92"/>
        <v>1.3291437608247436</v>
      </c>
      <c r="G647" s="89">
        <f t="shared" si="93"/>
        <v>1.1695054636640136</v>
      </c>
      <c r="H647" s="90" t="str">
        <f t="shared" si="94"/>
        <v/>
      </c>
      <c r="I647" s="90" t="str">
        <f t="shared" si="95"/>
        <v/>
      </c>
      <c r="J647" s="90" t="str">
        <f t="shared" si="96"/>
        <v/>
      </c>
      <c r="K647" s="90" t="str">
        <f t="shared" si="97"/>
        <v/>
      </c>
      <c r="L647" s="90"/>
      <c r="M647" s="106">
        <f>IF(D647="","",ABS(D647-G$5))</f>
        <v>1.2629639332226512E-2</v>
      </c>
    </row>
    <row r="648" spans="2:13" ht="12.75" customHeight="1" x14ac:dyDescent="0.55000000000000004">
      <c r="B648" s="97">
        <v>45825</v>
      </c>
      <c r="C648" s="89">
        <v>6250.13</v>
      </c>
      <c r="D648" s="91">
        <f t="shared" si="90"/>
        <v>1.5444739539507334E-2</v>
      </c>
      <c r="E648" s="89">
        <f t="shared" si="91"/>
        <v>0.87786426642476845</v>
      </c>
      <c r="F648" s="89">
        <f t="shared" si="92"/>
        <v>1.6254050219880991</v>
      </c>
      <c r="G648" s="89">
        <f t="shared" si="93"/>
        <v>1.2409706861943852</v>
      </c>
      <c r="H648" s="90" t="str">
        <f t="shared" si="94"/>
        <v/>
      </c>
      <c r="I648" s="90" t="str">
        <f t="shared" si="95"/>
        <v/>
      </c>
      <c r="J648" s="90" t="str">
        <f t="shared" si="96"/>
        <v/>
      </c>
      <c r="K648" s="90" t="str">
        <f t="shared" si="97"/>
        <v/>
      </c>
      <c r="L648" s="90"/>
      <c r="M648" s="106">
        <f>IF(D648="","",ABS(D648-G$5))</f>
        <v>1.5444739539507334E-2</v>
      </c>
    </row>
    <row r="649" spans="2:13" ht="12.75" customHeight="1" x14ac:dyDescent="0.55000000000000004">
      <c r="B649" s="97">
        <v>45826</v>
      </c>
      <c r="C649" s="89">
        <v>6292.03</v>
      </c>
      <c r="D649" s="91">
        <f t="shared" si="90"/>
        <v>6.6814896119849268E-3</v>
      </c>
      <c r="E649" s="89">
        <f t="shared" si="91"/>
        <v>0.35347153620012867</v>
      </c>
      <c r="F649" s="89">
        <f t="shared" si="92"/>
        <v>0.70316024054025839</v>
      </c>
      <c r="G649" s="89">
        <f t="shared" si="93"/>
        <v>0.51954758833806491</v>
      </c>
      <c r="H649" s="90" t="str">
        <f t="shared" si="94"/>
        <v/>
      </c>
      <c r="I649" s="90" t="str">
        <f t="shared" si="95"/>
        <v/>
      </c>
      <c r="J649" s="90" t="str">
        <f t="shared" si="96"/>
        <v/>
      </c>
      <c r="K649" s="90" t="str">
        <f t="shared" si="97"/>
        <v/>
      </c>
      <c r="L649" s="90"/>
      <c r="M649" s="106">
        <f>IF(D649="","",ABS(D649-G$5))</f>
        <v>6.6814896119849268E-3</v>
      </c>
    </row>
    <row r="650" spans="2:13" ht="12.75" customHeight="1" x14ac:dyDescent="0.55000000000000004">
      <c r="B650" s="97">
        <v>45827</v>
      </c>
      <c r="C650" s="89"/>
      <c r="D650" s="91" t="str">
        <f t="shared" si="90"/>
        <v/>
      </c>
      <c r="E650" s="89" t="str">
        <f t="shared" si="91"/>
        <v/>
      </c>
      <c r="F650" s="89" t="str">
        <f t="shared" si="92"/>
        <v/>
      </c>
      <c r="G650" s="89" t="str">
        <f t="shared" si="93"/>
        <v/>
      </c>
      <c r="H650" s="90" t="str">
        <f t="shared" si="94"/>
        <v/>
      </c>
      <c r="I650" s="90" t="str">
        <f t="shared" si="95"/>
        <v/>
      </c>
      <c r="J650" s="90" t="str">
        <f t="shared" si="96"/>
        <v/>
      </c>
      <c r="K650" s="90" t="str">
        <f t="shared" si="97"/>
        <v>MISSING</v>
      </c>
      <c r="L650" s="90"/>
      <c r="M650" s="106" t="str">
        <f>IF(D650="","",ABS(D650-G$5))</f>
        <v/>
      </c>
    </row>
    <row r="651" spans="2:13" ht="12.75" customHeight="1" x14ac:dyDescent="0.55000000000000004">
      <c r="B651" s="97">
        <v>45828</v>
      </c>
      <c r="C651" s="89">
        <v>6101.24</v>
      </c>
      <c r="D651" s="91" t="str">
        <f t="shared" si="90"/>
        <v/>
      </c>
      <c r="E651" s="89" t="str">
        <f t="shared" si="91"/>
        <v/>
      </c>
      <c r="F651" s="89" t="str">
        <f t="shared" si="92"/>
        <v/>
      </c>
      <c r="G651" s="89" t="str">
        <f t="shared" si="93"/>
        <v/>
      </c>
      <c r="H651" s="90" t="str">
        <f t="shared" si="94"/>
        <v/>
      </c>
      <c r="I651" s="90" t="str">
        <f t="shared" si="95"/>
        <v/>
      </c>
      <c r="J651" s="90" t="str">
        <f t="shared" si="96"/>
        <v/>
      </c>
      <c r="K651" s="90" t="str">
        <f t="shared" si="97"/>
        <v/>
      </c>
      <c r="L651" s="90"/>
      <c r="M651" s="106" t="str">
        <f>IF(D651="","",ABS(D651-G$5))</f>
        <v/>
      </c>
    </row>
    <row r="652" spans="2:13" ht="12.75" customHeight="1" x14ac:dyDescent="0.55000000000000004">
      <c r="B652" s="97">
        <v>45831</v>
      </c>
      <c r="C652" s="89">
        <v>6101.24</v>
      </c>
      <c r="D652" s="91">
        <f t="shared" si="90"/>
        <v>0</v>
      </c>
      <c r="E652" s="89">
        <f t="shared" si="91"/>
        <v>4.6348691292451449E-2</v>
      </c>
      <c r="F652" s="89">
        <f t="shared" si="92"/>
        <v>0</v>
      </c>
      <c r="G652" s="89">
        <f t="shared" si="93"/>
        <v>4.8849980721541335E-2</v>
      </c>
      <c r="H652" s="90" t="str">
        <f t="shared" si="94"/>
        <v/>
      </c>
      <c r="I652" s="90" t="str">
        <f t="shared" si="95"/>
        <v/>
      </c>
      <c r="J652" s="90" t="str">
        <f t="shared" si="96"/>
        <v/>
      </c>
      <c r="K652" s="90" t="str">
        <f t="shared" si="97"/>
        <v/>
      </c>
      <c r="L652" s="90"/>
      <c r="M652" s="106">
        <f>IF(D652="","",ABS(D652-G$5))</f>
        <v>0</v>
      </c>
    </row>
    <row r="653" spans="2:13" ht="12.75" customHeight="1" x14ac:dyDescent="0.55000000000000004">
      <c r="B653" s="97">
        <v>45832</v>
      </c>
      <c r="C653" s="89">
        <v>6196.46</v>
      </c>
      <c r="D653" s="91">
        <f t="shared" si="90"/>
        <v>1.5486132035479643E-2</v>
      </c>
      <c r="E653" s="89">
        <f t="shared" si="91"/>
        <v>0.88034119269678557</v>
      </c>
      <c r="F653" s="89">
        <f t="shared" si="92"/>
        <v>1.6297611699602883</v>
      </c>
      <c r="G653" s="89">
        <f t="shared" si="93"/>
        <v>0.93437138196985647</v>
      </c>
      <c r="H653" s="90" t="str">
        <f t="shared" si="94"/>
        <v/>
      </c>
      <c r="I653" s="90" t="str">
        <f t="shared" si="95"/>
        <v/>
      </c>
      <c r="J653" s="90" t="str">
        <f t="shared" si="96"/>
        <v/>
      </c>
      <c r="K653" s="90" t="str">
        <f t="shared" si="97"/>
        <v/>
      </c>
      <c r="L653" s="90"/>
      <c r="M653" s="106">
        <f>IF(D653="","",ABS(D653-G$5))</f>
        <v>1.5486132035479643E-2</v>
      </c>
    </row>
    <row r="654" spans="2:13" ht="12.75" customHeight="1" x14ac:dyDescent="0.55000000000000004">
      <c r="B654" s="97">
        <v>45833</v>
      </c>
      <c r="C654" s="89">
        <v>6173.85</v>
      </c>
      <c r="D654" s="91">
        <f t="shared" si="90"/>
        <v>-3.6555308925865842E-3</v>
      </c>
      <c r="E654" s="89">
        <f t="shared" si="91"/>
        <v>0.2650955992362215</v>
      </c>
      <c r="F654" s="89">
        <f t="shared" si="92"/>
        <v>0.3847082209216981</v>
      </c>
      <c r="G654" s="89">
        <f t="shared" si="93"/>
        <v>0.29528951732820147</v>
      </c>
      <c r="H654" s="90" t="str">
        <f t="shared" si="94"/>
        <v/>
      </c>
      <c r="I654" s="90" t="str">
        <f t="shared" si="95"/>
        <v/>
      </c>
      <c r="J654" s="90" t="str">
        <f t="shared" si="96"/>
        <v/>
      </c>
      <c r="K654" s="90" t="str">
        <f t="shared" si="97"/>
        <v/>
      </c>
      <c r="L654" s="90"/>
      <c r="M654" s="106">
        <f>IF(D654="","",ABS(D654-G$5))</f>
        <v>3.6555308925865842E-3</v>
      </c>
    </row>
    <row r="655" spans="2:13" ht="12.75" customHeight="1" x14ac:dyDescent="0.55000000000000004">
      <c r="B655" s="97">
        <v>45834</v>
      </c>
      <c r="C655" s="89">
        <v>6173.85</v>
      </c>
      <c r="D655" s="91">
        <f t="shared" si="90"/>
        <v>0</v>
      </c>
      <c r="E655" s="89">
        <f t="shared" si="91"/>
        <v>4.6348691292451449E-2</v>
      </c>
      <c r="F655" s="89">
        <f t="shared" si="92"/>
        <v>0</v>
      </c>
      <c r="G655" s="89">
        <f t="shared" si="93"/>
        <v>5.4412343680247978E-2</v>
      </c>
      <c r="H655" s="90" t="str">
        <f t="shared" si="94"/>
        <v/>
      </c>
      <c r="I655" s="90" t="str">
        <f t="shared" si="95"/>
        <v/>
      </c>
      <c r="J655" s="90" t="str">
        <f t="shared" si="96"/>
        <v/>
      </c>
      <c r="K655" s="90" t="str">
        <f t="shared" si="97"/>
        <v/>
      </c>
      <c r="L655" s="90"/>
      <c r="M655" s="106">
        <f>IF(D655="","",ABS(D655-G$5))</f>
        <v>0</v>
      </c>
    </row>
    <row r="656" spans="2:13" ht="12.75" customHeight="1" x14ac:dyDescent="0.55000000000000004">
      <c r="B656" s="97">
        <v>45835</v>
      </c>
      <c r="C656" s="89">
        <v>6071.17</v>
      </c>
      <c r="D656" s="91">
        <f t="shared" si="90"/>
        <v>-1.6771292619510981E-2</v>
      </c>
      <c r="E656" s="89">
        <f t="shared" si="91"/>
        <v>1.0499425633010993</v>
      </c>
      <c r="F656" s="89">
        <f t="shared" si="92"/>
        <v>1.7650115224833798</v>
      </c>
      <c r="G656" s="89">
        <f t="shared" si="93"/>
        <v>1.2017981726266211</v>
      </c>
      <c r="H656" s="90" t="str">
        <f t="shared" si="94"/>
        <v/>
      </c>
      <c r="I656" s="90" t="str">
        <f t="shared" si="95"/>
        <v/>
      </c>
      <c r="J656" s="90" t="str">
        <f t="shared" si="96"/>
        <v/>
      </c>
      <c r="K656" s="90" t="str">
        <f t="shared" si="97"/>
        <v/>
      </c>
      <c r="L656" s="90"/>
      <c r="M656" s="106">
        <f>IF(D656="","",ABS(D656-G$5))</f>
        <v>1.6771292619510981E-2</v>
      </c>
    </row>
    <row r="657" spans="2:13" ht="12.75" customHeight="1" x14ac:dyDescent="0.55000000000000004">
      <c r="B657" s="97">
        <v>45838</v>
      </c>
      <c r="C657" s="89">
        <v>6204.34</v>
      </c>
      <c r="D657" s="91">
        <f t="shared" si="90"/>
        <v>2.1697709432460119E-2</v>
      </c>
      <c r="E657" s="89">
        <f t="shared" si="91"/>
        <v>1.252041881042345</v>
      </c>
      <c r="F657" s="89">
        <f t="shared" si="92"/>
        <v>2.2834678297387598</v>
      </c>
      <c r="G657" s="89">
        <f t="shared" si="93"/>
        <v>1.3631008193471021</v>
      </c>
      <c r="H657" s="90" t="str">
        <f t="shared" si="94"/>
        <v/>
      </c>
      <c r="I657" s="90" t="str">
        <f t="shared" si="95"/>
        <v/>
      </c>
      <c r="J657" s="90" t="str">
        <f t="shared" si="96"/>
        <v/>
      </c>
      <c r="K657" s="90" t="str">
        <f t="shared" si="97"/>
        <v/>
      </c>
      <c r="L657" s="90"/>
      <c r="M657" s="106">
        <f>IF(D657="","",ABS(D657-G$5))</f>
        <v>2.1697709432460119E-2</v>
      </c>
    </row>
    <row r="658" spans="2:13" ht="12.75" customHeight="1" x14ac:dyDescent="0.55000000000000004">
      <c r="B658" s="97">
        <v>45839</v>
      </c>
      <c r="C658" s="89">
        <v>6251.02</v>
      </c>
      <c r="D658" s="91">
        <f t="shared" si="90"/>
        <v>7.4956032673195918E-3</v>
      </c>
      <c r="E658" s="89">
        <f t="shared" si="91"/>
        <v>0.40218808382400845</v>
      </c>
      <c r="F658" s="89">
        <f t="shared" si="92"/>
        <v>0.78883759498609862</v>
      </c>
      <c r="G658" s="89">
        <f t="shared" si="93"/>
        <v>0.45670927571418796</v>
      </c>
      <c r="H658" s="90" t="str">
        <f t="shared" si="94"/>
        <v/>
      </c>
      <c r="I658" s="90" t="str">
        <f t="shared" si="95"/>
        <v/>
      </c>
      <c r="J658" s="90" t="str">
        <f t="shared" si="96"/>
        <v/>
      </c>
      <c r="K658" s="90" t="str">
        <f t="shared" si="97"/>
        <v/>
      </c>
      <c r="L658" s="90"/>
      <c r="M658" s="106">
        <f>IF(D658="","",ABS(D658-G$5))</f>
        <v>7.4956032673195918E-3</v>
      </c>
    </row>
    <row r="659" spans="2:13" ht="12.75" customHeight="1" x14ac:dyDescent="0.55000000000000004">
      <c r="B659" s="97">
        <v>45840</v>
      </c>
      <c r="C659" s="89">
        <v>6332.87</v>
      </c>
      <c r="D659" s="91">
        <f t="shared" si="90"/>
        <v>1.3008879494785599E-2</v>
      </c>
      <c r="E659" s="89">
        <f t="shared" si="91"/>
        <v>0.73210244177509964</v>
      </c>
      <c r="F659" s="89">
        <f t="shared" si="92"/>
        <v>1.3690550110718802</v>
      </c>
      <c r="G659" s="89">
        <f t="shared" si="93"/>
        <v>0.84449112975547291</v>
      </c>
      <c r="H659" s="90" t="str">
        <f t="shared" si="94"/>
        <v/>
      </c>
      <c r="I659" s="90" t="str">
        <f t="shared" si="95"/>
        <v/>
      </c>
      <c r="J659" s="90" t="str">
        <f t="shared" si="96"/>
        <v/>
      </c>
      <c r="K659" s="90" t="str">
        <f t="shared" si="97"/>
        <v/>
      </c>
      <c r="L659" s="90"/>
      <c r="M659" s="106">
        <f>IF(D659="","",ABS(D659-G$5))</f>
        <v>1.3008879494785599E-2</v>
      </c>
    </row>
    <row r="660" spans="2:13" ht="12.75" customHeight="1" x14ac:dyDescent="0.55000000000000004">
      <c r="B660" s="97">
        <v>45841</v>
      </c>
      <c r="C660" s="89"/>
      <c r="D660" s="91" t="str">
        <f t="shared" si="90"/>
        <v/>
      </c>
      <c r="E660" s="89" t="str">
        <f t="shared" si="91"/>
        <v/>
      </c>
      <c r="F660" s="89" t="str">
        <f t="shared" si="92"/>
        <v/>
      </c>
      <c r="G660" s="89" t="str">
        <f t="shared" si="93"/>
        <v/>
      </c>
      <c r="H660" s="90" t="str">
        <f t="shared" si="94"/>
        <v/>
      </c>
      <c r="I660" s="90" t="str">
        <f t="shared" si="95"/>
        <v/>
      </c>
      <c r="J660" s="90" t="str">
        <f t="shared" si="96"/>
        <v/>
      </c>
      <c r="K660" s="90" t="str">
        <f t="shared" si="97"/>
        <v>MISSING</v>
      </c>
      <c r="L660" s="90"/>
      <c r="M660" s="106" t="str">
        <f>IF(D660="","",ABS(D660-G$5))</f>
        <v/>
      </c>
    </row>
    <row r="661" spans="2:13" ht="12.75" customHeight="1" x14ac:dyDescent="0.55000000000000004">
      <c r="B661" s="97">
        <v>45842</v>
      </c>
      <c r="C661" s="89"/>
      <c r="D661" s="91" t="str">
        <f t="shared" si="90"/>
        <v/>
      </c>
      <c r="E661" s="89" t="str">
        <f t="shared" si="91"/>
        <v/>
      </c>
      <c r="F661" s="89" t="str">
        <f t="shared" si="92"/>
        <v/>
      </c>
      <c r="G661" s="89" t="str">
        <f t="shared" si="93"/>
        <v/>
      </c>
      <c r="H661" s="90" t="str">
        <f t="shared" si="94"/>
        <v/>
      </c>
      <c r="I661" s="90" t="str">
        <f t="shared" si="95"/>
        <v/>
      </c>
      <c r="J661" s="90" t="str">
        <f t="shared" si="96"/>
        <v/>
      </c>
      <c r="K661" s="90" t="str">
        <f t="shared" si="97"/>
        <v>MISSING</v>
      </c>
      <c r="L661" s="90"/>
      <c r="M661" s="106" t="str">
        <f>IF(D661="","",ABS(D661-G$5))</f>
        <v/>
      </c>
    </row>
    <row r="662" spans="2:13" ht="12.75" customHeight="1" x14ac:dyDescent="0.55000000000000004">
      <c r="B662" s="97">
        <v>45845</v>
      </c>
      <c r="C662" s="89">
        <v>6259.75</v>
      </c>
      <c r="D662" s="91" t="str">
        <f t="shared" si="90"/>
        <v/>
      </c>
      <c r="E662" s="89" t="str">
        <f t="shared" si="91"/>
        <v/>
      </c>
      <c r="F662" s="89" t="str">
        <f t="shared" si="92"/>
        <v/>
      </c>
      <c r="G662" s="89" t="str">
        <f t="shared" si="93"/>
        <v/>
      </c>
      <c r="H662" s="90" t="str">
        <f t="shared" si="94"/>
        <v/>
      </c>
      <c r="I662" s="90" t="str">
        <f t="shared" si="95"/>
        <v/>
      </c>
      <c r="J662" s="90" t="str">
        <f t="shared" si="96"/>
        <v/>
      </c>
      <c r="K662" s="90" t="str">
        <f t="shared" si="97"/>
        <v/>
      </c>
      <c r="L662" s="90"/>
      <c r="M662" s="106" t="str">
        <f>IF(D662="","",ABS(D662-G$5))</f>
        <v/>
      </c>
    </row>
    <row r="663" spans="2:13" ht="12.75" customHeight="1" x14ac:dyDescent="0.55000000000000004">
      <c r="B663" s="97">
        <v>45846</v>
      </c>
      <c r="C663" s="89">
        <v>6263.26</v>
      </c>
      <c r="D663" s="91">
        <f t="shared" si="90"/>
        <v>5.6056812090937616E-4</v>
      </c>
      <c r="E663" s="89">
        <f t="shared" si="91"/>
        <v>1.2804304240640739E-2</v>
      </c>
      <c r="F663" s="89">
        <f t="shared" si="92"/>
        <v>5.8994212013859348E-2</v>
      </c>
      <c r="G663" s="89">
        <f t="shared" si="93"/>
        <v>1.3496798818454489E-2</v>
      </c>
      <c r="H663" s="90" t="str">
        <f t="shared" si="94"/>
        <v/>
      </c>
      <c r="I663" s="90" t="str">
        <f t="shared" si="95"/>
        <v/>
      </c>
      <c r="J663" s="90" t="str">
        <f t="shared" si="96"/>
        <v/>
      </c>
      <c r="K663" s="90" t="str">
        <f t="shared" si="97"/>
        <v/>
      </c>
      <c r="L663" s="90"/>
      <c r="M663" s="106">
        <f>IF(D663="","",ABS(D663-G$5))</f>
        <v>5.6056812090937616E-4</v>
      </c>
    </row>
    <row r="664" spans="2:13" ht="12.75" customHeight="1" x14ac:dyDescent="0.55000000000000004">
      <c r="B664" s="97">
        <v>45847</v>
      </c>
      <c r="C664" s="89">
        <v>6280.46</v>
      </c>
      <c r="D664" s="91">
        <f t="shared" si="90"/>
        <v>2.7424098720043449E-3</v>
      </c>
      <c r="E664" s="89">
        <f t="shared" si="91"/>
        <v>0.11775706993418866</v>
      </c>
      <c r="F664" s="89">
        <f t="shared" si="92"/>
        <v>0.2886113273003626</v>
      </c>
      <c r="G664" s="89">
        <f t="shared" si="93"/>
        <v>0.13072814749093017</v>
      </c>
      <c r="H664" s="90" t="str">
        <f t="shared" si="94"/>
        <v/>
      </c>
      <c r="I664" s="90" t="str">
        <f t="shared" si="95"/>
        <v/>
      </c>
      <c r="J664" s="90" t="str">
        <f t="shared" si="96"/>
        <v/>
      </c>
      <c r="K664" s="90" t="str">
        <f t="shared" si="97"/>
        <v/>
      </c>
      <c r="L664" s="90"/>
      <c r="M664" s="106">
        <f>IF(D664="","",ABS(D664-G$5))</f>
        <v>2.7424098720043449E-3</v>
      </c>
    </row>
    <row r="665" spans="2:13" ht="12.75" customHeight="1" x14ac:dyDescent="0.55000000000000004">
      <c r="B665" s="97">
        <v>45848</v>
      </c>
      <c r="C665" s="89">
        <v>6297.45</v>
      </c>
      <c r="D665" s="91">
        <f t="shared" si="90"/>
        <v>2.7015633492972215E-3</v>
      </c>
      <c r="E665" s="89">
        <f t="shared" si="91"/>
        <v>0.11531281469329917</v>
      </c>
      <c r="F665" s="89">
        <f t="shared" si="92"/>
        <v>0.284312637576973</v>
      </c>
      <c r="G665" s="89">
        <f t="shared" si="93"/>
        <v>0.13481660889944372</v>
      </c>
      <c r="H665" s="90" t="str">
        <f t="shared" si="94"/>
        <v/>
      </c>
      <c r="I665" s="90" t="str">
        <f t="shared" si="95"/>
        <v/>
      </c>
      <c r="J665" s="90" t="str">
        <f t="shared" si="96"/>
        <v/>
      </c>
      <c r="K665" s="90" t="str">
        <f t="shared" si="97"/>
        <v/>
      </c>
      <c r="L665" s="90"/>
      <c r="M665" s="106">
        <f>IF(D665="","",ABS(D665-G$5))</f>
        <v>2.7015633492972215E-3</v>
      </c>
    </row>
    <row r="666" spans="2:13" ht="12.75" customHeight="1" x14ac:dyDescent="0.55000000000000004">
      <c r="B666" s="97">
        <v>45849</v>
      </c>
      <c r="C666" s="89">
        <v>6368.31</v>
      </c>
      <c r="D666" s="91">
        <f t="shared" si="90"/>
        <v>1.118933870721347E-2</v>
      </c>
      <c r="E666" s="89">
        <f t="shared" si="91"/>
        <v>0.62322115124458943</v>
      </c>
      <c r="F666" s="89">
        <f t="shared" si="92"/>
        <v>1.1775664640318531</v>
      </c>
      <c r="G666" s="89">
        <f t="shared" si="93"/>
        <v>0.74634729295381674</v>
      </c>
      <c r="H666" s="90" t="str">
        <f t="shared" si="94"/>
        <v/>
      </c>
      <c r="I666" s="90" t="str">
        <f t="shared" si="95"/>
        <v/>
      </c>
      <c r="J666" s="90" t="str">
        <f t="shared" si="96"/>
        <v/>
      </c>
      <c r="K666" s="90" t="str">
        <f t="shared" si="97"/>
        <v/>
      </c>
      <c r="L666" s="90"/>
      <c r="M666" s="106">
        <f>IF(D666="","",ABS(D666-G$5))</f>
        <v>1.118933870721347E-2</v>
      </c>
    </row>
    <row r="667" spans="2:13" ht="12.75" customHeight="1" x14ac:dyDescent="0.55000000000000004">
      <c r="B667" s="97">
        <v>45852</v>
      </c>
      <c r="C667" s="89">
        <v>6434.24</v>
      </c>
      <c r="D667" s="91">
        <f t="shared" si="90"/>
        <v>1.0299601693417516E-2</v>
      </c>
      <c r="E667" s="89">
        <f t="shared" si="91"/>
        <v>0.56997930310546074</v>
      </c>
      <c r="F667" s="89">
        <f t="shared" si="92"/>
        <v>1.0839305042428691</v>
      </c>
      <c r="G667" s="89">
        <f t="shared" si="93"/>
        <v>0.70157861249213438</v>
      </c>
      <c r="H667" s="90" t="str">
        <f t="shared" si="94"/>
        <v/>
      </c>
      <c r="I667" s="90" t="str">
        <f t="shared" si="95"/>
        <v/>
      </c>
      <c r="J667" s="90" t="str">
        <f t="shared" si="96"/>
        <v/>
      </c>
      <c r="K667" s="90" t="str">
        <f t="shared" si="97"/>
        <v/>
      </c>
      <c r="L667" s="90"/>
      <c r="M667" s="106">
        <f>IF(D667="","",ABS(D667-G$5))</f>
        <v>1.0299601693417516E-2</v>
      </c>
    </row>
    <row r="668" spans="2:13" ht="12.75" customHeight="1" x14ac:dyDescent="0.55000000000000004">
      <c r="B668" s="97">
        <v>45853</v>
      </c>
      <c r="C668" s="89">
        <v>6416.91</v>
      </c>
      <c r="D668" s="91">
        <f t="shared" si="90"/>
        <v>-2.6970365305635192E-3</v>
      </c>
      <c r="E668" s="89">
        <f t="shared" si="91"/>
        <v>0.20773931252030617</v>
      </c>
      <c r="F668" s="89">
        <f t="shared" si="92"/>
        <v>0.28383623498795113</v>
      </c>
      <c r="G668" s="89">
        <f t="shared" si="93"/>
        <v>0.26856093560400768</v>
      </c>
      <c r="H668" s="90" t="str">
        <f t="shared" si="94"/>
        <v/>
      </c>
      <c r="I668" s="90" t="str">
        <f t="shared" si="95"/>
        <v/>
      </c>
      <c r="J668" s="90" t="str">
        <f t="shared" si="96"/>
        <v/>
      </c>
      <c r="K668" s="90" t="str">
        <f t="shared" si="97"/>
        <v/>
      </c>
      <c r="L668" s="90"/>
      <c r="M668" s="106">
        <f>IF(D668="","",ABS(D668-G$5))</f>
        <v>2.6970365305635192E-3</v>
      </c>
    </row>
    <row r="669" spans="2:13" ht="12.75" customHeight="1" x14ac:dyDescent="0.55000000000000004">
      <c r="B669" s="97">
        <v>45854</v>
      </c>
      <c r="C669" s="89">
        <v>6432.71</v>
      </c>
      <c r="D669" s="91">
        <f t="shared" si="90"/>
        <v>2.4592179321838675E-3</v>
      </c>
      <c r="E669" s="89">
        <f t="shared" si="91"/>
        <v>0.10081086895529477</v>
      </c>
      <c r="F669" s="89">
        <f t="shared" si="92"/>
        <v>0.25880819594982651</v>
      </c>
      <c r="G669" s="89">
        <f t="shared" si="93"/>
        <v>0.13724636098038073</v>
      </c>
      <c r="H669" s="90" t="str">
        <f t="shared" si="94"/>
        <v/>
      </c>
      <c r="I669" s="90" t="str">
        <f t="shared" si="95"/>
        <v/>
      </c>
      <c r="J669" s="90" t="str">
        <f t="shared" si="96"/>
        <v/>
      </c>
      <c r="K669" s="90" t="str">
        <f t="shared" si="97"/>
        <v/>
      </c>
      <c r="L669" s="90"/>
      <c r="M669" s="106">
        <f>IF(D669="","",ABS(D669-G$5))</f>
        <v>2.4592179321838675E-3</v>
      </c>
    </row>
    <row r="670" spans="2:13" ht="12.75" customHeight="1" x14ac:dyDescent="0.55000000000000004">
      <c r="B670" s="97">
        <v>45855</v>
      </c>
      <c r="C670" s="89">
        <v>6437.19</v>
      </c>
      <c r="D670" s="91">
        <f t="shared" si="90"/>
        <v>6.9619813377740829E-4</v>
      </c>
      <c r="E670" s="89">
        <f t="shared" si="91"/>
        <v>4.6882065215860923E-3</v>
      </c>
      <c r="F670" s="89">
        <f t="shared" si="92"/>
        <v>7.3267920125549654E-2</v>
      </c>
      <c r="G670" s="89">
        <f t="shared" si="93"/>
        <v>6.7278759768770744E-3</v>
      </c>
      <c r="H670" s="90" t="str">
        <f t="shared" si="94"/>
        <v/>
      </c>
      <c r="I670" s="90" t="str">
        <f t="shared" si="95"/>
        <v/>
      </c>
      <c r="J670" s="90" t="str">
        <f t="shared" si="96"/>
        <v/>
      </c>
      <c r="K670" s="90" t="str">
        <f t="shared" si="97"/>
        <v/>
      </c>
      <c r="L670" s="90"/>
      <c r="M670" s="106">
        <f>IF(D670="","",ABS(D670-G$5))</f>
        <v>6.9619813377740829E-4</v>
      </c>
    </row>
    <row r="671" spans="2:13" ht="12.75" customHeight="1" x14ac:dyDescent="0.55000000000000004">
      <c r="B671" s="97">
        <v>45856</v>
      </c>
      <c r="C671" s="89">
        <v>6437.19</v>
      </c>
      <c r="D671" s="91">
        <f t="shared" si="90"/>
        <v>0</v>
      </c>
      <c r="E671" s="89">
        <f t="shared" si="91"/>
        <v>4.6348691292451449E-2</v>
      </c>
      <c r="F671" s="89">
        <f t="shared" si="92"/>
        <v>0</v>
      </c>
      <c r="G671" s="89">
        <f t="shared" si="93"/>
        <v>7.0093984658130076E-2</v>
      </c>
      <c r="H671" s="90" t="str">
        <f t="shared" si="94"/>
        <v/>
      </c>
      <c r="I671" s="90" t="str">
        <f t="shared" si="95"/>
        <v/>
      </c>
      <c r="J671" s="90" t="str">
        <f t="shared" si="96"/>
        <v/>
      </c>
      <c r="K671" s="90" t="str">
        <f t="shared" si="97"/>
        <v/>
      </c>
      <c r="L671" s="90"/>
      <c r="M671" s="106">
        <f>IF(D671="","",ABS(D671-G$5))</f>
        <v>0</v>
      </c>
    </row>
    <row r="672" spans="2:13" ht="12.75" customHeight="1" x14ac:dyDescent="0.55000000000000004">
      <c r="B672" s="97">
        <v>45859</v>
      </c>
      <c r="C672" s="89">
        <v>6473.19</v>
      </c>
      <c r="D672" s="91">
        <f t="shared" si="90"/>
        <v>5.5769223378615528E-3</v>
      </c>
      <c r="E672" s="89">
        <f t="shared" si="91"/>
        <v>0.28737424884841367</v>
      </c>
      <c r="F672" s="89">
        <f t="shared" si="92"/>
        <v>0.58691553535171703</v>
      </c>
      <c r="G672" s="89">
        <f t="shared" si="93"/>
        <v>0.45337740331328291</v>
      </c>
      <c r="H672" s="90" t="str">
        <f t="shared" si="94"/>
        <v/>
      </c>
      <c r="I672" s="90" t="str">
        <f t="shared" si="95"/>
        <v/>
      </c>
      <c r="J672" s="90" t="str">
        <f t="shared" si="96"/>
        <v/>
      </c>
      <c r="K672" s="90" t="str">
        <f t="shared" si="97"/>
        <v/>
      </c>
      <c r="L672" s="90"/>
      <c r="M672" s="106">
        <f>IF(D672="","",ABS(D672-G$5))</f>
        <v>5.5769223378615528E-3</v>
      </c>
    </row>
    <row r="673" spans="2:13" ht="12.75" customHeight="1" x14ac:dyDescent="0.55000000000000004">
      <c r="B673" s="97">
        <v>45860</v>
      </c>
      <c r="C673" s="89">
        <v>6474.03</v>
      </c>
      <c r="D673" s="91">
        <f t="shared" si="90"/>
        <v>1.2975758520816788E-4</v>
      </c>
      <c r="E673" s="89">
        <f t="shared" si="91"/>
        <v>3.8583999547101989E-2</v>
      </c>
      <c r="F673" s="89">
        <f t="shared" si="92"/>
        <v>1.3655693584142661E-2</v>
      </c>
      <c r="G673" s="89">
        <f t="shared" si="93"/>
        <v>6.4151767502097848E-2</v>
      </c>
      <c r="H673" s="90" t="str">
        <f t="shared" si="94"/>
        <v/>
      </c>
      <c r="I673" s="90" t="str">
        <f t="shared" si="95"/>
        <v/>
      </c>
      <c r="J673" s="90" t="str">
        <f t="shared" si="96"/>
        <v/>
      </c>
      <c r="K673" s="90" t="str">
        <f t="shared" si="97"/>
        <v/>
      </c>
      <c r="L673" s="90"/>
      <c r="M673" s="106">
        <f>IF(D673="","",ABS(D673-G$5))</f>
        <v>1.2975758520816788E-4</v>
      </c>
    </row>
    <row r="674" spans="2:13" ht="12.75" customHeight="1" x14ac:dyDescent="0.55000000000000004">
      <c r="B674" s="97">
        <v>45861</v>
      </c>
      <c r="C674" s="89">
        <v>6524.75</v>
      </c>
      <c r="D674" s="91">
        <f t="shared" si="90"/>
        <v>7.8038488848925659E-3</v>
      </c>
      <c r="E674" s="89">
        <f t="shared" si="91"/>
        <v>0.42063349646381115</v>
      </c>
      <c r="F674" s="89">
        <f t="shared" si="92"/>
        <v>0.82127737640988541</v>
      </c>
      <c r="G674" s="89">
        <f t="shared" si="93"/>
        <v>0.71794701615061107</v>
      </c>
      <c r="H674" s="90" t="str">
        <f t="shared" si="94"/>
        <v/>
      </c>
      <c r="I674" s="90" t="str">
        <f t="shared" si="95"/>
        <v/>
      </c>
      <c r="J674" s="90" t="str">
        <f t="shared" si="96"/>
        <v/>
      </c>
      <c r="K674" s="90" t="str">
        <f t="shared" si="97"/>
        <v/>
      </c>
      <c r="L674" s="90"/>
      <c r="M674" s="106">
        <f>IF(D674="","",ABS(D674-G$5))</f>
        <v>7.8038488848925659E-3</v>
      </c>
    </row>
    <row r="675" spans="2:13" ht="12.75" customHeight="1" x14ac:dyDescent="0.55000000000000004">
      <c r="B675" s="97">
        <v>45862</v>
      </c>
      <c r="C675" s="89">
        <v>6500.04</v>
      </c>
      <c r="D675" s="91">
        <f t="shared" si="90"/>
        <v>-3.7943075696946819E-3</v>
      </c>
      <c r="E675" s="89">
        <f t="shared" si="91"/>
        <v>0.27339999329117837</v>
      </c>
      <c r="F675" s="89">
        <f t="shared" si="92"/>
        <v>0.39931308410694788</v>
      </c>
      <c r="G675" s="89">
        <f t="shared" si="93"/>
        <v>0.48604266088974851</v>
      </c>
      <c r="H675" s="90" t="str">
        <f t="shared" si="94"/>
        <v/>
      </c>
      <c r="I675" s="90" t="str">
        <f t="shared" si="95"/>
        <v/>
      </c>
      <c r="J675" s="90" t="str">
        <f t="shared" si="96"/>
        <v/>
      </c>
      <c r="K675" s="90" t="str">
        <f t="shared" si="97"/>
        <v/>
      </c>
      <c r="L675" s="90"/>
      <c r="M675" s="106">
        <f>IF(D675="","",ABS(D675-G$5))</f>
        <v>3.7943075696946819E-3</v>
      </c>
    </row>
    <row r="676" spans="2:13" ht="12.75" customHeight="1" x14ac:dyDescent="0.55000000000000004">
      <c r="B676" s="97">
        <v>45863</v>
      </c>
      <c r="C676" s="89">
        <v>6500.04</v>
      </c>
      <c r="D676" s="91">
        <f t="shared" si="90"/>
        <v>0</v>
      </c>
      <c r="E676" s="89">
        <f t="shared" si="91"/>
        <v>4.6348691292451449E-2</v>
      </c>
      <c r="F676" s="89">
        <f t="shared" si="92"/>
        <v>0</v>
      </c>
      <c r="G676" s="89">
        <f t="shared" si="93"/>
        <v>8.6821715710775405E-2</v>
      </c>
      <c r="H676" s="90" t="str">
        <f t="shared" si="94"/>
        <v/>
      </c>
      <c r="I676" s="90" t="str">
        <f t="shared" si="95"/>
        <v/>
      </c>
      <c r="J676" s="90" t="str">
        <f t="shared" si="96"/>
        <v/>
      </c>
      <c r="K676" s="90" t="str">
        <f t="shared" si="97"/>
        <v/>
      </c>
      <c r="L676" s="90"/>
      <c r="M676" s="106">
        <f>IF(D676="","",ABS(D676-G$5))</f>
        <v>0</v>
      </c>
    </row>
    <row r="677" spans="2:13" ht="12.75" customHeight="1" x14ac:dyDescent="0.55000000000000004">
      <c r="B677" s="97">
        <v>45866</v>
      </c>
      <c r="C677" s="89">
        <v>6525.03</v>
      </c>
      <c r="D677" s="91">
        <f t="shared" si="90"/>
        <v>3.8372201705266914E-3</v>
      </c>
      <c r="E677" s="89">
        <f t="shared" si="91"/>
        <v>0.18327050002786874</v>
      </c>
      <c r="F677" s="89">
        <f t="shared" si="92"/>
        <v>0.40382920797685834</v>
      </c>
      <c r="G677" s="89">
        <f t="shared" si="93"/>
        <v>0.35953153580013458</v>
      </c>
      <c r="H677" s="90" t="str">
        <f t="shared" si="94"/>
        <v/>
      </c>
      <c r="I677" s="90" t="str">
        <f t="shared" si="95"/>
        <v/>
      </c>
      <c r="J677" s="90" t="str">
        <f t="shared" si="96"/>
        <v/>
      </c>
      <c r="K677" s="90" t="str">
        <f t="shared" si="97"/>
        <v/>
      </c>
      <c r="L677" s="90"/>
      <c r="M677" s="106">
        <f>IF(D677="","",ABS(D677-G$5))</f>
        <v>3.8372201705266914E-3</v>
      </c>
    </row>
    <row r="678" spans="2:13" ht="12.75" customHeight="1" x14ac:dyDescent="0.55000000000000004">
      <c r="B678" s="97">
        <v>45867</v>
      </c>
      <c r="C678" s="89">
        <v>6552.49</v>
      </c>
      <c r="D678" s="91">
        <f t="shared" si="90"/>
        <v>4.1995791798596525E-3</v>
      </c>
      <c r="E678" s="89">
        <f t="shared" si="91"/>
        <v>0.2049540571325022</v>
      </c>
      <c r="F678" s="89">
        <f t="shared" si="92"/>
        <v>0.44196388496676992</v>
      </c>
      <c r="G678" s="89">
        <f t="shared" si="93"/>
        <v>0.42006245444929902</v>
      </c>
      <c r="H678" s="90" t="str">
        <f t="shared" si="94"/>
        <v/>
      </c>
      <c r="I678" s="90" t="str">
        <f t="shared" si="95"/>
        <v/>
      </c>
      <c r="J678" s="90" t="str">
        <f t="shared" si="96"/>
        <v/>
      </c>
      <c r="K678" s="90" t="str">
        <f t="shared" si="97"/>
        <v/>
      </c>
      <c r="L678" s="90"/>
      <c r="M678" s="106">
        <f>IF(D678="","",ABS(D678-G$5))</f>
        <v>4.1995791798596525E-3</v>
      </c>
    </row>
    <row r="679" spans="2:13" ht="12.75" customHeight="1" x14ac:dyDescent="0.55000000000000004">
      <c r="B679" s="97">
        <v>45868</v>
      </c>
      <c r="C679" s="89">
        <v>6495.09</v>
      </c>
      <c r="D679" s="91">
        <f t="shared" si="90"/>
        <v>-8.7986232397056652E-3</v>
      </c>
      <c r="E679" s="89">
        <f t="shared" si="91"/>
        <v>0.57285815993106826</v>
      </c>
      <c r="F679" s="89">
        <f t="shared" si="92"/>
        <v>0.92596747027143333</v>
      </c>
      <c r="G679" s="89">
        <f t="shared" si="93"/>
        <v>1.1524895956201027</v>
      </c>
      <c r="H679" s="90" t="str">
        <f t="shared" si="94"/>
        <v/>
      </c>
      <c r="I679" s="90" t="str">
        <f t="shared" si="95"/>
        <v/>
      </c>
      <c r="J679" s="90" t="str">
        <f t="shared" si="96"/>
        <v/>
      </c>
      <c r="K679" s="90" t="str">
        <f t="shared" si="97"/>
        <v/>
      </c>
      <c r="L679" s="90"/>
      <c r="M679" s="106">
        <f>IF(D679="","",ABS(D679-G$5))</f>
        <v>8.7986232397056652E-3</v>
      </c>
    </row>
    <row r="680" spans="2:13" ht="12.75" customHeight="1" x14ac:dyDescent="0.55000000000000004">
      <c r="B680" s="97">
        <v>45869</v>
      </c>
      <c r="C680" s="89">
        <v>6527.65</v>
      </c>
      <c r="D680" s="91">
        <f t="shared" si="90"/>
        <v>5.0004941888901521E-3</v>
      </c>
      <c r="E680" s="89">
        <f t="shared" si="91"/>
        <v>0.2528807979805906</v>
      </c>
      <c r="F680" s="89">
        <f t="shared" si="92"/>
        <v>0.52625221333474337</v>
      </c>
      <c r="G680" s="89">
        <f t="shared" si="93"/>
        <v>0.52872244968801352</v>
      </c>
      <c r="H680" s="90" t="str">
        <f t="shared" si="94"/>
        <v/>
      </c>
      <c r="I680" s="90" t="str">
        <f t="shared" si="95"/>
        <v/>
      </c>
      <c r="J680" s="90" t="str">
        <f t="shared" si="96"/>
        <v/>
      </c>
      <c r="K680" s="90" t="str">
        <f t="shared" si="97"/>
        <v/>
      </c>
      <c r="L680" s="90"/>
      <c r="M680" s="106">
        <f>IF(D680="","",ABS(D680-G$5))</f>
        <v>5.0004941888901521E-3</v>
      </c>
    </row>
    <row r="681" spans="2:13" ht="12.75" customHeight="1" x14ac:dyDescent="0.55000000000000004">
      <c r="B681" s="97">
        <v>45870</v>
      </c>
      <c r="C681" s="89">
        <v>6440.64</v>
      </c>
      <c r="D681" s="91">
        <f t="shared" si="90"/>
        <v>-1.3419086967885506E-2</v>
      </c>
      <c r="E681" s="89">
        <f t="shared" si="91"/>
        <v>0.84934663274233846</v>
      </c>
      <c r="F681" s="89">
        <f t="shared" si="92"/>
        <v>1.4122252623492226</v>
      </c>
      <c r="G681" s="89">
        <f t="shared" si="93"/>
        <v>1.6108164936760987</v>
      </c>
      <c r="H681" s="90" t="str">
        <f t="shared" si="94"/>
        <v/>
      </c>
      <c r="I681" s="90" t="str">
        <f t="shared" si="95"/>
        <v/>
      </c>
      <c r="J681" s="90" t="str">
        <f t="shared" si="96"/>
        <v/>
      </c>
      <c r="K681" s="90" t="str">
        <f t="shared" si="97"/>
        <v/>
      </c>
      <c r="L681" s="90"/>
      <c r="M681" s="106">
        <f>IF(D681="","",ABS(D681-G$5))</f>
        <v>1.3419086967885506E-2</v>
      </c>
    </row>
    <row r="682" spans="2:13" ht="12.75" customHeight="1" x14ac:dyDescent="0.55000000000000004">
      <c r="B682" s="97">
        <v>45873</v>
      </c>
      <c r="C682" s="89">
        <v>6392.89</v>
      </c>
      <c r="D682" s="91">
        <f t="shared" si="90"/>
        <v>-7.4414787433483781E-3</v>
      </c>
      <c r="E682" s="89">
        <f t="shared" si="91"/>
        <v>0.49164665579274552</v>
      </c>
      <c r="F682" s="89">
        <f t="shared" si="92"/>
        <v>0.7831415278656082</v>
      </c>
      <c r="G682" s="89">
        <f t="shared" si="93"/>
        <v>0.93857380130322499</v>
      </c>
      <c r="H682" s="90" t="str">
        <f t="shared" si="94"/>
        <v/>
      </c>
      <c r="I682" s="90" t="str">
        <f t="shared" si="95"/>
        <v/>
      </c>
      <c r="J682" s="90" t="str">
        <f t="shared" si="96"/>
        <v/>
      </c>
      <c r="K682" s="90" t="str">
        <f t="shared" si="97"/>
        <v/>
      </c>
      <c r="L682" s="90"/>
      <c r="M682" s="106">
        <f>IF(D682="","",ABS(D682-G$5))</f>
        <v>7.4414787433483781E-3</v>
      </c>
    </row>
    <row r="683" spans="2:13" ht="12.75" customHeight="1" x14ac:dyDescent="0.55000000000000004">
      <c r="B683" s="97">
        <v>45874</v>
      </c>
      <c r="C683" s="89">
        <v>6199.47</v>
      </c>
      <c r="D683" s="91">
        <f t="shared" si="90"/>
        <v>-3.0722630791023702E-2</v>
      </c>
      <c r="E683" s="89">
        <f t="shared" si="91"/>
        <v>1.884790407942591</v>
      </c>
      <c r="F683" s="89">
        <f t="shared" si="92"/>
        <v>3.2332509233113975</v>
      </c>
      <c r="G683" s="89">
        <f t="shared" si="93"/>
        <v>2.4288151362078643</v>
      </c>
      <c r="H683" s="90" t="str">
        <f t="shared" si="94"/>
        <v/>
      </c>
      <c r="I683" s="90" t="str">
        <f t="shared" si="95"/>
        <v>OUTLIER</v>
      </c>
      <c r="J683" s="90" t="str">
        <f t="shared" si="96"/>
        <v/>
      </c>
      <c r="K683" s="90" t="str">
        <f t="shared" si="97"/>
        <v/>
      </c>
      <c r="L683" s="90"/>
      <c r="M683" s="106">
        <f>IF(D683="","",ABS(D683-G$5))</f>
        <v>3.0722630791023702E-2</v>
      </c>
    </row>
    <row r="684" spans="2:13" ht="12.75" customHeight="1" x14ac:dyDescent="0.55000000000000004">
      <c r="B684" s="97">
        <v>45875</v>
      </c>
      <c r="C684" s="89">
        <v>6199.47</v>
      </c>
      <c r="D684" s="91">
        <f t="shared" si="90"/>
        <v>0</v>
      </c>
      <c r="E684" s="89">
        <f t="shared" si="91"/>
        <v>4.6348691292451449E-2</v>
      </c>
      <c r="F684" s="89">
        <f t="shared" si="92"/>
        <v>0</v>
      </c>
      <c r="G684" s="89">
        <f t="shared" si="93"/>
        <v>6.2945047621631528E-2</v>
      </c>
      <c r="H684" s="90" t="str">
        <f t="shared" si="94"/>
        <v/>
      </c>
      <c r="I684" s="90" t="str">
        <f t="shared" si="95"/>
        <v/>
      </c>
      <c r="J684" s="90" t="str">
        <f t="shared" si="96"/>
        <v/>
      </c>
      <c r="K684" s="90" t="str">
        <f t="shared" si="97"/>
        <v/>
      </c>
      <c r="L684" s="90"/>
      <c r="M684" s="106">
        <f>IF(D684="","",ABS(D684-G$5))</f>
        <v>0</v>
      </c>
    </row>
    <row r="685" spans="2:13" ht="12.75" customHeight="1" x14ac:dyDescent="0.55000000000000004">
      <c r="B685" s="97">
        <v>45876</v>
      </c>
      <c r="C685" s="89">
        <v>6199.47</v>
      </c>
      <c r="D685" s="91">
        <f t="shared" ref="D685:D748" si="98">IF(OR(C685="",C684=""),"",LN(C685/C684))</f>
        <v>0</v>
      </c>
      <c r="E685" s="89">
        <f t="shared" ref="E685:E748" si="99">IF(D685="","",ABS(D685-$E$5)/$F$5)</f>
        <v>4.6348691292451449E-2</v>
      </c>
      <c r="F685" s="89">
        <f t="shared" ref="F685:F748" si="100">IF(D685="","",ABS(D685-$G$5)/$H$5)</f>
        <v>0</v>
      </c>
      <c r="G685" s="89">
        <f t="shared" ref="G685:G748" si="101">IF(D685="","",ABS(D685-$E$5)/SQRT(0.9*(IF(G684="",($F$5)^2,(ABS(D684-$E$5)/MAX(G684,0.0000000001))^2))+0.1*(D685-$E$5)^2))</f>
        <v>6.6335306148199047E-2</v>
      </c>
      <c r="H685" s="90" t="str">
        <f t="shared" ref="H685:H748" si="102">IF(E685="","",IF(E685&gt;$I$5,"OUTLIER",""))</f>
        <v/>
      </c>
      <c r="I685" s="90" t="str">
        <f t="shared" ref="I685:I748" si="103">IF(F685="","",IF(F685&gt;$I$5,"OUTLIER",""))</f>
        <v/>
      </c>
      <c r="J685" s="90" t="str">
        <f t="shared" ref="J685:J748" si="104">IF(G685="","",IF(G685&gt;$I$5,"OUTLIER",""))</f>
        <v/>
      </c>
      <c r="K685" s="90" t="str">
        <f t="shared" ref="K685:K748" si="105">IF(C685="","MISSING","")</f>
        <v/>
      </c>
      <c r="L685" s="90"/>
      <c r="M685" s="106">
        <f>IF(D685="","",ABS(D685-G$5))</f>
        <v>0</v>
      </c>
    </row>
    <row r="686" spans="2:13" ht="12.75" customHeight="1" x14ac:dyDescent="0.55000000000000004">
      <c r="B686" s="97">
        <v>45877</v>
      </c>
      <c r="C686" s="89">
        <v>6393.01</v>
      </c>
      <c r="D686" s="91">
        <f t="shared" si="98"/>
        <v>3.0741401468098239E-2</v>
      </c>
      <c r="E686" s="89">
        <f t="shared" si="99"/>
        <v>1.7932162623623029</v>
      </c>
      <c r="F686" s="89">
        <f t="shared" si="100"/>
        <v>3.2352263501358527</v>
      </c>
      <c r="G686" s="89">
        <f t="shared" si="101"/>
        <v>2.0557027248813369</v>
      </c>
      <c r="H686" s="90" t="str">
        <f t="shared" si="102"/>
        <v/>
      </c>
      <c r="I686" s="90" t="str">
        <f t="shared" si="103"/>
        <v>OUTLIER</v>
      </c>
      <c r="J686" s="90" t="str">
        <f t="shared" si="104"/>
        <v/>
      </c>
      <c r="K686" s="90" t="str">
        <f t="shared" si="105"/>
        <v/>
      </c>
      <c r="L686" s="90"/>
      <c r="M686" s="106">
        <f>IF(D686="","",ABS(D686-G$5))</f>
        <v>3.0741401468098239E-2</v>
      </c>
    </row>
    <row r="687" spans="2:13" ht="12.75" customHeight="1" x14ac:dyDescent="0.55000000000000004">
      <c r="B687" s="97">
        <v>45880</v>
      </c>
      <c r="C687" s="89">
        <v>6399.96</v>
      </c>
      <c r="D687" s="91">
        <f t="shared" si="98"/>
        <v>1.0865343518728109E-3</v>
      </c>
      <c r="E687" s="89">
        <f t="shared" si="99"/>
        <v>1.8669506291071249E-2</v>
      </c>
      <c r="F687" s="89">
        <f t="shared" si="100"/>
        <v>0.11434691971199058</v>
      </c>
      <c r="G687" s="89">
        <f t="shared" si="101"/>
        <v>2.2559432471867123E-2</v>
      </c>
      <c r="H687" s="90" t="str">
        <f t="shared" si="102"/>
        <v/>
      </c>
      <c r="I687" s="90" t="str">
        <f t="shared" si="103"/>
        <v/>
      </c>
      <c r="J687" s="90" t="str">
        <f t="shared" si="104"/>
        <v/>
      </c>
      <c r="K687" s="90" t="str">
        <f t="shared" si="105"/>
        <v/>
      </c>
      <c r="L687" s="90"/>
      <c r="M687" s="106">
        <f>IF(D687="","",ABS(D687-G$5))</f>
        <v>1.0865343518728109E-3</v>
      </c>
    </row>
    <row r="688" spans="2:13" ht="12.75" customHeight="1" x14ac:dyDescent="0.55000000000000004">
      <c r="B688" s="97">
        <v>45881</v>
      </c>
      <c r="C688" s="89">
        <v>6419.39</v>
      </c>
      <c r="D688" s="91">
        <f t="shared" si="98"/>
        <v>3.0313572651851713E-3</v>
      </c>
      <c r="E688" s="89">
        <f t="shared" si="99"/>
        <v>0.13504767714664612</v>
      </c>
      <c r="F688" s="89">
        <f t="shared" si="100"/>
        <v>0.31902016279837231</v>
      </c>
      <c r="G688" s="89">
        <f t="shared" si="101"/>
        <v>0.17175905572475442</v>
      </c>
      <c r="H688" s="90" t="str">
        <f t="shared" si="102"/>
        <v/>
      </c>
      <c r="I688" s="90" t="str">
        <f t="shared" si="103"/>
        <v/>
      </c>
      <c r="J688" s="90" t="str">
        <f t="shared" si="104"/>
        <v/>
      </c>
      <c r="K688" s="90" t="str">
        <f t="shared" si="105"/>
        <v/>
      </c>
      <c r="L688" s="90"/>
      <c r="M688" s="106">
        <f>IF(D688="","",ABS(D688-G$5))</f>
        <v>3.0313572651851713E-3</v>
      </c>
    </row>
    <row r="689" spans="2:13" ht="12.75" customHeight="1" x14ac:dyDescent="0.55000000000000004">
      <c r="B689" s="97">
        <v>45882</v>
      </c>
      <c r="C689" s="89">
        <v>6497.98</v>
      </c>
      <c r="D689" s="91">
        <f t="shared" si="98"/>
        <v>1.2168261760777838E-2</v>
      </c>
      <c r="E689" s="89">
        <f t="shared" si="99"/>
        <v>0.68179989052329382</v>
      </c>
      <c r="F689" s="89">
        <f t="shared" si="100"/>
        <v>1.2805883663004751</v>
      </c>
      <c r="G689" s="89">
        <f t="shared" si="101"/>
        <v>0.87810026297987742</v>
      </c>
      <c r="H689" s="90" t="str">
        <f t="shared" si="102"/>
        <v/>
      </c>
      <c r="I689" s="90" t="str">
        <f t="shared" si="103"/>
        <v/>
      </c>
      <c r="J689" s="90" t="str">
        <f t="shared" si="104"/>
        <v/>
      </c>
      <c r="K689" s="90" t="str">
        <f t="shared" si="105"/>
        <v/>
      </c>
      <c r="L689" s="90"/>
      <c r="M689" s="106">
        <f>IF(D689="","",ABS(D689-G$5))</f>
        <v>1.2168261760777838E-2</v>
      </c>
    </row>
    <row r="690" spans="2:13" ht="12.75" customHeight="1" x14ac:dyDescent="0.55000000000000004">
      <c r="B690" s="97">
        <v>45883</v>
      </c>
      <c r="C690" s="89">
        <v>6546.21</v>
      </c>
      <c r="D690" s="91">
        <f t="shared" si="98"/>
        <v>7.3948968523024012E-3</v>
      </c>
      <c r="E690" s="89">
        <f t="shared" si="99"/>
        <v>0.39616181362074254</v>
      </c>
      <c r="F690" s="89">
        <f t="shared" si="100"/>
        <v>0.77823924774323017</v>
      </c>
      <c r="G690" s="89">
        <f t="shared" si="101"/>
        <v>0.53020842540265356</v>
      </c>
      <c r="H690" s="90" t="str">
        <f t="shared" si="102"/>
        <v/>
      </c>
      <c r="I690" s="90" t="str">
        <f t="shared" si="103"/>
        <v/>
      </c>
      <c r="J690" s="90" t="str">
        <f t="shared" si="104"/>
        <v/>
      </c>
      <c r="K690" s="90" t="str">
        <f t="shared" si="105"/>
        <v/>
      </c>
      <c r="L690" s="90"/>
      <c r="M690" s="106">
        <f>IF(D690="","",ABS(D690-G$5))</f>
        <v>7.3948968523024012E-3</v>
      </c>
    </row>
    <row r="691" spans="2:13" ht="12.75" customHeight="1" x14ac:dyDescent="0.55000000000000004">
      <c r="B691" s="97">
        <v>45884</v>
      </c>
      <c r="C691" s="89">
        <v>6546.21</v>
      </c>
      <c r="D691" s="91">
        <f t="shared" si="98"/>
        <v>0</v>
      </c>
      <c r="E691" s="89">
        <f t="shared" si="99"/>
        <v>4.6348691292451449E-2</v>
      </c>
      <c r="F691" s="89">
        <f t="shared" si="100"/>
        <v>0</v>
      </c>
      <c r="G691" s="89">
        <f t="shared" si="101"/>
        <v>6.537284934529082E-2</v>
      </c>
      <c r="H691" s="90" t="str">
        <f t="shared" si="102"/>
        <v/>
      </c>
      <c r="I691" s="90" t="str">
        <f t="shared" si="103"/>
        <v/>
      </c>
      <c r="J691" s="90" t="str">
        <f t="shared" si="104"/>
        <v/>
      </c>
      <c r="K691" s="90" t="str">
        <f t="shared" si="105"/>
        <v/>
      </c>
      <c r="L691" s="90"/>
      <c r="M691" s="106">
        <f>IF(D691="","",ABS(D691-G$5))</f>
        <v>0</v>
      </c>
    </row>
    <row r="692" spans="2:13" ht="12.75" customHeight="1" x14ac:dyDescent="0.55000000000000004">
      <c r="B692" s="97">
        <v>45887</v>
      </c>
      <c r="C692" s="89">
        <v>6585.84</v>
      </c>
      <c r="D692" s="91">
        <f t="shared" si="98"/>
        <v>6.0356334778310797E-3</v>
      </c>
      <c r="E692" s="89">
        <f t="shared" si="99"/>
        <v>0.3148235158512418</v>
      </c>
      <c r="F692" s="89">
        <f t="shared" si="100"/>
        <v>0.63519031451786279</v>
      </c>
      <c r="G692" s="89">
        <f t="shared" si="101"/>
        <v>0.46302010918497016</v>
      </c>
      <c r="H692" s="90" t="str">
        <f t="shared" si="102"/>
        <v/>
      </c>
      <c r="I692" s="90" t="str">
        <f t="shared" si="103"/>
        <v/>
      </c>
      <c r="J692" s="90" t="str">
        <f t="shared" si="104"/>
        <v/>
      </c>
      <c r="K692" s="90" t="str">
        <f t="shared" si="105"/>
        <v/>
      </c>
      <c r="L692" s="90"/>
      <c r="M692" s="106">
        <f>IF(D692="","",ABS(D692-G$5))</f>
        <v>6.0356334778310797E-3</v>
      </c>
    </row>
    <row r="693" spans="2:13" ht="12.75" customHeight="1" x14ac:dyDescent="0.55000000000000004">
      <c r="B693" s="97">
        <v>45888</v>
      </c>
      <c r="C693" s="89">
        <v>6559.72</v>
      </c>
      <c r="D693" s="91">
        <f t="shared" si="98"/>
        <v>-3.9739705839650172E-3</v>
      </c>
      <c r="E693" s="89">
        <f t="shared" si="99"/>
        <v>0.2841510250833581</v>
      </c>
      <c r="F693" s="89">
        <f t="shared" si="100"/>
        <v>0.41822082709047492</v>
      </c>
      <c r="G693" s="89">
        <f t="shared" si="101"/>
        <v>0.43630200425264476</v>
      </c>
      <c r="H693" s="90" t="str">
        <f t="shared" si="102"/>
        <v/>
      </c>
      <c r="I693" s="90" t="str">
        <f t="shared" si="103"/>
        <v/>
      </c>
      <c r="J693" s="90" t="str">
        <f t="shared" si="104"/>
        <v/>
      </c>
      <c r="K693" s="90" t="str">
        <f t="shared" si="105"/>
        <v/>
      </c>
      <c r="L693" s="90"/>
      <c r="M693" s="106">
        <f>IF(D693="","",ABS(D693-G$5))</f>
        <v>3.9739705839650172E-3</v>
      </c>
    </row>
    <row r="694" spans="2:13" ht="12.75" customHeight="1" x14ac:dyDescent="0.55000000000000004">
      <c r="B694" s="97">
        <v>45889</v>
      </c>
      <c r="C694" s="89">
        <v>6533.53</v>
      </c>
      <c r="D694" s="91">
        <f t="shared" si="98"/>
        <v>-4.0005399621056139E-3</v>
      </c>
      <c r="E694" s="89">
        <f t="shared" si="99"/>
        <v>0.28574093623033564</v>
      </c>
      <c r="F694" s="89">
        <f t="shared" si="100"/>
        <v>0.42101698953467531</v>
      </c>
      <c r="G694" s="89">
        <f t="shared" si="101"/>
        <v>0.45760812623623193</v>
      </c>
      <c r="H694" s="90" t="str">
        <f t="shared" si="102"/>
        <v/>
      </c>
      <c r="I694" s="90" t="str">
        <f t="shared" si="103"/>
        <v/>
      </c>
      <c r="J694" s="90" t="str">
        <f t="shared" si="104"/>
        <v/>
      </c>
      <c r="K694" s="90" t="str">
        <f t="shared" si="105"/>
        <v/>
      </c>
      <c r="L694" s="90"/>
      <c r="M694" s="106">
        <f>IF(D694="","",ABS(D694-G$5))</f>
        <v>4.0005399621056139E-3</v>
      </c>
    </row>
    <row r="695" spans="2:13" ht="12.75" customHeight="1" x14ac:dyDescent="0.55000000000000004">
      <c r="B695" s="97">
        <v>45890</v>
      </c>
      <c r="C695" s="89">
        <v>6533.53</v>
      </c>
      <c r="D695" s="91">
        <f t="shared" si="98"/>
        <v>0</v>
      </c>
      <c r="E695" s="89">
        <f t="shared" si="99"/>
        <v>4.6348691292451449E-2</v>
      </c>
      <c r="F695" s="89">
        <f t="shared" si="100"/>
        <v>0</v>
      </c>
      <c r="G695" s="89">
        <f t="shared" si="101"/>
        <v>7.8217619545048106E-2</v>
      </c>
      <c r="H695" s="90" t="str">
        <f t="shared" si="102"/>
        <v/>
      </c>
      <c r="I695" s="90" t="str">
        <f t="shared" si="103"/>
        <v/>
      </c>
      <c r="J695" s="90" t="str">
        <f t="shared" si="104"/>
        <v/>
      </c>
      <c r="K695" s="90" t="str">
        <f t="shared" si="105"/>
        <v/>
      </c>
      <c r="L695" s="90"/>
      <c r="M695" s="106">
        <f>IF(D695="","",ABS(D695-G$5))</f>
        <v>0</v>
      </c>
    </row>
    <row r="696" spans="2:13" ht="12.75" customHeight="1" x14ac:dyDescent="0.55000000000000004">
      <c r="B696" s="97">
        <v>45891</v>
      </c>
      <c r="C696" s="89">
        <v>6578.35</v>
      </c>
      <c r="D696" s="91">
        <f t="shared" si="98"/>
        <v>6.8365748571704524E-3</v>
      </c>
      <c r="E696" s="89">
        <f t="shared" si="99"/>
        <v>0.36275183469817551</v>
      </c>
      <c r="F696" s="89">
        <f t="shared" si="100"/>
        <v>0.71948141809822252</v>
      </c>
      <c r="G696" s="89">
        <f t="shared" si="101"/>
        <v>0.63226137635612201</v>
      </c>
      <c r="H696" s="90" t="str">
        <f t="shared" si="102"/>
        <v/>
      </c>
      <c r="I696" s="90" t="str">
        <f t="shared" si="103"/>
        <v/>
      </c>
      <c r="J696" s="90" t="str">
        <f t="shared" si="104"/>
        <v/>
      </c>
      <c r="K696" s="90" t="str">
        <f t="shared" si="105"/>
        <v/>
      </c>
      <c r="L696" s="90"/>
      <c r="M696" s="106">
        <f>IF(D696="","",ABS(D696-G$5))</f>
        <v>6.8365748571704524E-3</v>
      </c>
    </row>
    <row r="697" spans="2:13" ht="12.75" customHeight="1" x14ac:dyDescent="0.55000000000000004">
      <c r="B697" s="97">
        <v>45894</v>
      </c>
      <c r="C697" s="89">
        <v>6606.32</v>
      </c>
      <c r="D697" s="91">
        <f t="shared" si="98"/>
        <v>4.2428125934720548E-3</v>
      </c>
      <c r="E697" s="89">
        <f t="shared" si="99"/>
        <v>0.20754114388554981</v>
      </c>
      <c r="F697" s="89">
        <f t="shared" si="100"/>
        <v>0.44651377118683427</v>
      </c>
      <c r="G697" s="89">
        <f t="shared" si="101"/>
        <v>0.3785607417620207</v>
      </c>
      <c r="H697" s="90" t="str">
        <f t="shared" si="102"/>
        <v/>
      </c>
      <c r="I697" s="90" t="str">
        <f t="shared" si="103"/>
        <v/>
      </c>
      <c r="J697" s="90" t="str">
        <f t="shared" si="104"/>
        <v/>
      </c>
      <c r="K697" s="90" t="str">
        <f t="shared" si="105"/>
        <v/>
      </c>
      <c r="L697" s="90"/>
      <c r="M697" s="106">
        <f>IF(D697="","",ABS(D697-G$5))</f>
        <v>4.2428125934720548E-3</v>
      </c>
    </row>
    <row r="698" spans="2:13" ht="12.75" customHeight="1" x14ac:dyDescent="0.55000000000000004">
      <c r="B698" s="97">
        <v>45895</v>
      </c>
      <c r="C698" s="89">
        <v>6617.64</v>
      </c>
      <c r="D698" s="91">
        <f t="shared" si="98"/>
        <v>1.7120443142599013E-3</v>
      </c>
      <c r="E698" s="89">
        <f t="shared" si="99"/>
        <v>5.6100012059108341E-2</v>
      </c>
      <c r="F698" s="89">
        <f t="shared" si="100"/>
        <v>0.18017561378396554</v>
      </c>
      <c r="G698" s="89">
        <f t="shared" si="101"/>
        <v>0.10780045044590206</v>
      </c>
      <c r="H698" s="90" t="str">
        <f t="shared" si="102"/>
        <v/>
      </c>
      <c r="I698" s="90" t="str">
        <f t="shared" si="103"/>
        <v/>
      </c>
      <c r="J698" s="90" t="str">
        <f t="shared" si="104"/>
        <v/>
      </c>
      <c r="K698" s="90" t="str">
        <f t="shared" si="105"/>
        <v/>
      </c>
      <c r="L698" s="90"/>
      <c r="M698" s="106">
        <f>IF(D698="","",ABS(D698-G$5))</f>
        <v>1.7120443142599013E-3</v>
      </c>
    </row>
    <row r="699" spans="2:13" ht="12.75" customHeight="1" x14ac:dyDescent="0.55000000000000004">
      <c r="B699" s="97">
        <v>45896</v>
      </c>
      <c r="C699" s="89">
        <v>6618.96</v>
      </c>
      <c r="D699" s="91">
        <f t="shared" si="98"/>
        <v>1.9944698855840597E-4</v>
      </c>
      <c r="E699" s="89">
        <f t="shared" si="99"/>
        <v>3.4413786807216157E-2</v>
      </c>
      <c r="F699" s="89">
        <f t="shared" si="100"/>
        <v>2.0989809248254696E-2</v>
      </c>
      <c r="G699" s="89">
        <f t="shared" si="101"/>
        <v>6.9688857750655961E-2</v>
      </c>
      <c r="H699" s="90" t="str">
        <f t="shared" si="102"/>
        <v/>
      </c>
      <c r="I699" s="90" t="str">
        <f t="shared" si="103"/>
        <v/>
      </c>
      <c r="J699" s="90" t="str">
        <f t="shared" si="104"/>
        <v/>
      </c>
      <c r="K699" s="90" t="str">
        <f t="shared" si="105"/>
        <v/>
      </c>
      <c r="L699" s="90"/>
      <c r="M699" s="106">
        <f>IF(D699="","",ABS(D699-G$5))</f>
        <v>1.9944698855840597E-4</v>
      </c>
    </row>
    <row r="700" spans="2:13" ht="12.75" customHeight="1" x14ac:dyDescent="0.55000000000000004">
      <c r="B700" s="97">
        <v>45897</v>
      </c>
      <c r="C700" s="89">
        <v>6618.96</v>
      </c>
      <c r="D700" s="91">
        <f t="shared" si="98"/>
        <v>0</v>
      </c>
      <c r="E700" s="89">
        <f t="shared" si="99"/>
        <v>4.6348691292451449E-2</v>
      </c>
      <c r="F700" s="89">
        <f t="shared" si="100"/>
        <v>0</v>
      </c>
      <c r="G700" s="89">
        <f t="shared" si="101"/>
        <v>9.888596669766328E-2</v>
      </c>
      <c r="H700" s="90" t="str">
        <f t="shared" si="102"/>
        <v/>
      </c>
      <c r="I700" s="90" t="str">
        <f t="shared" si="103"/>
        <v/>
      </c>
      <c r="J700" s="90" t="str">
        <f t="shared" si="104"/>
        <v/>
      </c>
      <c r="K700" s="90" t="str">
        <f t="shared" si="105"/>
        <v/>
      </c>
      <c r="L700" s="90"/>
      <c r="M700" s="106">
        <f>IF(D700="","",ABS(D700-G$5))</f>
        <v>0</v>
      </c>
    </row>
    <row r="701" spans="2:13" ht="12.75" customHeight="1" x14ac:dyDescent="0.55000000000000004">
      <c r="B701" s="97">
        <v>45898</v>
      </c>
      <c r="C701" s="89">
        <v>6555</v>
      </c>
      <c r="D701" s="91">
        <f t="shared" si="98"/>
        <v>-9.7101406939183992E-3</v>
      </c>
      <c r="E701" s="89">
        <f t="shared" si="99"/>
        <v>0.62740334926326036</v>
      </c>
      <c r="F701" s="89">
        <f t="shared" si="100"/>
        <v>1.0218956045023357</v>
      </c>
      <c r="G701" s="89">
        <f t="shared" si="101"/>
        <v>1.2885379091817171</v>
      </c>
      <c r="H701" s="90" t="str">
        <f t="shared" si="102"/>
        <v/>
      </c>
      <c r="I701" s="90" t="str">
        <f t="shared" si="103"/>
        <v/>
      </c>
      <c r="J701" s="90" t="str">
        <f t="shared" si="104"/>
        <v/>
      </c>
      <c r="K701" s="90" t="str">
        <f t="shared" si="105"/>
        <v/>
      </c>
      <c r="L701" s="90"/>
      <c r="M701" s="106">
        <f>IF(D701="","",ABS(D701-G$5))</f>
        <v>9.7101406939183992E-3</v>
      </c>
    </row>
    <row r="702" spans="2:13" ht="12.75" customHeight="1" x14ac:dyDescent="0.55000000000000004">
      <c r="B702" s="97">
        <v>45901</v>
      </c>
      <c r="C702" s="89"/>
      <c r="D702" s="91" t="str">
        <f t="shared" si="98"/>
        <v/>
      </c>
      <c r="E702" s="89" t="str">
        <f t="shared" si="99"/>
        <v/>
      </c>
      <c r="F702" s="89" t="str">
        <f t="shared" si="100"/>
        <v/>
      </c>
      <c r="G702" s="89" t="str">
        <f t="shared" si="101"/>
        <v/>
      </c>
      <c r="H702" s="90" t="str">
        <f t="shared" si="102"/>
        <v/>
      </c>
      <c r="I702" s="90" t="str">
        <f t="shared" si="103"/>
        <v/>
      </c>
      <c r="J702" s="90" t="str">
        <f t="shared" si="104"/>
        <v/>
      </c>
      <c r="K702" s="90" t="str">
        <f t="shared" si="105"/>
        <v>MISSING</v>
      </c>
      <c r="L702" s="90"/>
      <c r="M702" s="106" t="str">
        <f>IF(D702="","",ABS(D702-G$5))</f>
        <v/>
      </c>
    </row>
    <row r="703" spans="2:13" ht="12.75" customHeight="1" x14ac:dyDescent="0.55000000000000004">
      <c r="B703" s="97">
        <v>45902</v>
      </c>
      <c r="C703" s="89">
        <v>6528.04</v>
      </c>
      <c r="D703" s="91" t="str">
        <f t="shared" si="98"/>
        <v/>
      </c>
      <c r="E703" s="89" t="str">
        <f t="shared" si="99"/>
        <v/>
      </c>
      <c r="F703" s="89" t="str">
        <f t="shared" si="100"/>
        <v/>
      </c>
      <c r="G703" s="89" t="str">
        <f t="shared" si="101"/>
        <v/>
      </c>
      <c r="H703" s="90" t="str">
        <f t="shared" si="102"/>
        <v/>
      </c>
      <c r="I703" s="90" t="str">
        <f t="shared" si="103"/>
        <v/>
      </c>
      <c r="J703" s="90" t="str">
        <f t="shared" si="104"/>
        <v/>
      </c>
      <c r="K703" s="90" t="str">
        <f t="shared" si="105"/>
        <v/>
      </c>
      <c r="L703" s="90"/>
      <c r="M703" s="106" t="str">
        <f>IF(D703="","",ABS(D703-G$5))</f>
        <v/>
      </c>
    </row>
    <row r="704" spans="2:13" ht="12.75" customHeight="1" x14ac:dyDescent="0.55000000000000004">
      <c r="B704" s="97">
        <v>45903</v>
      </c>
      <c r="C704" s="89">
        <v>6438.31</v>
      </c>
      <c r="D704" s="91">
        <f t="shared" si="98"/>
        <v>-1.3840661776772414E-2</v>
      </c>
      <c r="E704" s="89">
        <f t="shared" si="99"/>
        <v>0.87457366230951172</v>
      </c>
      <c r="F704" s="89">
        <f t="shared" si="100"/>
        <v>1.4565918125105672</v>
      </c>
      <c r="G704" s="89">
        <f t="shared" si="101"/>
        <v>0.88504012225292572</v>
      </c>
      <c r="H704" s="90" t="str">
        <f t="shared" si="102"/>
        <v/>
      </c>
      <c r="I704" s="90" t="str">
        <f t="shared" si="103"/>
        <v/>
      </c>
      <c r="J704" s="90" t="str">
        <f t="shared" si="104"/>
        <v/>
      </c>
      <c r="K704" s="90" t="str">
        <f t="shared" si="105"/>
        <v/>
      </c>
      <c r="L704" s="90"/>
      <c r="M704" s="106">
        <f>IF(D704="","",ABS(D704-G$5))</f>
        <v>1.3840661776772414E-2</v>
      </c>
    </row>
    <row r="705" spans="2:13" ht="12.75" customHeight="1" x14ac:dyDescent="0.55000000000000004">
      <c r="B705" s="97">
        <v>45904</v>
      </c>
      <c r="C705" s="89">
        <v>6557.23</v>
      </c>
      <c r="D705" s="91">
        <f t="shared" si="98"/>
        <v>1.8302174365985559E-2</v>
      </c>
      <c r="E705" s="89">
        <f t="shared" si="99"/>
        <v>1.0488531190181269</v>
      </c>
      <c r="F705" s="89">
        <f t="shared" si="100"/>
        <v>1.9261215802104565</v>
      </c>
      <c r="G705" s="89">
        <f t="shared" si="101"/>
        <v>1.0547506833075451</v>
      </c>
      <c r="H705" s="90" t="str">
        <f t="shared" si="102"/>
        <v/>
      </c>
      <c r="I705" s="90" t="str">
        <f t="shared" si="103"/>
        <v/>
      </c>
      <c r="J705" s="90" t="str">
        <f t="shared" si="104"/>
        <v/>
      </c>
      <c r="K705" s="90" t="str">
        <f t="shared" si="105"/>
        <v/>
      </c>
      <c r="L705" s="90"/>
      <c r="M705" s="106">
        <f>IF(D705="","",ABS(D705-G$5))</f>
        <v>1.8302174365985559E-2</v>
      </c>
    </row>
    <row r="706" spans="2:13" ht="12.75" customHeight="1" x14ac:dyDescent="0.55000000000000004">
      <c r="B706" s="97">
        <v>45905</v>
      </c>
      <c r="C706" s="89">
        <v>6557.23</v>
      </c>
      <c r="D706" s="91">
        <f t="shared" si="98"/>
        <v>0</v>
      </c>
      <c r="E706" s="89">
        <f t="shared" si="99"/>
        <v>4.6348691292451449E-2</v>
      </c>
      <c r="F706" s="89">
        <f t="shared" si="100"/>
        <v>0</v>
      </c>
      <c r="G706" s="89">
        <f t="shared" si="101"/>
        <v>4.9124591691279945E-2</v>
      </c>
      <c r="H706" s="90" t="str">
        <f t="shared" si="102"/>
        <v/>
      </c>
      <c r="I706" s="90" t="str">
        <f t="shared" si="103"/>
        <v/>
      </c>
      <c r="J706" s="90" t="str">
        <f t="shared" si="104"/>
        <v/>
      </c>
      <c r="K706" s="90" t="str">
        <f t="shared" si="105"/>
        <v/>
      </c>
      <c r="L706" s="90"/>
      <c r="M706" s="106">
        <f>IF(D706="","",ABS(D706-G$5))</f>
        <v>0</v>
      </c>
    </row>
    <row r="707" spans="2:13" ht="12.75" customHeight="1" x14ac:dyDescent="0.55000000000000004">
      <c r="B707" s="97">
        <v>45908</v>
      </c>
      <c r="C707" s="89">
        <v>6451.76</v>
      </c>
      <c r="D707" s="91">
        <f t="shared" si="98"/>
        <v>-1.6215295880252195E-2</v>
      </c>
      <c r="E707" s="89">
        <f t="shared" si="99"/>
        <v>1.0166717276513912</v>
      </c>
      <c r="F707" s="89">
        <f t="shared" si="100"/>
        <v>1.7064984028617416</v>
      </c>
      <c r="G707" s="89">
        <f t="shared" si="101"/>
        <v>1.0689835316068788</v>
      </c>
      <c r="H707" s="90" t="str">
        <f t="shared" si="102"/>
        <v/>
      </c>
      <c r="I707" s="90" t="str">
        <f t="shared" si="103"/>
        <v/>
      </c>
      <c r="J707" s="90" t="str">
        <f t="shared" si="104"/>
        <v/>
      </c>
      <c r="K707" s="90" t="str">
        <f t="shared" si="105"/>
        <v/>
      </c>
      <c r="L707" s="90"/>
      <c r="M707" s="106">
        <f>IF(D707="","",ABS(D707-G$5))</f>
        <v>1.6215295880252195E-2</v>
      </c>
    </row>
    <row r="708" spans="2:13" ht="12.75" customHeight="1" x14ac:dyDescent="0.55000000000000004">
      <c r="B708" s="97">
        <v>45909</v>
      </c>
      <c r="C708" s="89">
        <v>6376.57</v>
      </c>
      <c r="D708" s="91">
        <f t="shared" si="98"/>
        <v>-1.1722626569269786E-2</v>
      </c>
      <c r="E708" s="89">
        <f t="shared" si="99"/>
        <v>0.74783047064428976</v>
      </c>
      <c r="F708" s="89">
        <f t="shared" si="100"/>
        <v>1.2336897004862037</v>
      </c>
      <c r="G708" s="89">
        <f t="shared" si="101"/>
        <v>0.80176051403207182</v>
      </c>
      <c r="H708" s="90" t="str">
        <f t="shared" si="102"/>
        <v/>
      </c>
      <c r="I708" s="90" t="str">
        <f t="shared" si="103"/>
        <v/>
      </c>
      <c r="J708" s="90" t="str">
        <f t="shared" si="104"/>
        <v/>
      </c>
      <c r="K708" s="90" t="str">
        <f t="shared" si="105"/>
        <v/>
      </c>
      <c r="L708" s="90"/>
      <c r="M708" s="106">
        <f>IF(D708="","",ABS(D708-G$5))</f>
        <v>1.1722626569269786E-2</v>
      </c>
    </row>
    <row r="709" spans="2:13" ht="12.75" customHeight="1" x14ac:dyDescent="0.55000000000000004">
      <c r="B709" s="97">
        <v>45910</v>
      </c>
      <c r="C709" s="89">
        <v>6438.31</v>
      </c>
      <c r="D709" s="91">
        <f t="shared" si="98"/>
        <v>9.6357480835364134E-3</v>
      </c>
      <c r="E709" s="89">
        <f t="shared" si="99"/>
        <v>0.53025431410774804</v>
      </c>
      <c r="F709" s="89">
        <f t="shared" si="100"/>
        <v>1.0140665231374879</v>
      </c>
      <c r="G709" s="89">
        <f t="shared" si="101"/>
        <v>0.58876713894649213</v>
      </c>
      <c r="H709" s="90" t="str">
        <f t="shared" si="102"/>
        <v/>
      </c>
      <c r="I709" s="90" t="str">
        <f t="shared" si="103"/>
        <v/>
      </c>
      <c r="J709" s="90" t="str">
        <f t="shared" si="104"/>
        <v/>
      </c>
      <c r="K709" s="90" t="str">
        <f t="shared" si="105"/>
        <v/>
      </c>
      <c r="L709" s="90"/>
      <c r="M709" s="106">
        <f>IF(D709="","",ABS(D709-G$5))</f>
        <v>9.6357480835364134E-3</v>
      </c>
    </row>
    <row r="710" spans="2:13" ht="12.75" customHeight="1" x14ac:dyDescent="0.55000000000000004">
      <c r="B710" s="97">
        <v>45911</v>
      </c>
      <c r="C710" s="89">
        <v>6523.49</v>
      </c>
      <c r="D710" s="91">
        <f t="shared" si="98"/>
        <v>1.3143425485804544E-2</v>
      </c>
      <c r="E710" s="89">
        <f t="shared" si="99"/>
        <v>0.74015367164469581</v>
      </c>
      <c r="F710" s="89">
        <f t="shared" si="100"/>
        <v>1.3832146366797546</v>
      </c>
      <c r="G710" s="89">
        <f t="shared" si="101"/>
        <v>0.83550054045210231</v>
      </c>
      <c r="H710" s="90" t="str">
        <f t="shared" si="102"/>
        <v/>
      </c>
      <c r="I710" s="90" t="str">
        <f t="shared" si="103"/>
        <v/>
      </c>
      <c r="J710" s="90" t="str">
        <f t="shared" si="104"/>
        <v/>
      </c>
      <c r="K710" s="90" t="str">
        <f t="shared" si="105"/>
        <v/>
      </c>
      <c r="L710" s="90"/>
      <c r="M710" s="106">
        <f>IF(D710="","",ABS(D710-G$5))</f>
        <v>1.3143425485804544E-2</v>
      </c>
    </row>
    <row r="711" spans="2:13" ht="12.75" customHeight="1" x14ac:dyDescent="0.55000000000000004">
      <c r="B711" s="97">
        <v>45912</v>
      </c>
      <c r="C711" s="89">
        <v>6606.32</v>
      </c>
      <c r="D711" s="91">
        <f t="shared" si="98"/>
        <v>1.2617257803717618E-2</v>
      </c>
      <c r="E711" s="89">
        <f t="shared" si="99"/>
        <v>0.70866780628109749</v>
      </c>
      <c r="F711" s="89">
        <f t="shared" si="100"/>
        <v>1.3278407282571327</v>
      </c>
      <c r="G711" s="89">
        <f t="shared" si="101"/>
        <v>0.81476152861851203</v>
      </c>
      <c r="H711" s="90" t="str">
        <f t="shared" si="102"/>
        <v/>
      </c>
      <c r="I711" s="90" t="str">
        <f t="shared" si="103"/>
        <v/>
      </c>
      <c r="J711" s="90" t="str">
        <f t="shared" si="104"/>
        <v/>
      </c>
      <c r="K711" s="90" t="str">
        <f t="shared" si="105"/>
        <v/>
      </c>
      <c r="L711" s="90"/>
      <c r="M711" s="106">
        <f>IF(D711="","",ABS(D711-G$5))</f>
        <v>1.2617257803717618E-2</v>
      </c>
    </row>
    <row r="712" spans="2:13" ht="12.75" customHeight="1" x14ac:dyDescent="0.55000000000000004">
      <c r="B712" s="97">
        <v>45915</v>
      </c>
      <c r="C712" s="89">
        <v>6547.01</v>
      </c>
      <c r="D712" s="91">
        <f t="shared" si="98"/>
        <v>-9.018309731837721E-3</v>
      </c>
      <c r="E712" s="89">
        <f t="shared" si="99"/>
        <v>0.58600419597424802</v>
      </c>
      <c r="F712" s="89">
        <f t="shared" si="100"/>
        <v>0.94908728570509537</v>
      </c>
      <c r="G712" s="89">
        <f t="shared" si="101"/>
        <v>0.69291925314984948</v>
      </c>
      <c r="H712" s="90" t="str">
        <f t="shared" si="102"/>
        <v/>
      </c>
      <c r="I712" s="90" t="str">
        <f t="shared" si="103"/>
        <v/>
      </c>
      <c r="J712" s="90" t="str">
        <f t="shared" si="104"/>
        <v/>
      </c>
      <c r="K712" s="90" t="str">
        <f t="shared" si="105"/>
        <v/>
      </c>
      <c r="L712" s="90"/>
      <c r="M712" s="106">
        <f>IF(D712="","",ABS(D712-G$5))</f>
        <v>9.018309731837721E-3</v>
      </c>
    </row>
    <row r="713" spans="2:13" ht="12.75" customHeight="1" x14ac:dyDescent="0.55000000000000004">
      <c r="B713" s="97">
        <v>45916</v>
      </c>
      <c r="C713" s="89">
        <v>6619.34</v>
      </c>
      <c r="D713" s="91">
        <f t="shared" si="98"/>
        <v>1.0987210218630623E-2</v>
      </c>
      <c r="E713" s="89">
        <f t="shared" si="99"/>
        <v>0.61112578584239485</v>
      </c>
      <c r="F713" s="89">
        <f t="shared" si="100"/>
        <v>1.1562944536111512</v>
      </c>
      <c r="G713" s="89">
        <f t="shared" si="101"/>
        <v>0.74053260846880975</v>
      </c>
      <c r="H713" s="90" t="str">
        <f t="shared" si="102"/>
        <v/>
      </c>
      <c r="I713" s="90" t="str">
        <f t="shared" si="103"/>
        <v/>
      </c>
      <c r="J713" s="90" t="str">
        <f t="shared" si="104"/>
        <v/>
      </c>
      <c r="K713" s="90" t="str">
        <f t="shared" si="105"/>
        <v/>
      </c>
      <c r="L713" s="90"/>
      <c r="M713" s="106">
        <f>IF(D713="","",ABS(D713-G$5))</f>
        <v>1.0987210218630623E-2</v>
      </c>
    </row>
    <row r="714" spans="2:13" ht="12.75" customHeight="1" x14ac:dyDescent="0.55000000000000004">
      <c r="B714" s="97">
        <v>45917</v>
      </c>
      <c r="C714" s="89">
        <v>6643.33</v>
      </c>
      <c r="D714" s="91">
        <f t="shared" si="98"/>
        <v>3.617676706765278E-3</v>
      </c>
      <c r="E714" s="89">
        <f t="shared" si="99"/>
        <v>0.17013302280001441</v>
      </c>
      <c r="F714" s="89">
        <f t="shared" si="100"/>
        <v>0.38072444485478329</v>
      </c>
      <c r="G714" s="89">
        <f t="shared" si="101"/>
        <v>0.21679931288651402</v>
      </c>
      <c r="H714" s="90" t="str">
        <f t="shared" si="102"/>
        <v/>
      </c>
      <c r="I714" s="90" t="str">
        <f t="shared" si="103"/>
        <v/>
      </c>
      <c r="J714" s="90" t="str">
        <f t="shared" si="104"/>
        <v/>
      </c>
      <c r="K714" s="90" t="str">
        <f t="shared" si="105"/>
        <v/>
      </c>
      <c r="L714" s="90"/>
      <c r="M714" s="106">
        <f>IF(D714="","",ABS(D714-G$5))</f>
        <v>3.617676706765278E-3</v>
      </c>
    </row>
    <row r="715" spans="2:13" ht="12.75" customHeight="1" x14ac:dyDescent="0.55000000000000004">
      <c r="B715" s="97">
        <v>45918</v>
      </c>
      <c r="C715" s="89">
        <v>6591.54</v>
      </c>
      <c r="D715" s="91">
        <f t="shared" si="98"/>
        <v>-7.8263351813945784E-3</v>
      </c>
      <c r="E715" s="89">
        <f t="shared" si="99"/>
        <v>0.51467645865820322</v>
      </c>
      <c r="F715" s="89">
        <f t="shared" si="100"/>
        <v>0.82364383517513629</v>
      </c>
      <c r="G715" s="89">
        <f t="shared" si="101"/>
        <v>0.67537437336383543</v>
      </c>
      <c r="H715" s="90" t="str">
        <f t="shared" si="102"/>
        <v/>
      </c>
      <c r="I715" s="90" t="str">
        <f t="shared" si="103"/>
        <v/>
      </c>
      <c r="J715" s="90" t="str">
        <f t="shared" si="104"/>
        <v/>
      </c>
      <c r="K715" s="90" t="str">
        <f t="shared" si="105"/>
        <v/>
      </c>
      <c r="L715" s="90"/>
      <c r="M715" s="106">
        <f>IF(D715="","",ABS(D715-G$5))</f>
        <v>7.8263351813945784E-3</v>
      </c>
    </row>
    <row r="716" spans="2:13" ht="12.75" customHeight="1" x14ac:dyDescent="0.55000000000000004">
      <c r="B716" s="97">
        <v>45919</v>
      </c>
      <c r="C716" s="89">
        <v>6525.94</v>
      </c>
      <c r="D716" s="91">
        <f t="shared" si="98"/>
        <v>-1.0002004483320552E-2</v>
      </c>
      <c r="E716" s="89">
        <f t="shared" si="99"/>
        <v>0.64486847357720034</v>
      </c>
      <c r="F716" s="89">
        <f t="shared" si="100"/>
        <v>1.0526113616581776</v>
      </c>
      <c r="G716" s="89">
        <f t="shared" si="101"/>
        <v>0.85849116577391926</v>
      </c>
      <c r="H716" s="90" t="str">
        <f t="shared" si="102"/>
        <v/>
      </c>
      <c r="I716" s="90" t="str">
        <f t="shared" si="103"/>
        <v/>
      </c>
      <c r="J716" s="90" t="str">
        <f t="shared" si="104"/>
        <v/>
      </c>
      <c r="K716" s="90" t="str">
        <f t="shared" si="105"/>
        <v/>
      </c>
      <c r="L716" s="90"/>
      <c r="M716" s="106">
        <f>IF(D716="","",ABS(D716-G$5))</f>
        <v>1.0002004483320552E-2</v>
      </c>
    </row>
    <row r="717" spans="2:13" ht="12.75" customHeight="1" x14ac:dyDescent="0.55000000000000004">
      <c r="B717" s="97">
        <v>45922</v>
      </c>
      <c r="C717" s="89">
        <v>6447.61</v>
      </c>
      <c r="D717" s="91">
        <f t="shared" si="98"/>
        <v>-1.2075484631469759E-2</v>
      </c>
      <c r="E717" s="89">
        <f t="shared" si="99"/>
        <v>0.76894549123016664</v>
      </c>
      <c r="F717" s="89">
        <f t="shared" si="100"/>
        <v>1.2708244974105372</v>
      </c>
      <c r="G717" s="89">
        <f t="shared" si="101"/>
        <v>1.0212276247940255</v>
      </c>
      <c r="H717" s="90" t="str">
        <f t="shared" si="102"/>
        <v/>
      </c>
      <c r="I717" s="90" t="str">
        <f t="shared" si="103"/>
        <v/>
      </c>
      <c r="J717" s="90" t="str">
        <f t="shared" si="104"/>
        <v/>
      </c>
      <c r="K717" s="90" t="str">
        <f t="shared" si="105"/>
        <v/>
      </c>
      <c r="L717" s="90"/>
      <c r="M717" s="106">
        <f>IF(D717="","",ABS(D717-G$5))</f>
        <v>1.2075484631469759E-2</v>
      </c>
    </row>
    <row r="718" spans="2:13" ht="12.75" customHeight="1" x14ac:dyDescent="0.55000000000000004">
      <c r="B718" s="97">
        <v>45923</v>
      </c>
      <c r="C718" s="89">
        <v>6454.43</v>
      </c>
      <c r="D718" s="91">
        <f t="shared" si="98"/>
        <v>1.0571972548848515E-3</v>
      </c>
      <c r="E718" s="89">
        <f t="shared" si="99"/>
        <v>1.6913974894201614E-2</v>
      </c>
      <c r="F718" s="89">
        <f t="shared" si="100"/>
        <v>0.11125948242288609</v>
      </c>
      <c r="G718" s="89">
        <f t="shared" si="101"/>
        <v>2.3677685734218974E-2</v>
      </c>
      <c r="H718" s="90" t="str">
        <f t="shared" si="102"/>
        <v/>
      </c>
      <c r="I718" s="90" t="str">
        <f t="shared" si="103"/>
        <v/>
      </c>
      <c r="J718" s="90" t="str">
        <f t="shared" si="104"/>
        <v/>
      </c>
      <c r="K718" s="90" t="str">
        <f t="shared" si="105"/>
        <v/>
      </c>
      <c r="L718" s="90"/>
      <c r="M718" s="106">
        <f>IF(D718="","",ABS(D718-G$5))</f>
        <v>1.0571972548848515E-3</v>
      </c>
    </row>
    <row r="719" spans="2:13" ht="12.75" customHeight="1" x14ac:dyDescent="0.55000000000000004">
      <c r="B719" s="97">
        <v>45924</v>
      </c>
      <c r="C719" s="89">
        <v>6449.3</v>
      </c>
      <c r="D719" s="91">
        <f t="shared" si="98"/>
        <v>-7.9511897261828435E-4</v>
      </c>
      <c r="E719" s="89">
        <f t="shared" si="99"/>
        <v>9.3928597417826151E-2</v>
      </c>
      <c r="F719" s="89">
        <f t="shared" si="100"/>
        <v>8.3678353258458571E-2</v>
      </c>
      <c r="G719" s="89">
        <f t="shared" si="101"/>
        <v>0.13846926944078108</v>
      </c>
      <c r="H719" s="90" t="str">
        <f t="shared" si="102"/>
        <v/>
      </c>
      <c r="I719" s="90" t="str">
        <f t="shared" si="103"/>
        <v/>
      </c>
      <c r="J719" s="90" t="str">
        <f t="shared" si="104"/>
        <v/>
      </c>
      <c r="K719" s="90" t="str">
        <f t="shared" si="105"/>
        <v/>
      </c>
      <c r="L719" s="90"/>
      <c r="M719" s="106">
        <f>IF(D719="","",ABS(D719-G$5))</f>
        <v>7.9511897261828435E-4</v>
      </c>
    </row>
    <row r="720" spans="2:13" ht="12.75" customHeight="1" x14ac:dyDescent="0.55000000000000004">
      <c r="B720" s="97">
        <v>45925</v>
      </c>
      <c r="C720" s="89">
        <v>6376.15</v>
      </c>
      <c r="D720" s="91">
        <f t="shared" si="98"/>
        <v>-1.1407130853759042E-2</v>
      </c>
      <c r="E720" s="89">
        <f t="shared" si="99"/>
        <v>0.72895121226421633</v>
      </c>
      <c r="F720" s="89">
        <f t="shared" si="100"/>
        <v>1.2004869184583724</v>
      </c>
      <c r="G720" s="89">
        <f t="shared" si="101"/>
        <v>1.0663954080803515</v>
      </c>
      <c r="H720" s="90" t="str">
        <f t="shared" si="102"/>
        <v/>
      </c>
      <c r="I720" s="90" t="str">
        <f t="shared" si="103"/>
        <v/>
      </c>
      <c r="J720" s="90" t="str">
        <f t="shared" si="104"/>
        <v/>
      </c>
      <c r="K720" s="90" t="str">
        <f t="shared" si="105"/>
        <v/>
      </c>
      <c r="L720" s="90"/>
      <c r="M720" s="106">
        <f>IF(D720="","",ABS(D720-G$5))</f>
        <v>1.1407130853759042E-2</v>
      </c>
    </row>
    <row r="721" spans="2:13" ht="12.75" customHeight="1" x14ac:dyDescent="0.55000000000000004">
      <c r="B721" s="97">
        <v>45926</v>
      </c>
      <c r="C721" s="89">
        <v>6349.78</v>
      </c>
      <c r="D721" s="91">
        <f t="shared" si="98"/>
        <v>-4.1443002975099898E-3</v>
      </c>
      <c r="E721" s="89">
        <f t="shared" si="99"/>
        <v>0.29434355231503112</v>
      </c>
      <c r="F721" s="89">
        <f t="shared" si="100"/>
        <v>0.43614633312323153</v>
      </c>
      <c r="G721" s="89">
        <f t="shared" si="101"/>
        <v>0.4492880846712986</v>
      </c>
      <c r="H721" s="90" t="str">
        <f t="shared" si="102"/>
        <v/>
      </c>
      <c r="I721" s="90" t="str">
        <f t="shared" si="103"/>
        <v/>
      </c>
      <c r="J721" s="90" t="str">
        <f t="shared" si="104"/>
        <v/>
      </c>
      <c r="K721" s="90" t="str">
        <f t="shared" si="105"/>
        <v/>
      </c>
      <c r="L721" s="90"/>
      <c r="M721" s="106">
        <f>IF(D721="","",ABS(D721-G$5))</f>
        <v>4.1443002975099898E-3</v>
      </c>
    </row>
    <row r="722" spans="2:13" ht="12.75" customHeight="1" x14ac:dyDescent="0.55000000000000004">
      <c r="B722" s="97">
        <v>45929</v>
      </c>
      <c r="C722" s="89">
        <v>6349.78</v>
      </c>
      <c r="D722" s="91">
        <f t="shared" si="98"/>
        <v>0</v>
      </c>
      <c r="E722" s="89">
        <f t="shared" si="99"/>
        <v>4.6348691292451449E-2</v>
      </c>
      <c r="F722" s="89">
        <f t="shared" si="100"/>
        <v>0</v>
      </c>
      <c r="G722" s="89">
        <f t="shared" si="101"/>
        <v>7.4553127643158704E-2</v>
      </c>
      <c r="H722" s="90" t="str">
        <f t="shared" si="102"/>
        <v/>
      </c>
      <c r="I722" s="90" t="str">
        <f t="shared" si="103"/>
        <v/>
      </c>
      <c r="J722" s="90" t="str">
        <f t="shared" si="104"/>
        <v/>
      </c>
      <c r="K722" s="90" t="str">
        <f t="shared" si="105"/>
        <v/>
      </c>
      <c r="L722" s="90"/>
      <c r="M722" s="106">
        <f>IF(D722="","",ABS(D722-G$5))</f>
        <v>0</v>
      </c>
    </row>
    <row r="723" spans="2:13" ht="12.75" customHeight="1" x14ac:dyDescent="0.55000000000000004">
      <c r="B723" s="97">
        <v>45930</v>
      </c>
      <c r="C723" s="89">
        <v>6528.04</v>
      </c>
      <c r="D723" s="91">
        <f t="shared" si="98"/>
        <v>2.7686578458879584E-2</v>
      </c>
      <c r="E723" s="89">
        <f t="shared" si="99"/>
        <v>1.6104157041896883</v>
      </c>
      <c r="F723" s="89">
        <f t="shared" si="100"/>
        <v>2.9137366514738847</v>
      </c>
      <c r="G723" s="89">
        <f t="shared" si="101"/>
        <v>2.0666936528435973</v>
      </c>
      <c r="H723" s="90" t="str">
        <f t="shared" si="102"/>
        <v/>
      </c>
      <c r="I723" s="90" t="str">
        <f t="shared" si="103"/>
        <v/>
      </c>
      <c r="J723" s="90" t="str">
        <f t="shared" si="104"/>
        <v/>
      </c>
      <c r="K723" s="90" t="str">
        <f t="shared" si="105"/>
        <v/>
      </c>
      <c r="L723" s="90"/>
      <c r="M723" s="106">
        <f>IF(D723="","",ABS(D723-G$5))</f>
        <v>2.7686578458879584E-2</v>
      </c>
    </row>
    <row r="724" spans="2:13" ht="12.75" customHeight="1" x14ac:dyDescent="0.55000000000000004">
      <c r="B724" s="97">
        <v>45931</v>
      </c>
      <c r="C724" s="89">
        <v>6551.05</v>
      </c>
      <c r="D724" s="91">
        <f t="shared" si="98"/>
        <v>3.5185970491299653E-3</v>
      </c>
      <c r="E724" s="89">
        <f t="shared" si="99"/>
        <v>0.16420409773148181</v>
      </c>
      <c r="F724" s="89">
        <f t="shared" si="100"/>
        <v>0.37029729762544028</v>
      </c>
      <c r="G724" s="89">
        <f t="shared" si="101"/>
        <v>0.22158077066441509</v>
      </c>
      <c r="H724" s="90" t="str">
        <f t="shared" si="102"/>
        <v/>
      </c>
      <c r="I724" s="90" t="str">
        <f t="shared" si="103"/>
        <v/>
      </c>
      <c r="J724" s="90" t="str">
        <f t="shared" si="104"/>
        <v/>
      </c>
      <c r="K724" s="90" t="str">
        <f t="shared" si="105"/>
        <v/>
      </c>
      <c r="L724" s="90"/>
      <c r="M724" s="106">
        <f>IF(D724="","",ABS(D724-G$5))</f>
        <v>3.5185970491299653E-3</v>
      </c>
    </row>
    <row r="725" spans="2:13" ht="12.75" customHeight="1" x14ac:dyDescent="0.55000000000000004">
      <c r="B725" s="97">
        <v>45932</v>
      </c>
      <c r="C725" s="89">
        <v>6551.05</v>
      </c>
      <c r="D725" s="91">
        <f t="shared" si="98"/>
        <v>0</v>
      </c>
      <c r="E725" s="89">
        <f t="shared" si="99"/>
        <v>4.6348691292451449E-2</v>
      </c>
      <c r="F725" s="89">
        <f t="shared" si="100"/>
        <v>0</v>
      </c>
      <c r="G725" s="89">
        <f t="shared" si="101"/>
        <v>6.5912826973234986E-2</v>
      </c>
      <c r="H725" s="90" t="str">
        <f t="shared" si="102"/>
        <v/>
      </c>
      <c r="I725" s="90" t="str">
        <f t="shared" si="103"/>
        <v/>
      </c>
      <c r="J725" s="90" t="str">
        <f t="shared" si="104"/>
        <v/>
      </c>
      <c r="K725" s="90" t="str">
        <f t="shared" si="105"/>
        <v/>
      </c>
      <c r="L725" s="90"/>
      <c r="M725" s="106">
        <f>IF(D725="","",ABS(D725-G$5))</f>
        <v>0</v>
      </c>
    </row>
    <row r="726" spans="2:13" ht="12.75" customHeight="1" x14ac:dyDescent="0.55000000000000004">
      <c r="B726" s="97">
        <v>45933</v>
      </c>
      <c r="C726" s="89">
        <v>6551.05</v>
      </c>
      <c r="D726" s="91">
        <f t="shared" si="98"/>
        <v>0</v>
      </c>
      <c r="E726" s="89">
        <f t="shared" si="99"/>
        <v>4.6348691292451449E-2</v>
      </c>
      <c r="F726" s="89">
        <f t="shared" si="100"/>
        <v>0</v>
      </c>
      <c r="G726" s="89">
        <f t="shared" si="101"/>
        <v>6.9461456810765973E-2</v>
      </c>
      <c r="H726" s="90" t="str">
        <f t="shared" si="102"/>
        <v/>
      </c>
      <c r="I726" s="90" t="str">
        <f t="shared" si="103"/>
        <v/>
      </c>
      <c r="J726" s="90" t="str">
        <f t="shared" si="104"/>
        <v/>
      </c>
      <c r="K726" s="90" t="str">
        <f t="shared" si="105"/>
        <v/>
      </c>
      <c r="L726" s="90"/>
      <c r="M726" s="106">
        <f>IF(D726="","",ABS(D726-G$5))</f>
        <v>0</v>
      </c>
    </row>
    <row r="727" spans="2:13" ht="12.75" customHeight="1" x14ac:dyDescent="0.55000000000000004">
      <c r="B727" s="97">
        <v>45936</v>
      </c>
      <c r="C727" s="89">
        <v>6613.79</v>
      </c>
      <c r="D727" s="91">
        <f t="shared" si="98"/>
        <v>9.5315210808198936E-3</v>
      </c>
      <c r="E727" s="89">
        <f t="shared" si="99"/>
        <v>0.52401737199498333</v>
      </c>
      <c r="F727" s="89">
        <f t="shared" si="100"/>
        <v>1.0030976691008855</v>
      </c>
      <c r="G727" s="89">
        <f t="shared" si="101"/>
        <v>0.80082586694485292</v>
      </c>
      <c r="H727" s="90" t="str">
        <f t="shared" si="102"/>
        <v/>
      </c>
      <c r="I727" s="90" t="str">
        <f t="shared" si="103"/>
        <v/>
      </c>
      <c r="J727" s="90" t="str">
        <f t="shared" si="104"/>
        <v/>
      </c>
      <c r="K727" s="90" t="str">
        <f t="shared" si="105"/>
        <v/>
      </c>
      <c r="L727" s="90"/>
      <c r="M727" s="106">
        <f>IF(D727="","",ABS(D727-G$5))</f>
        <v>9.5315210808198936E-3</v>
      </c>
    </row>
    <row r="728" spans="2:13" ht="12.75" customHeight="1" x14ac:dyDescent="0.55000000000000004">
      <c r="B728" s="97">
        <v>45937</v>
      </c>
      <c r="C728" s="89">
        <v>6613.79</v>
      </c>
      <c r="D728" s="91">
        <f t="shared" si="98"/>
        <v>0</v>
      </c>
      <c r="E728" s="89">
        <f t="shared" si="99"/>
        <v>4.6348691292451449E-2</v>
      </c>
      <c r="F728" s="89">
        <f t="shared" si="100"/>
        <v>0</v>
      </c>
      <c r="G728" s="89">
        <f t="shared" si="101"/>
        <v>7.4642746458021283E-2</v>
      </c>
      <c r="H728" s="90" t="str">
        <f t="shared" si="102"/>
        <v/>
      </c>
      <c r="I728" s="90" t="str">
        <f t="shared" si="103"/>
        <v/>
      </c>
      <c r="J728" s="90" t="str">
        <f t="shared" si="104"/>
        <v/>
      </c>
      <c r="K728" s="90" t="str">
        <f t="shared" si="105"/>
        <v/>
      </c>
      <c r="L728" s="90"/>
      <c r="M728" s="106">
        <f>IF(D728="","",ABS(D728-G$5))</f>
        <v>0</v>
      </c>
    </row>
    <row r="729" spans="2:13" ht="12.75" customHeight="1" x14ac:dyDescent="0.55000000000000004">
      <c r="B729" s="97">
        <v>45938</v>
      </c>
      <c r="C729" s="89">
        <v>6613.79</v>
      </c>
      <c r="D729" s="91">
        <f t="shared" si="98"/>
        <v>0</v>
      </c>
      <c r="E729" s="89">
        <f t="shared" si="99"/>
        <v>4.6348691292451449E-2</v>
      </c>
      <c r="F729" s="89">
        <f t="shared" si="100"/>
        <v>0</v>
      </c>
      <c r="G729" s="89">
        <f t="shared" si="101"/>
        <v>7.8656020576445759E-2</v>
      </c>
      <c r="H729" s="90" t="str">
        <f t="shared" si="102"/>
        <v/>
      </c>
      <c r="I729" s="90" t="str">
        <f t="shared" si="103"/>
        <v/>
      </c>
      <c r="J729" s="90" t="str">
        <f t="shared" si="104"/>
        <v/>
      </c>
      <c r="K729" s="90" t="str">
        <f t="shared" si="105"/>
        <v/>
      </c>
      <c r="L729" s="90"/>
      <c r="M729" s="106">
        <f>IF(D729="","",ABS(D729-G$5))</f>
        <v>0</v>
      </c>
    </row>
    <row r="730" spans="2:13" ht="12.75" customHeight="1" x14ac:dyDescent="0.55000000000000004">
      <c r="B730" s="97">
        <v>45939</v>
      </c>
      <c r="C730" s="89">
        <v>6613.79</v>
      </c>
      <c r="D730" s="91">
        <f t="shared" si="98"/>
        <v>0</v>
      </c>
      <c r="E730" s="89">
        <f t="shared" si="99"/>
        <v>4.6348691292451449E-2</v>
      </c>
      <c r="F730" s="89">
        <f t="shared" si="100"/>
        <v>0</v>
      </c>
      <c r="G730" s="89">
        <f t="shared" si="101"/>
        <v>8.288224305514455E-2</v>
      </c>
      <c r="H730" s="90" t="str">
        <f t="shared" si="102"/>
        <v/>
      </c>
      <c r="I730" s="90" t="str">
        <f t="shared" si="103"/>
        <v/>
      </c>
      <c r="J730" s="90" t="str">
        <f t="shared" si="104"/>
        <v/>
      </c>
      <c r="K730" s="90" t="str">
        <f t="shared" si="105"/>
        <v/>
      </c>
      <c r="L730" s="90"/>
      <c r="M730" s="106">
        <f>IF(D730="","",ABS(D730-G$5))</f>
        <v>0</v>
      </c>
    </row>
    <row r="731" spans="2:13" ht="12.75" customHeight="1" x14ac:dyDescent="0.55000000000000004">
      <c r="B731" s="97">
        <v>45940</v>
      </c>
      <c r="C731" s="89">
        <v>6825.24</v>
      </c>
      <c r="D731" s="91">
        <f t="shared" si="98"/>
        <v>3.1470642063956597E-2</v>
      </c>
      <c r="E731" s="89">
        <f t="shared" si="99"/>
        <v>1.8368540075157069</v>
      </c>
      <c r="F731" s="89">
        <f t="shared" si="100"/>
        <v>3.3119716603247209</v>
      </c>
      <c r="G731" s="89">
        <f t="shared" si="101"/>
        <v>2.3349755620887809</v>
      </c>
      <c r="H731" s="90" t="str">
        <f t="shared" si="102"/>
        <v/>
      </c>
      <c r="I731" s="90" t="str">
        <f t="shared" si="103"/>
        <v>OUTLIER</v>
      </c>
      <c r="J731" s="90" t="str">
        <f t="shared" si="104"/>
        <v/>
      </c>
      <c r="K731" s="90" t="str">
        <f t="shared" si="105"/>
        <v/>
      </c>
      <c r="L731" s="90"/>
      <c r="M731" s="106">
        <f>IF(D731="","",ABS(D731-G$5))</f>
        <v>3.1470642063956597E-2</v>
      </c>
    </row>
    <row r="732" spans="2:13" ht="12.75" customHeight="1" x14ac:dyDescent="0.55000000000000004">
      <c r="B732" s="97">
        <v>45943</v>
      </c>
      <c r="C732" s="89">
        <v>6849.67</v>
      </c>
      <c r="D732" s="91">
        <f t="shared" si="98"/>
        <v>3.5729706432708706E-3</v>
      </c>
      <c r="E732" s="89">
        <f t="shared" si="99"/>
        <v>0.16745781270246826</v>
      </c>
      <c r="F732" s="89">
        <f t="shared" si="100"/>
        <v>0.37601957690079468</v>
      </c>
      <c r="G732" s="89">
        <f t="shared" si="101"/>
        <v>0.22382124408542856</v>
      </c>
      <c r="H732" s="90" t="str">
        <f t="shared" si="102"/>
        <v/>
      </c>
      <c r="I732" s="90" t="str">
        <f t="shared" si="103"/>
        <v/>
      </c>
      <c r="J732" s="90" t="str">
        <f t="shared" si="104"/>
        <v/>
      </c>
      <c r="K732" s="90" t="str">
        <f t="shared" si="105"/>
        <v/>
      </c>
      <c r="L732" s="90"/>
      <c r="M732" s="106">
        <f>IF(D732="","",ABS(D732-G$5))</f>
        <v>3.5729706432708706E-3</v>
      </c>
    </row>
    <row r="733" spans="2:13" ht="12.75" customHeight="1" x14ac:dyDescent="0.55000000000000004">
      <c r="B733" s="97">
        <v>45944</v>
      </c>
      <c r="C733" s="89">
        <v>6787.61</v>
      </c>
      <c r="D733" s="91">
        <f t="shared" si="98"/>
        <v>-9.1015845409468943E-3</v>
      </c>
      <c r="E733" s="89">
        <f t="shared" si="99"/>
        <v>0.59098735916927991</v>
      </c>
      <c r="F733" s="89">
        <f t="shared" si="100"/>
        <v>0.95785113002794164</v>
      </c>
      <c r="G733" s="89">
        <f t="shared" si="101"/>
        <v>0.80518830153730225</v>
      </c>
      <c r="H733" s="90" t="str">
        <f t="shared" si="102"/>
        <v/>
      </c>
      <c r="I733" s="90" t="str">
        <f t="shared" si="103"/>
        <v/>
      </c>
      <c r="J733" s="90" t="str">
        <f t="shared" si="104"/>
        <v/>
      </c>
      <c r="K733" s="90" t="str">
        <f t="shared" si="105"/>
        <v/>
      </c>
      <c r="L733" s="90"/>
      <c r="M733" s="106">
        <f>IF(D733="","",ABS(D733-G$5))</f>
        <v>9.1015845409468943E-3</v>
      </c>
    </row>
    <row r="734" spans="2:13" ht="12.75" customHeight="1" x14ac:dyDescent="0.55000000000000004">
      <c r="B734" s="97">
        <v>45945</v>
      </c>
      <c r="C734" s="89">
        <v>6711.33</v>
      </c>
      <c r="D734" s="91">
        <f t="shared" si="98"/>
        <v>-1.1301748423540953E-2</v>
      </c>
      <c r="E734" s="89">
        <f t="shared" si="99"/>
        <v>0.72264512938893355</v>
      </c>
      <c r="F734" s="89">
        <f t="shared" si="100"/>
        <v>1.189396467184161</v>
      </c>
      <c r="G734" s="89">
        <f t="shared" si="101"/>
        <v>0.9860763218350761</v>
      </c>
      <c r="H734" s="90" t="str">
        <f t="shared" si="102"/>
        <v/>
      </c>
      <c r="I734" s="90" t="str">
        <f t="shared" si="103"/>
        <v/>
      </c>
      <c r="J734" s="90" t="str">
        <f t="shared" si="104"/>
        <v/>
      </c>
      <c r="K734" s="90" t="str">
        <f t="shared" si="105"/>
        <v/>
      </c>
      <c r="L734" s="90"/>
      <c r="M734" s="106">
        <f>IF(D734="","",ABS(D734-G$5))</f>
        <v>1.1301748423540953E-2</v>
      </c>
    </row>
    <row r="735" spans="2:13" ht="12.75" customHeight="1" x14ac:dyDescent="0.55000000000000004">
      <c r="B735" s="97">
        <v>45946</v>
      </c>
      <c r="C735" s="89">
        <v>6776.89</v>
      </c>
      <c r="D735" s="91">
        <f t="shared" si="98"/>
        <v>9.7211516847299246E-3</v>
      </c>
      <c r="E735" s="89">
        <f t="shared" si="99"/>
        <v>0.53536486418577645</v>
      </c>
      <c r="F735" s="89">
        <f t="shared" si="100"/>
        <v>1.0230544016265175</v>
      </c>
      <c r="G735" s="89">
        <f t="shared" si="101"/>
        <v>0.74817866300987512</v>
      </c>
      <c r="H735" s="90" t="str">
        <f t="shared" si="102"/>
        <v/>
      </c>
      <c r="I735" s="90" t="str">
        <f t="shared" si="103"/>
        <v/>
      </c>
      <c r="J735" s="90" t="str">
        <f t="shared" si="104"/>
        <v/>
      </c>
      <c r="K735" s="90" t="str">
        <f t="shared" si="105"/>
        <v/>
      </c>
      <c r="L735" s="90"/>
      <c r="M735" s="106">
        <f>IF(D735="","",ABS(D735-G$5))</f>
        <v>9.7211516847299246E-3</v>
      </c>
    </row>
    <row r="736" spans="2:13" ht="12.75" customHeight="1" x14ac:dyDescent="0.55000000000000004">
      <c r="B736" s="97">
        <v>45947</v>
      </c>
      <c r="C736" s="89">
        <v>6776.89</v>
      </c>
      <c r="D736" s="91">
        <f t="shared" si="98"/>
        <v>0</v>
      </c>
      <c r="E736" s="89">
        <f t="shared" si="99"/>
        <v>4.6348691292451449E-2</v>
      </c>
      <c r="F736" s="89">
        <f t="shared" si="100"/>
        <v>0</v>
      </c>
      <c r="G736" s="89">
        <f t="shared" si="101"/>
        <v>6.8260658072719013E-2</v>
      </c>
      <c r="H736" s="90" t="str">
        <f t="shared" si="102"/>
        <v/>
      </c>
      <c r="I736" s="90" t="str">
        <f t="shared" si="103"/>
        <v/>
      </c>
      <c r="J736" s="90" t="str">
        <f t="shared" si="104"/>
        <v/>
      </c>
      <c r="K736" s="90" t="str">
        <f t="shared" si="105"/>
        <v/>
      </c>
      <c r="L736" s="90"/>
      <c r="M736" s="106">
        <f>IF(D736="","",ABS(D736-G$5))</f>
        <v>0</v>
      </c>
    </row>
    <row r="737" spans="2:13" ht="12.75" customHeight="1" x14ac:dyDescent="0.55000000000000004">
      <c r="B737" s="97">
        <v>45950</v>
      </c>
      <c r="C737" s="89">
        <v>6862.63</v>
      </c>
      <c r="D737" s="91">
        <f t="shared" si="98"/>
        <v>1.2572455538487468E-2</v>
      </c>
      <c r="E737" s="89">
        <f t="shared" si="99"/>
        <v>0.70598683947328111</v>
      </c>
      <c r="F737" s="89">
        <f t="shared" si="100"/>
        <v>1.3231257360285327</v>
      </c>
      <c r="G737" s="89">
        <f t="shared" si="101"/>
        <v>1.0355617395024292</v>
      </c>
      <c r="H737" s="90" t="str">
        <f t="shared" si="102"/>
        <v/>
      </c>
      <c r="I737" s="90" t="str">
        <f t="shared" si="103"/>
        <v/>
      </c>
      <c r="J737" s="90" t="str">
        <f t="shared" si="104"/>
        <v/>
      </c>
      <c r="K737" s="90" t="str">
        <f t="shared" si="105"/>
        <v/>
      </c>
      <c r="L737" s="90"/>
      <c r="M737" s="106">
        <f>IF(D737="","",ABS(D737-G$5))</f>
        <v>1.2572455538487468E-2</v>
      </c>
    </row>
    <row r="738" spans="2:13" ht="12.75" customHeight="1" x14ac:dyDescent="0.55000000000000004">
      <c r="B738" s="97">
        <v>45951</v>
      </c>
      <c r="C738" s="89">
        <v>6818.01</v>
      </c>
      <c r="D738" s="91">
        <f t="shared" si="98"/>
        <v>-6.5231097695056077E-3</v>
      </c>
      <c r="E738" s="89">
        <f t="shared" si="99"/>
        <v>0.43669147163960254</v>
      </c>
      <c r="F738" s="89">
        <f t="shared" si="100"/>
        <v>0.68649233942809884</v>
      </c>
      <c r="G738" s="89">
        <f t="shared" si="101"/>
        <v>0.66031660902116507</v>
      </c>
      <c r="H738" s="90" t="str">
        <f t="shared" si="102"/>
        <v/>
      </c>
      <c r="I738" s="90" t="str">
        <f t="shared" si="103"/>
        <v/>
      </c>
      <c r="J738" s="90" t="str">
        <f t="shared" si="104"/>
        <v/>
      </c>
      <c r="K738" s="90" t="str">
        <f t="shared" si="105"/>
        <v/>
      </c>
      <c r="L738" s="90"/>
      <c r="M738" s="106">
        <f>IF(D738="","",ABS(D738-G$5))</f>
        <v>6.5231097695056077E-3</v>
      </c>
    </row>
    <row r="739" spans="2:13" ht="12.75" customHeight="1" x14ac:dyDescent="0.55000000000000004">
      <c r="B739" s="97">
        <v>45952</v>
      </c>
      <c r="C739" s="89">
        <v>6772.64</v>
      </c>
      <c r="D739" s="91">
        <f t="shared" si="98"/>
        <v>-6.676673822335554E-3</v>
      </c>
      <c r="E739" s="89">
        <f t="shared" si="99"/>
        <v>0.44588074201233785</v>
      </c>
      <c r="F739" s="89">
        <f t="shared" si="100"/>
        <v>0.70265342664023078</v>
      </c>
      <c r="G739" s="89">
        <f t="shared" si="101"/>
        <v>0.69338674478798745</v>
      </c>
      <c r="H739" s="90" t="str">
        <f t="shared" si="102"/>
        <v/>
      </c>
      <c r="I739" s="90" t="str">
        <f t="shared" si="103"/>
        <v/>
      </c>
      <c r="J739" s="90" t="str">
        <f t="shared" si="104"/>
        <v/>
      </c>
      <c r="K739" s="90" t="str">
        <f t="shared" si="105"/>
        <v/>
      </c>
      <c r="L739" s="90"/>
      <c r="M739" s="106">
        <f>IF(D739="","",ABS(D739-G$5))</f>
        <v>6.676673822335554E-3</v>
      </c>
    </row>
    <row r="740" spans="2:13" ht="12.75" customHeight="1" x14ac:dyDescent="0.55000000000000004">
      <c r="B740" s="97">
        <v>45953</v>
      </c>
      <c r="C740" s="89">
        <v>6711.33</v>
      </c>
      <c r="D740" s="91">
        <f t="shared" si="98"/>
        <v>-9.0938236313761259E-3</v>
      </c>
      <c r="E740" s="89">
        <f t="shared" si="99"/>
        <v>0.5905229464693682</v>
      </c>
      <c r="F740" s="89">
        <f t="shared" si="100"/>
        <v>0.95703437158670968</v>
      </c>
      <c r="G740" s="89">
        <f t="shared" si="101"/>
        <v>0.92559930308790161</v>
      </c>
      <c r="H740" s="90" t="str">
        <f t="shared" si="102"/>
        <v/>
      </c>
      <c r="I740" s="90" t="str">
        <f t="shared" si="103"/>
        <v/>
      </c>
      <c r="J740" s="90" t="str">
        <f t="shared" si="104"/>
        <v/>
      </c>
      <c r="K740" s="90" t="str">
        <f t="shared" si="105"/>
        <v/>
      </c>
      <c r="L740" s="90"/>
      <c r="M740" s="106">
        <f>IF(D740="","",ABS(D740-G$5))</f>
        <v>9.0938236313761259E-3</v>
      </c>
    </row>
    <row r="741" spans="2:13" ht="12.75" customHeight="1" x14ac:dyDescent="0.55000000000000004">
      <c r="B741" s="97">
        <v>45954</v>
      </c>
      <c r="C741" s="89">
        <v>6711.33</v>
      </c>
      <c r="D741" s="91">
        <f t="shared" si="98"/>
        <v>0</v>
      </c>
      <c r="E741" s="89">
        <f t="shared" si="99"/>
        <v>4.6348691292451449E-2</v>
      </c>
      <c r="F741" s="89">
        <f t="shared" si="100"/>
        <v>0</v>
      </c>
      <c r="G741" s="89">
        <f t="shared" si="101"/>
        <v>7.6555282072650471E-2</v>
      </c>
      <c r="H741" s="90" t="str">
        <f t="shared" si="102"/>
        <v/>
      </c>
      <c r="I741" s="90" t="str">
        <f t="shared" si="103"/>
        <v/>
      </c>
      <c r="J741" s="90" t="str">
        <f t="shared" si="104"/>
        <v/>
      </c>
      <c r="K741" s="90" t="str">
        <f t="shared" si="105"/>
        <v/>
      </c>
      <c r="L741" s="90"/>
      <c r="M741" s="106">
        <f>IF(D741="","",ABS(D741-G$5))</f>
        <v>0</v>
      </c>
    </row>
    <row r="742" spans="2:13" ht="12.75" customHeight="1" x14ac:dyDescent="0.55000000000000004">
      <c r="B742" s="97">
        <v>45957</v>
      </c>
      <c r="C742" s="89">
        <v>6857.93</v>
      </c>
      <c r="D742" s="91">
        <f t="shared" si="98"/>
        <v>2.1608503964482263E-2</v>
      </c>
      <c r="E742" s="89">
        <f t="shared" si="99"/>
        <v>1.2467038273190387</v>
      </c>
      <c r="F742" s="89">
        <f t="shared" si="100"/>
        <v>2.2740798426335638</v>
      </c>
      <c r="G742" s="89">
        <f t="shared" si="101"/>
        <v>1.789580360242734</v>
      </c>
      <c r="H742" s="90" t="str">
        <f t="shared" si="102"/>
        <v/>
      </c>
      <c r="I742" s="90" t="str">
        <f t="shared" si="103"/>
        <v/>
      </c>
      <c r="J742" s="90" t="str">
        <f t="shared" si="104"/>
        <v/>
      </c>
      <c r="K742" s="90" t="str">
        <f t="shared" si="105"/>
        <v/>
      </c>
      <c r="L742" s="90"/>
      <c r="M742" s="106">
        <f>IF(D742="","",ABS(D742-G$5))</f>
        <v>2.1608503964482263E-2</v>
      </c>
    </row>
    <row r="743" spans="2:13" ht="12.75" customHeight="1" x14ac:dyDescent="0.55000000000000004">
      <c r="B743" s="97">
        <v>45958</v>
      </c>
      <c r="C743" s="89">
        <v>6807.36</v>
      </c>
      <c r="D743" s="91">
        <f t="shared" si="98"/>
        <v>-7.4012671295806643E-3</v>
      </c>
      <c r="E743" s="89">
        <f t="shared" si="99"/>
        <v>0.48924039349225307</v>
      </c>
      <c r="F743" s="89">
        <f t="shared" si="100"/>
        <v>0.7789096559850176</v>
      </c>
      <c r="G743" s="89">
        <f t="shared" si="101"/>
        <v>0.72078206558491742</v>
      </c>
      <c r="H743" s="90" t="str">
        <f t="shared" si="102"/>
        <v/>
      </c>
      <c r="I743" s="90" t="str">
        <f t="shared" si="103"/>
        <v/>
      </c>
      <c r="J743" s="90" t="str">
        <f t="shared" si="104"/>
        <v/>
      </c>
      <c r="K743" s="90" t="str">
        <f t="shared" si="105"/>
        <v/>
      </c>
      <c r="L743" s="90"/>
      <c r="M743" s="106">
        <f>IF(D743="","",ABS(D743-G$5))</f>
        <v>7.4012671295806643E-3</v>
      </c>
    </row>
    <row r="744" spans="2:13" ht="12.75" customHeight="1" x14ac:dyDescent="0.55000000000000004">
      <c r="B744" s="97">
        <v>45959</v>
      </c>
      <c r="C744" s="89">
        <v>6886.01</v>
      </c>
      <c r="D744" s="91">
        <f t="shared" si="98"/>
        <v>1.1487437335572542E-2</v>
      </c>
      <c r="E744" s="89">
        <f t="shared" si="99"/>
        <v>0.64105936821823561</v>
      </c>
      <c r="F744" s="89">
        <f t="shared" si="100"/>
        <v>1.2089383758949943</v>
      </c>
      <c r="G744" s="89">
        <f t="shared" si="101"/>
        <v>0.9495942779647969</v>
      </c>
      <c r="H744" s="90" t="str">
        <f t="shared" si="102"/>
        <v/>
      </c>
      <c r="I744" s="90" t="str">
        <f t="shared" si="103"/>
        <v/>
      </c>
      <c r="J744" s="90" t="str">
        <f t="shared" si="104"/>
        <v/>
      </c>
      <c r="K744" s="90" t="str">
        <f t="shared" si="105"/>
        <v/>
      </c>
      <c r="L744" s="90"/>
      <c r="M744" s="106">
        <f>IF(D744="","",ABS(D744-G$5))</f>
        <v>1.1487437335572542E-2</v>
      </c>
    </row>
    <row r="745" spans="2:13" ht="12.75" customHeight="1" x14ac:dyDescent="0.55000000000000004">
      <c r="B745" s="97">
        <v>45960</v>
      </c>
      <c r="C745" s="89">
        <v>6823.14</v>
      </c>
      <c r="D745" s="91">
        <f t="shared" si="98"/>
        <v>-9.1720406810410892E-3</v>
      </c>
      <c r="E745" s="89">
        <f t="shared" si="99"/>
        <v>0.59520345342319902</v>
      </c>
      <c r="F745" s="89">
        <f t="shared" si="100"/>
        <v>0.9652659370984048</v>
      </c>
      <c r="G745" s="89">
        <f t="shared" si="101"/>
        <v>0.8916510789103409</v>
      </c>
      <c r="H745" s="90" t="str">
        <f t="shared" si="102"/>
        <v/>
      </c>
      <c r="I745" s="90" t="str">
        <f t="shared" si="103"/>
        <v/>
      </c>
      <c r="J745" s="90" t="str">
        <f t="shared" si="104"/>
        <v/>
      </c>
      <c r="K745" s="90" t="str">
        <f t="shared" si="105"/>
        <v/>
      </c>
      <c r="L745" s="90"/>
      <c r="M745" s="106">
        <f>IF(D745="","",ABS(D745-G$5))</f>
        <v>9.1720406810410892E-3</v>
      </c>
    </row>
    <row r="746" spans="2:13" ht="12.75" customHeight="1" x14ac:dyDescent="0.55000000000000004">
      <c r="B746" s="97">
        <v>45961</v>
      </c>
      <c r="C746" s="89">
        <v>6743.25</v>
      </c>
      <c r="D746" s="91">
        <f t="shared" si="98"/>
        <v>-1.177777190528108E-2</v>
      </c>
      <c r="E746" s="89">
        <f t="shared" si="99"/>
        <v>0.7511303666359922</v>
      </c>
      <c r="F746" s="89">
        <f t="shared" si="100"/>
        <v>1.2394931979076202</v>
      </c>
      <c r="G746" s="89">
        <f t="shared" si="101"/>
        <v>1.1105567044891591</v>
      </c>
      <c r="H746" s="90" t="str">
        <f t="shared" si="102"/>
        <v/>
      </c>
      <c r="I746" s="90" t="str">
        <f t="shared" si="103"/>
        <v/>
      </c>
      <c r="J746" s="90" t="str">
        <f t="shared" si="104"/>
        <v/>
      </c>
      <c r="K746" s="90" t="str">
        <f t="shared" si="105"/>
        <v/>
      </c>
      <c r="L746" s="90"/>
      <c r="M746" s="106">
        <f>IF(D746="","",ABS(D746-G$5))</f>
        <v>1.177777190528108E-2</v>
      </c>
    </row>
    <row r="747" spans="2:13" ht="12.75" customHeight="1" x14ac:dyDescent="0.55000000000000004">
      <c r="B747" s="97">
        <v>45964</v>
      </c>
      <c r="C747" s="89">
        <v>6770.3</v>
      </c>
      <c r="D747" s="91">
        <f t="shared" si="98"/>
        <v>4.0033945377636656E-3</v>
      </c>
      <c r="E747" s="89">
        <f t="shared" si="99"/>
        <v>0.1932143714054349</v>
      </c>
      <c r="F747" s="89">
        <f t="shared" si="100"/>
        <v>0.42131740519389532</v>
      </c>
      <c r="G747" s="89">
        <f t="shared" si="101"/>
        <v>0.29976676586631645</v>
      </c>
      <c r="H747" s="90" t="str">
        <f t="shared" si="102"/>
        <v/>
      </c>
      <c r="I747" s="90" t="str">
        <f t="shared" si="103"/>
        <v/>
      </c>
      <c r="J747" s="90" t="str">
        <f t="shared" si="104"/>
        <v/>
      </c>
      <c r="K747" s="90" t="str">
        <f t="shared" si="105"/>
        <v/>
      </c>
      <c r="L747" s="90"/>
      <c r="M747" s="106">
        <f>IF(D747="","",ABS(D747-G$5))</f>
        <v>4.0033945377636656E-3</v>
      </c>
    </row>
    <row r="748" spans="2:13" ht="12.75" customHeight="1" x14ac:dyDescent="0.55000000000000004">
      <c r="B748" s="97">
        <v>45965</v>
      </c>
      <c r="C748" s="89">
        <v>6800.4</v>
      </c>
      <c r="D748" s="91">
        <f t="shared" si="98"/>
        <v>4.4360348928182526E-3</v>
      </c>
      <c r="E748" s="89">
        <f t="shared" si="99"/>
        <v>0.21910356307163395</v>
      </c>
      <c r="F748" s="89">
        <f t="shared" si="100"/>
        <v>0.46684849388733868</v>
      </c>
      <c r="G748" s="89">
        <f t="shared" si="101"/>
        <v>0.35604258815781642</v>
      </c>
      <c r="H748" s="90" t="str">
        <f t="shared" si="102"/>
        <v/>
      </c>
      <c r="I748" s="90" t="str">
        <f t="shared" si="103"/>
        <v/>
      </c>
      <c r="J748" s="90" t="str">
        <f t="shared" si="104"/>
        <v/>
      </c>
      <c r="K748" s="90" t="str">
        <f t="shared" si="105"/>
        <v/>
      </c>
      <c r="L748" s="90"/>
      <c r="M748" s="106">
        <f>IF(D748="","",ABS(D748-G$5))</f>
        <v>4.4360348928182526E-3</v>
      </c>
    </row>
    <row r="749" spans="2:13" ht="12.75" customHeight="1" x14ac:dyDescent="0.55000000000000004">
      <c r="B749" s="97">
        <v>45966</v>
      </c>
      <c r="C749" s="89">
        <v>6790.44</v>
      </c>
      <c r="D749" s="91">
        <f t="shared" ref="D749:D787" si="106">IF(OR(C749="",C748=""),"",LN(C749/C748))</f>
        <v>-1.4656933321344806E-3</v>
      </c>
      <c r="E749" s="89">
        <f t="shared" ref="E749:E787" si="107">IF(D749="","",ABS(D749-$E$5)/$F$5)</f>
        <v>0.13405575596216268</v>
      </c>
      <c r="F749" s="89">
        <f t="shared" ref="F749:F787" si="108">IF(D749="","",ABS(D749-$G$5)/$H$5)</f>
        <v>0.15424962633082057</v>
      </c>
      <c r="G749" s="89">
        <f t="shared" ref="G749:G787" si="109">IF(D749="","",ABS(D749-$E$5)/SQRT(0.9*(IF(G748="",($F$5)^2,(ABS(D748-$E$5)/MAX(G748,0.0000000001))^2))+0.1*(D749-$E$5)^2))</f>
        <v>0.22902071976912236</v>
      </c>
      <c r="H749" s="90" t="str">
        <f t="shared" ref="H749:H787" si="110">IF(E749="","",IF(E749&gt;$I$5,"OUTLIER",""))</f>
        <v/>
      </c>
      <c r="I749" s="90" t="str">
        <f t="shared" ref="I749:I787" si="111">IF(F749="","",IF(F749&gt;$I$5,"OUTLIER",""))</f>
        <v/>
      </c>
      <c r="J749" s="90" t="str">
        <f t="shared" ref="J749:J787" si="112">IF(G749="","",IF(G749&gt;$I$5,"OUTLIER",""))</f>
        <v/>
      </c>
      <c r="K749" s="90" t="str">
        <f t="shared" ref="K749:K787" si="113">IF(C749="","MISSING","")</f>
        <v/>
      </c>
      <c r="L749" s="90"/>
      <c r="M749" s="106">
        <f>IF(D749="","",ABS(D749-G$5))</f>
        <v>1.4656933321344806E-3</v>
      </c>
    </row>
    <row r="750" spans="2:13" ht="12.75" customHeight="1" x14ac:dyDescent="0.55000000000000004">
      <c r="B750" s="97">
        <v>45967</v>
      </c>
      <c r="C750" s="89">
        <v>6815.14</v>
      </c>
      <c r="D750" s="91">
        <f t="shared" si="106"/>
        <v>3.6308672082201168E-3</v>
      </c>
      <c r="E750" s="89">
        <f t="shared" si="107"/>
        <v>0.17092234218815724</v>
      </c>
      <c r="F750" s="89">
        <f t="shared" si="108"/>
        <v>0.38211261376837313</v>
      </c>
      <c r="G750" s="89">
        <f t="shared" si="109"/>
        <v>0.30635101187784208</v>
      </c>
      <c r="H750" s="90" t="str">
        <f t="shared" si="110"/>
        <v/>
      </c>
      <c r="I750" s="90" t="str">
        <f t="shared" si="111"/>
        <v/>
      </c>
      <c r="J750" s="90" t="str">
        <f t="shared" si="112"/>
        <v/>
      </c>
      <c r="K750" s="90" t="str">
        <f t="shared" si="113"/>
        <v/>
      </c>
      <c r="L750" s="90"/>
      <c r="M750" s="106">
        <f>IF(D750="","",ABS(D750-G$5))</f>
        <v>3.6308672082201168E-3</v>
      </c>
    </row>
    <row r="751" spans="2:13" ht="12.75" customHeight="1" x14ac:dyDescent="0.55000000000000004">
      <c r="B751" s="97">
        <v>45968</v>
      </c>
      <c r="C751" s="89">
        <v>6819.53</v>
      </c>
      <c r="D751" s="91">
        <f t="shared" si="106"/>
        <v>6.4394666709183842E-4</v>
      </c>
      <c r="E751" s="89">
        <f t="shared" si="107"/>
        <v>7.8149334208649484E-3</v>
      </c>
      <c r="F751" s="89">
        <f t="shared" si="108"/>
        <v>6.7768973630549179E-2</v>
      </c>
      <c r="G751" s="89">
        <f t="shared" si="109"/>
        <v>1.4764535137971751E-2</v>
      </c>
      <c r="H751" s="90" t="str">
        <f t="shared" si="110"/>
        <v/>
      </c>
      <c r="I751" s="90" t="str">
        <f t="shared" si="111"/>
        <v/>
      </c>
      <c r="J751" s="90" t="str">
        <f t="shared" si="112"/>
        <v/>
      </c>
      <c r="K751" s="90" t="str">
        <f t="shared" si="113"/>
        <v/>
      </c>
      <c r="L751" s="90"/>
      <c r="M751" s="106">
        <f>IF(D751="","",ABS(D751-G$5))</f>
        <v>6.4394666709183842E-4</v>
      </c>
    </row>
    <row r="752" spans="2:13" ht="12.75" customHeight="1" x14ac:dyDescent="0.55000000000000004">
      <c r="B752" s="97">
        <v>45971</v>
      </c>
      <c r="C752" s="89">
        <v>6834.75</v>
      </c>
      <c r="D752" s="91">
        <f t="shared" si="106"/>
        <v>2.2293385375945808E-3</v>
      </c>
      <c r="E752" s="89">
        <f t="shared" si="107"/>
        <v>8.7054889798239624E-2</v>
      </c>
      <c r="F752" s="89">
        <f t="shared" si="108"/>
        <v>0.23461567904390984</v>
      </c>
      <c r="G752" s="89">
        <f t="shared" si="109"/>
        <v>0.17310703960588958</v>
      </c>
      <c r="H752" s="90" t="str">
        <f t="shared" si="110"/>
        <v/>
      </c>
      <c r="I752" s="90" t="str">
        <f t="shared" si="111"/>
        <v/>
      </c>
      <c r="J752" s="90" t="str">
        <f t="shared" si="112"/>
        <v/>
      </c>
      <c r="K752" s="90" t="str">
        <f t="shared" si="113"/>
        <v/>
      </c>
      <c r="L752" s="90"/>
      <c r="M752" s="106">
        <f>IF(D752="","",ABS(D752-G$5))</f>
        <v>2.2293385375945808E-3</v>
      </c>
    </row>
    <row r="753" spans="2:13" ht="12.75" customHeight="1" x14ac:dyDescent="0.55000000000000004">
      <c r="B753" s="97">
        <v>45972</v>
      </c>
      <c r="C753" s="89"/>
      <c r="D753" s="91" t="str">
        <f t="shared" si="106"/>
        <v/>
      </c>
      <c r="E753" s="89" t="str">
        <f t="shared" si="107"/>
        <v/>
      </c>
      <c r="F753" s="89" t="str">
        <f t="shared" si="108"/>
        <v/>
      </c>
      <c r="G753" s="89" t="str">
        <f t="shared" si="109"/>
        <v/>
      </c>
      <c r="H753" s="90" t="str">
        <f t="shared" si="110"/>
        <v/>
      </c>
      <c r="I753" s="90" t="str">
        <f t="shared" si="111"/>
        <v/>
      </c>
      <c r="J753" s="90" t="str">
        <f t="shared" si="112"/>
        <v/>
      </c>
      <c r="K753" s="90" t="str">
        <f t="shared" si="113"/>
        <v>MISSING</v>
      </c>
      <c r="L753" s="90"/>
      <c r="M753" s="106" t="str">
        <f>IF(D753="","",ABS(D753-G$5))</f>
        <v/>
      </c>
    </row>
    <row r="754" spans="2:13" ht="12.75" customHeight="1" x14ac:dyDescent="0.55000000000000004">
      <c r="B754" s="97">
        <v>45973</v>
      </c>
      <c r="C754" s="89">
        <v>6864.61</v>
      </c>
      <c r="D754" s="91" t="str">
        <f t="shared" si="106"/>
        <v/>
      </c>
      <c r="E754" s="89" t="str">
        <f t="shared" si="107"/>
        <v/>
      </c>
      <c r="F754" s="89" t="str">
        <f t="shared" si="108"/>
        <v/>
      </c>
      <c r="G754" s="89" t="str">
        <f t="shared" si="109"/>
        <v/>
      </c>
      <c r="H754" s="90" t="str">
        <f t="shared" si="110"/>
        <v/>
      </c>
      <c r="I754" s="90" t="str">
        <f t="shared" si="111"/>
        <v/>
      </c>
      <c r="J754" s="90" t="str">
        <f t="shared" si="112"/>
        <v/>
      </c>
      <c r="K754" s="90" t="str">
        <f t="shared" si="113"/>
        <v/>
      </c>
      <c r="L754" s="90"/>
      <c r="M754" s="106" t="str">
        <f>IF(D754="","",ABS(D754-G$5))</f>
        <v/>
      </c>
    </row>
    <row r="755" spans="2:13" ht="12.75" customHeight="1" x14ac:dyDescent="0.55000000000000004">
      <c r="B755" s="97">
        <v>45974</v>
      </c>
      <c r="C755" s="89">
        <v>6879.51</v>
      </c>
      <c r="D755" s="91">
        <f t="shared" si="106"/>
        <v>2.1682007778151503E-3</v>
      </c>
      <c r="E755" s="89">
        <f t="shared" si="107"/>
        <v>8.3396407267704517E-2</v>
      </c>
      <c r="F755" s="89">
        <f t="shared" si="108"/>
        <v>0.22818153869959437</v>
      </c>
      <c r="G755" s="89">
        <f t="shared" si="109"/>
        <v>8.7873585251987088E-2</v>
      </c>
      <c r="H755" s="90" t="str">
        <f t="shared" si="110"/>
        <v/>
      </c>
      <c r="I755" s="90" t="str">
        <f t="shared" si="111"/>
        <v/>
      </c>
      <c r="J755" s="90" t="str">
        <f t="shared" si="112"/>
        <v/>
      </c>
      <c r="K755" s="90" t="str">
        <f t="shared" si="113"/>
        <v/>
      </c>
      <c r="L755" s="90"/>
      <c r="M755" s="106">
        <f>IF(D755="","",ABS(D755-G$5))</f>
        <v>2.1682007778151503E-3</v>
      </c>
    </row>
    <row r="756" spans="2:13" ht="12.75" customHeight="1" x14ac:dyDescent="0.55000000000000004">
      <c r="B756" s="97">
        <v>45975</v>
      </c>
      <c r="C756" s="89">
        <v>6835.86</v>
      </c>
      <c r="D756" s="91">
        <f t="shared" si="106"/>
        <v>-6.3651432478147273E-3</v>
      </c>
      <c r="E756" s="89">
        <f t="shared" si="107"/>
        <v>0.42723875760329405</v>
      </c>
      <c r="F756" s="89">
        <f t="shared" si="108"/>
        <v>0.66986793621265039</v>
      </c>
      <c r="G756" s="89">
        <f t="shared" si="109"/>
        <v>0.46927239948586486</v>
      </c>
      <c r="H756" s="90" t="str">
        <f t="shared" si="110"/>
        <v/>
      </c>
      <c r="I756" s="90" t="str">
        <f t="shared" si="111"/>
        <v/>
      </c>
      <c r="J756" s="90" t="str">
        <f t="shared" si="112"/>
        <v/>
      </c>
      <c r="K756" s="90" t="str">
        <f t="shared" si="113"/>
        <v/>
      </c>
      <c r="L756" s="90"/>
      <c r="M756" s="106">
        <f>IF(D756="","",ABS(D756-G$5))</f>
        <v>6.3651432478147273E-3</v>
      </c>
    </row>
    <row r="757" spans="2:13" ht="12.75" customHeight="1" x14ac:dyDescent="0.55000000000000004">
      <c r="B757" s="97">
        <v>45978</v>
      </c>
      <c r="C757" s="89">
        <v>6847.8</v>
      </c>
      <c r="D757" s="91">
        <f t="shared" si="106"/>
        <v>1.7451475745980762E-3</v>
      </c>
      <c r="E757" s="89">
        <f t="shared" si="107"/>
        <v>5.8080910608350154E-2</v>
      </c>
      <c r="F757" s="89">
        <f t="shared" si="108"/>
        <v>0.18365940225836574</v>
      </c>
      <c r="G757" s="89">
        <f t="shared" si="109"/>
        <v>6.723081219616811E-2</v>
      </c>
      <c r="H757" s="90" t="str">
        <f t="shared" si="110"/>
        <v/>
      </c>
      <c r="I757" s="90" t="str">
        <f t="shared" si="111"/>
        <v/>
      </c>
      <c r="J757" s="90" t="str">
        <f t="shared" si="112"/>
        <v/>
      </c>
      <c r="K757" s="90" t="str">
        <f t="shared" si="113"/>
        <v/>
      </c>
      <c r="L757" s="90"/>
      <c r="M757" s="106">
        <f>IF(D757="","",ABS(D757-G$5))</f>
        <v>1.7451475745980762E-3</v>
      </c>
    </row>
    <row r="758" spans="2:13" ht="12.75" customHeight="1" x14ac:dyDescent="0.55000000000000004">
      <c r="B758" s="97">
        <v>45979</v>
      </c>
      <c r="C758" s="89">
        <v>6804.02</v>
      </c>
      <c r="D758" s="91">
        <f t="shared" si="106"/>
        <v>-6.4138188287931495E-3</v>
      </c>
      <c r="E758" s="89">
        <f t="shared" si="107"/>
        <v>0.43015150356120396</v>
      </c>
      <c r="F758" s="89">
        <f t="shared" si="108"/>
        <v>0.67499055634930827</v>
      </c>
      <c r="G758" s="89">
        <f t="shared" si="109"/>
        <v>0.5177669654190783</v>
      </c>
      <c r="H758" s="90" t="str">
        <f t="shared" si="110"/>
        <v/>
      </c>
      <c r="I758" s="90" t="str">
        <f t="shared" si="111"/>
        <v/>
      </c>
      <c r="J758" s="90" t="str">
        <f t="shared" si="112"/>
        <v/>
      </c>
      <c r="K758" s="90" t="str">
        <f t="shared" si="113"/>
        <v/>
      </c>
      <c r="L758" s="90"/>
      <c r="M758" s="106">
        <f>IF(D758="","",ABS(D758-G$5))</f>
        <v>6.4138188287931495E-3</v>
      </c>
    </row>
    <row r="759" spans="2:13" ht="12.75" customHeight="1" x14ac:dyDescent="0.55000000000000004">
      <c r="B759" s="97">
        <v>45980</v>
      </c>
      <c r="C759" s="89">
        <v>6881.16</v>
      </c>
      <c r="D759" s="91">
        <f t="shared" si="106"/>
        <v>1.1273628407569238E-2</v>
      </c>
      <c r="E759" s="89">
        <f t="shared" si="107"/>
        <v>0.62826504551497397</v>
      </c>
      <c r="F759" s="89">
        <f t="shared" si="108"/>
        <v>1.1864371155510762</v>
      </c>
      <c r="G759" s="89">
        <f t="shared" si="109"/>
        <v>0.7729599082256593</v>
      </c>
      <c r="H759" s="90" t="str">
        <f t="shared" si="110"/>
        <v/>
      </c>
      <c r="I759" s="90" t="str">
        <f t="shared" si="111"/>
        <v/>
      </c>
      <c r="J759" s="90" t="str">
        <f t="shared" si="112"/>
        <v/>
      </c>
      <c r="K759" s="90" t="str">
        <f t="shared" si="113"/>
        <v/>
      </c>
      <c r="L759" s="90"/>
      <c r="M759" s="106">
        <f>IF(D759="","",ABS(D759-G$5))</f>
        <v>1.1273628407569238E-2</v>
      </c>
    </row>
    <row r="760" spans="2:13" ht="12.75" customHeight="1" x14ac:dyDescent="0.55000000000000004">
      <c r="B760" s="97">
        <v>45981</v>
      </c>
      <c r="C760" s="89">
        <v>6974.23</v>
      </c>
      <c r="D760" s="91">
        <f t="shared" si="106"/>
        <v>1.3434684964052512E-2</v>
      </c>
      <c r="E760" s="89">
        <f t="shared" si="107"/>
        <v>0.75758263398919878</v>
      </c>
      <c r="F760" s="89">
        <f t="shared" si="108"/>
        <v>1.4138667961049685</v>
      </c>
      <c r="G760" s="89">
        <f t="shared" si="109"/>
        <v>0.93823860992768904</v>
      </c>
      <c r="H760" s="90" t="str">
        <f t="shared" si="110"/>
        <v/>
      </c>
      <c r="I760" s="90" t="str">
        <f t="shared" si="111"/>
        <v/>
      </c>
      <c r="J760" s="90" t="str">
        <f t="shared" si="112"/>
        <v/>
      </c>
      <c r="K760" s="90" t="str">
        <f t="shared" si="113"/>
        <v/>
      </c>
      <c r="L760" s="90"/>
      <c r="M760" s="106">
        <f>IF(D760="","",ABS(D760-G$5))</f>
        <v>1.3434684964052512E-2</v>
      </c>
    </row>
    <row r="761" spans="2:13" ht="12.75" customHeight="1" x14ac:dyDescent="0.55000000000000004">
      <c r="B761" s="97">
        <v>45982</v>
      </c>
      <c r="C761" s="89">
        <v>6974.23</v>
      </c>
      <c r="D761" s="91">
        <f t="shared" si="106"/>
        <v>0</v>
      </c>
      <c r="E761" s="89">
        <f t="shared" si="107"/>
        <v>4.6348691292451449E-2</v>
      </c>
      <c r="F761" s="89">
        <f t="shared" si="108"/>
        <v>0</v>
      </c>
      <c r="G761" s="89">
        <f t="shared" si="109"/>
        <v>6.0495076220710327E-2</v>
      </c>
      <c r="H761" s="90" t="str">
        <f t="shared" si="110"/>
        <v/>
      </c>
      <c r="I761" s="90" t="str">
        <f t="shared" si="111"/>
        <v/>
      </c>
      <c r="J761" s="90" t="str">
        <f t="shared" si="112"/>
        <v/>
      </c>
      <c r="K761" s="90" t="str">
        <f t="shared" si="113"/>
        <v/>
      </c>
      <c r="L761" s="90"/>
      <c r="M761" s="106">
        <f>IF(D761="","",ABS(D761-G$5))</f>
        <v>0</v>
      </c>
    </row>
    <row r="762" spans="2:13" ht="12.75" customHeight="1" x14ac:dyDescent="0.55000000000000004">
      <c r="B762" s="97">
        <v>45985</v>
      </c>
      <c r="C762" s="89">
        <v>7089.48</v>
      </c>
      <c r="D762" s="91">
        <f t="shared" si="106"/>
        <v>1.6390067769776959E-2</v>
      </c>
      <c r="E762" s="89">
        <f t="shared" si="107"/>
        <v>0.93443269203506818</v>
      </c>
      <c r="F762" s="89">
        <f t="shared" si="108"/>
        <v>1.7248914036766301</v>
      </c>
      <c r="G762" s="89">
        <f t="shared" si="109"/>
        <v>1.1909520967664053</v>
      </c>
      <c r="H762" s="90" t="str">
        <f t="shared" si="110"/>
        <v/>
      </c>
      <c r="I762" s="90" t="str">
        <f t="shared" si="111"/>
        <v/>
      </c>
      <c r="J762" s="90" t="str">
        <f t="shared" si="112"/>
        <v/>
      </c>
      <c r="K762" s="90" t="str">
        <f t="shared" si="113"/>
        <v/>
      </c>
      <c r="L762" s="90"/>
      <c r="M762" s="106">
        <f>IF(D762="","",ABS(D762-G$5))</f>
        <v>1.6390067769776959E-2</v>
      </c>
    </row>
    <row r="763" spans="2:13" ht="12.75" customHeight="1" x14ac:dyDescent="0.55000000000000004">
      <c r="B763" s="97">
        <v>45986</v>
      </c>
      <c r="C763" s="89">
        <v>7025.37</v>
      </c>
      <c r="D763" s="91">
        <f t="shared" si="106"/>
        <v>-9.084112246087659E-3</v>
      </c>
      <c r="E763" s="89">
        <f t="shared" si="107"/>
        <v>0.58994181733488027</v>
      </c>
      <c r="F763" s="89">
        <f t="shared" si="108"/>
        <v>0.95601234500102605</v>
      </c>
      <c r="G763" s="89">
        <f t="shared" si="109"/>
        <v>0.76878554671463306</v>
      </c>
      <c r="H763" s="90" t="str">
        <f t="shared" si="110"/>
        <v/>
      </c>
      <c r="I763" s="90" t="str">
        <f t="shared" si="111"/>
        <v/>
      </c>
      <c r="J763" s="90" t="str">
        <f t="shared" si="112"/>
        <v/>
      </c>
      <c r="K763" s="90" t="str">
        <f t="shared" si="113"/>
        <v/>
      </c>
      <c r="L763" s="90"/>
      <c r="M763" s="106">
        <f>IF(D763="","",ABS(D763-G$5))</f>
        <v>9.084112246087659E-3</v>
      </c>
    </row>
    <row r="764" spans="2:13" ht="12.75" customHeight="1" x14ac:dyDescent="0.55000000000000004">
      <c r="B764" s="97">
        <v>45987</v>
      </c>
      <c r="C764" s="89">
        <v>7025.37</v>
      </c>
      <c r="D764" s="91">
        <f t="shared" si="106"/>
        <v>0</v>
      </c>
      <c r="E764" s="89">
        <f t="shared" si="107"/>
        <v>4.6348691292451449E-2</v>
      </c>
      <c r="F764" s="89">
        <f t="shared" si="108"/>
        <v>0</v>
      </c>
      <c r="G764" s="89">
        <f t="shared" si="109"/>
        <v>6.3653787170156323E-2</v>
      </c>
      <c r="H764" s="90" t="str">
        <f t="shared" si="110"/>
        <v/>
      </c>
      <c r="I764" s="90" t="str">
        <f t="shared" si="111"/>
        <v/>
      </c>
      <c r="J764" s="90" t="str">
        <f t="shared" si="112"/>
        <v/>
      </c>
      <c r="K764" s="90" t="str">
        <f t="shared" si="113"/>
        <v/>
      </c>
      <c r="L764" s="90"/>
      <c r="M764" s="106">
        <f>IF(D764="","",ABS(D764-G$5))</f>
        <v>0</v>
      </c>
    </row>
    <row r="765" spans="2:13" ht="12.75" customHeight="1" x14ac:dyDescent="0.55000000000000004">
      <c r="B765" s="97">
        <v>45989</v>
      </c>
      <c r="C765" s="89"/>
      <c r="D765" s="91" t="str">
        <f t="shared" si="106"/>
        <v/>
      </c>
      <c r="E765" s="89" t="str">
        <f t="shared" si="107"/>
        <v/>
      </c>
      <c r="F765" s="89" t="str">
        <f t="shared" si="108"/>
        <v/>
      </c>
      <c r="G765" s="89" t="str">
        <f t="shared" si="109"/>
        <v/>
      </c>
      <c r="H765" s="90" t="str">
        <f t="shared" si="110"/>
        <v/>
      </c>
      <c r="I765" s="90" t="str">
        <f t="shared" si="111"/>
        <v/>
      </c>
      <c r="J765" s="90" t="str">
        <f t="shared" si="112"/>
        <v/>
      </c>
      <c r="K765" s="90" t="str">
        <f t="shared" si="113"/>
        <v>MISSING</v>
      </c>
      <c r="L765" s="90"/>
      <c r="M765" s="106" t="str">
        <f>IF(D765="","",ABS(D765-G$5))</f>
        <v/>
      </c>
    </row>
    <row r="766" spans="2:13" ht="12.75" customHeight="1" x14ac:dyDescent="0.55000000000000004">
      <c r="B766" s="97">
        <v>45992</v>
      </c>
      <c r="C766" s="89">
        <v>6852.14</v>
      </c>
      <c r="D766" s="91" t="str">
        <f t="shared" si="106"/>
        <v/>
      </c>
      <c r="E766" s="89" t="str">
        <f t="shared" si="107"/>
        <v/>
      </c>
      <c r="F766" s="89" t="str">
        <f t="shared" si="108"/>
        <v/>
      </c>
      <c r="G766" s="89" t="str">
        <f t="shared" si="109"/>
        <v/>
      </c>
      <c r="H766" s="90" t="str">
        <f t="shared" si="110"/>
        <v/>
      </c>
      <c r="I766" s="90" t="str">
        <f t="shared" si="111"/>
        <v/>
      </c>
      <c r="J766" s="90" t="str">
        <f t="shared" si="112"/>
        <v/>
      </c>
      <c r="K766" s="90" t="str">
        <f t="shared" si="113"/>
        <v/>
      </c>
      <c r="L766" s="90"/>
      <c r="M766" s="106" t="str">
        <f>IF(D766="","",ABS(D766-G$5))</f>
        <v/>
      </c>
    </row>
    <row r="767" spans="2:13" ht="12.75" customHeight="1" x14ac:dyDescent="0.55000000000000004">
      <c r="B767" s="97">
        <v>45993</v>
      </c>
      <c r="C767" s="89">
        <v>6890.83</v>
      </c>
      <c r="D767" s="91">
        <f t="shared" si="106"/>
        <v>5.6305299677252649E-3</v>
      </c>
      <c r="E767" s="89">
        <f t="shared" si="107"/>
        <v>0.29058212852976512</v>
      </c>
      <c r="F767" s="89">
        <f t="shared" si="108"/>
        <v>0.59255720451515426</v>
      </c>
      <c r="G767" s="89">
        <f t="shared" si="109"/>
        <v>0.30487363485969649</v>
      </c>
      <c r="H767" s="90" t="str">
        <f t="shared" si="110"/>
        <v/>
      </c>
      <c r="I767" s="90" t="str">
        <f t="shared" si="111"/>
        <v/>
      </c>
      <c r="J767" s="90" t="str">
        <f t="shared" si="112"/>
        <v/>
      </c>
      <c r="K767" s="90" t="str">
        <f t="shared" si="113"/>
        <v/>
      </c>
      <c r="L767" s="90"/>
      <c r="M767" s="106">
        <f>IF(D767="","",ABS(D767-G$5))</f>
        <v>5.6305299677252649E-3</v>
      </c>
    </row>
    <row r="768" spans="2:13" ht="12.75" customHeight="1" x14ac:dyDescent="0.55000000000000004">
      <c r="B768" s="97">
        <v>45994</v>
      </c>
      <c r="C768" s="89">
        <v>6972.43</v>
      </c>
      <c r="D768" s="91">
        <f t="shared" si="106"/>
        <v>1.1772258816923436E-2</v>
      </c>
      <c r="E768" s="89">
        <f t="shared" si="107"/>
        <v>0.65810308093526515</v>
      </c>
      <c r="F768" s="89">
        <f t="shared" si="108"/>
        <v>1.2389130002629622</v>
      </c>
      <c r="G768" s="89">
        <f t="shared" si="109"/>
        <v>0.7092758993259991</v>
      </c>
      <c r="H768" s="90" t="str">
        <f t="shared" si="110"/>
        <v/>
      </c>
      <c r="I768" s="90" t="str">
        <f t="shared" si="111"/>
        <v/>
      </c>
      <c r="J768" s="90" t="str">
        <f t="shared" si="112"/>
        <v/>
      </c>
      <c r="K768" s="90" t="str">
        <f t="shared" si="113"/>
        <v/>
      </c>
      <c r="L768" s="90"/>
      <c r="M768" s="106">
        <f>IF(D768="","",ABS(D768-G$5))</f>
        <v>1.1772258816923436E-2</v>
      </c>
    </row>
    <row r="769" spans="2:13" ht="12.75" customHeight="1" x14ac:dyDescent="0.55000000000000004">
      <c r="B769" s="97">
        <v>45995</v>
      </c>
      <c r="C769" s="89">
        <v>6971.63</v>
      </c>
      <c r="D769" s="91">
        <f t="shared" si="106"/>
        <v>-1.1474419944807328E-4</v>
      </c>
      <c r="E769" s="89">
        <f t="shared" si="107"/>
        <v>5.3214982283084827E-2</v>
      </c>
      <c r="F769" s="89">
        <f t="shared" si="108"/>
        <v>1.2075684251574738E-2</v>
      </c>
      <c r="G769" s="89">
        <f t="shared" si="109"/>
        <v>6.0444194867806736E-2</v>
      </c>
      <c r="H769" s="90" t="str">
        <f t="shared" si="110"/>
        <v/>
      </c>
      <c r="I769" s="90" t="str">
        <f t="shared" si="111"/>
        <v/>
      </c>
      <c r="J769" s="90" t="str">
        <f t="shared" si="112"/>
        <v/>
      </c>
      <c r="K769" s="90" t="str">
        <f t="shared" si="113"/>
        <v/>
      </c>
      <c r="L769" s="90"/>
      <c r="M769" s="106">
        <f>IF(D769="","",ABS(D769-G$5))</f>
        <v>1.1474419944807328E-4</v>
      </c>
    </row>
    <row r="770" spans="2:13" ht="12.75" customHeight="1" x14ac:dyDescent="0.55000000000000004">
      <c r="B770" s="97">
        <v>45996</v>
      </c>
      <c r="C770" s="89">
        <v>6971.63</v>
      </c>
      <c r="D770" s="91">
        <f t="shared" si="106"/>
        <v>0</v>
      </c>
      <c r="E770" s="89">
        <f t="shared" si="107"/>
        <v>4.6348691292451449E-2</v>
      </c>
      <c r="F770" s="89">
        <f t="shared" si="108"/>
        <v>0</v>
      </c>
      <c r="G770" s="89">
        <f t="shared" si="109"/>
        <v>5.5484290521214459E-2</v>
      </c>
      <c r="H770" s="90" t="str">
        <f t="shared" si="110"/>
        <v/>
      </c>
      <c r="I770" s="90" t="str">
        <f t="shared" si="111"/>
        <v/>
      </c>
      <c r="J770" s="90" t="str">
        <f t="shared" si="112"/>
        <v/>
      </c>
      <c r="K770" s="90" t="str">
        <f t="shared" si="113"/>
        <v/>
      </c>
      <c r="L770" s="90"/>
      <c r="M770" s="106">
        <f>IF(D770="","",ABS(D770-G$5))</f>
        <v>0</v>
      </c>
    </row>
    <row r="771" spans="2:13" ht="12.75" customHeight="1" x14ac:dyDescent="0.55000000000000004">
      <c r="B771" s="97">
        <v>45999</v>
      </c>
      <c r="C771" s="89">
        <v>6922.34</v>
      </c>
      <c r="D771" s="91">
        <f t="shared" si="106"/>
        <v>-7.0951940703317031E-3</v>
      </c>
      <c r="E771" s="89">
        <f t="shared" si="107"/>
        <v>0.47092498670650274</v>
      </c>
      <c r="F771" s="89">
        <f t="shared" si="108"/>
        <v>0.74669851468827075</v>
      </c>
      <c r="G771" s="89">
        <f t="shared" si="109"/>
        <v>0.5840195059385731</v>
      </c>
      <c r="H771" s="90" t="str">
        <f t="shared" si="110"/>
        <v/>
      </c>
      <c r="I771" s="90" t="str">
        <f t="shared" si="111"/>
        <v/>
      </c>
      <c r="J771" s="90" t="str">
        <f t="shared" si="112"/>
        <v/>
      </c>
      <c r="K771" s="90" t="str">
        <f t="shared" si="113"/>
        <v/>
      </c>
      <c r="L771" s="90"/>
      <c r="M771" s="106">
        <f>IF(D771="","",ABS(D771-G$5))</f>
        <v>7.0951940703317031E-3</v>
      </c>
    </row>
    <row r="772" spans="2:13" ht="12.75" customHeight="1" x14ac:dyDescent="0.55000000000000004">
      <c r="B772" s="97">
        <v>46000</v>
      </c>
      <c r="C772" s="89">
        <v>6916.66</v>
      </c>
      <c r="D772" s="91">
        <f t="shared" si="106"/>
        <v>-8.2086860596061121E-4</v>
      </c>
      <c r="E772" s="89">
        <f t="shared" si="107"/>
        <v>9.546945504968006E-2</v>
      </c>
      <c r="F772" s="89">
        <f t="shared" si="108"/>
        <v>8.6388245726499849E-2</v>
      </c>
      <c r="G772" s="89">
        <f t="shared" si="109"/>
        <v>0.12470413551662571</v>
      </c>
      <c r="H772" s="90" t="str">
        <f t="shared" si="110"/>
        <v/>
      </c>
      <c r="I772" s="90" t="str">
        <f t="shared" si="111"/>
        <v/>
      </c>
      <c r="J772" s="90" t="str">
        <f t="shared" si="112"/>
        <v/>
      </c>
      <c r="K772" s="90" t="str">
        <f t="shared" si="113"/>
        <v/>
      </c>
      <c r="L772" s="90"/>
      <c r="M772" s="106">
        <f>IF(D772="","",ABS(D772-G$5))</f>
        <v>8.2086860596061121E-4</v>
      </c>
    </row>
    <row r="773" spans="2:13" ht="12.75" customHeight="1" x14ac:dyDescent="0.55000000000000004">
      <c r="B773" s="97">
        <v>46001</v>
      </c>
      <c r="C773" s="89">
        <v>6996.8</v>
      </c>
      <c r="D773" s="91">
        <f t="shared" si="106"/>
        <v>1.1519907523807788E-2</v>
      </c>
      <c r="E773" s="89">
        <f t="shared" si="107"/>
        <v>0.64300238374334495</v>
      </c>
      <c r="F773" s="89">
        <f t="shared" si="108"/>
        <v>1.2123555398353421</v>
      </c>
      <c r="G773" s="89">
        <f t="shared" si="109"/>
        <v>0.85255313726474369</v>
      </c>
      <c r="H773" s="90" t="str">
        <f t="shared" si="110"/>
        <v/>
      </c>
      <c r="I773" s="90" t="str">
        <f t="shared" si="111"/>
        <v/>
      </c>
      <c r="J773" s="90" t="str">
        <f t="shared" si="112"/>
        <v/>
      </c>
      <c r="K773" s="90" t="str">
        <f t="shared" si="113"/>
        <v/>
      </c>
      <c r="L773" s="90"/>
      <c r="M773" s="106">
        <f>IF(D773="","",ABS(D773-G$5))</f>
        <v>1.1519907523807788E-2</v>
      </c>
    </row>
    <row r="774" spans="2:13" ht="12.75" customHeight="1" x14ac:dyDescent="0.55000000000000004">
      <c r="B774" s="97">
        <v>46002</v>
      </c>
      <c r="C774" s="89">
        <v>6938.83</v>
      </c>
      <c r="D774" s="91">
        <f t="shared" si="106"/>
        <v>-8.3197292665964009E-3</v>
      </c>
      <c r="E774" s="89">
        <f t="shared" si="107"/>
        <v>0.54420115252812029</v>
      </c>
      <c r="F774" s="89">
        <f t="shared" si="108"/>
        <v>0.87556864891866726</v>
      </c>
      <c r="G774" s="89">
        <f t="shared" si="109"/>
        <v>0.73949507005887527</v>
      </c>
      <c r="H774" s="90" t="str">
        <f t="shared" si="110"/>
        <v/>
      </c>
      <c r="I774" s="90" t="str">
        <f t="shared" si="111"/>
        <v/>
      </c>
      <c r="J774" s="90" t="str">
        <f t="shared" si="112"/>
        <v/>
      </c>
      <c r="K774" s="90" t="str">
        <f t="shared" si="113"/>
        <v/>
      </c>
      <c r="L774" s="90"/>
      <c r="M774" s="106">
        <f>IF(D774="","",ABS(D774-G$5))</f>
        <v>8.3197292665964009E-3</v>
      </c>
    </row>
    <row r="775" spans="2:13" ht="12.75" customHeight="1" x14ac:dyDescent="0.55000000000000004">
      <c r="B775" s="97">
        <v>46003</v>
      </c>
      <c r="C775" s="89">
        <v>6938.83</v>
      </c>
      <c r="D775" s="91">
        <f t="shared" si="106"/>
        <v>0</v>
      </c>
      <c r="E775" s="89">
        <f t="shared" si="107"/>
        <v>4.6348691292451449E-2</v>
      </c>
      <c r="F775" s="89">
        <f t="shared" si="108"/>
        <v>0</v>
      </c>
      <c r="G775" s="89">
        <f t="shared" si="109"/>
        <v>6.6373751075128051E-2</v>
      </c>
      <c r="H775" s="90" t="str">
        <f t="shared" si="110"/>
        <v/>
      </c>
      <c r="I775" s="90" t="str">
        <f t="shared" si="111"/>
        <v/>
      </c>
      <c r="J775" s="90" t="str">
        <f t="shared" si="112"/>
        <v/>
      </c>
      <c r="K775" s="90" t="str">
        <f t="shared" si="113"/>
        <v/>
      </c>
      <c r="L775" s="90"/>
      <c r="M775" s="106">
        <f>IF(D775="","",ABS(D775-G$5))</f>
        <v>0</v>
      </c>
    </row>
    <row r="776" spans="2:13" ht="12.75" customHeight="1" x14ac:dyDescent="0.55000000000000004">
      <c r="B776" s="97">
        <v>46006</v>
      </c>
      <c r="C776" s="89">
        <v>6940.46</v>
      </c>
      <c r="D776" s="91">
        <f t="shared" si="106"/>
        <v>2.3488233295707766E-4</v>
      </c>
      <c r="E776" s="89">
        <f t="shared" si="107"/>
        <v>3.2293336386498388E-2</v>
      </c>
      <c r="F776" s="89">
        <f t="shared" si="108"/>
        <v>2.4719026344739062E-2</v>
      </c>
      <c r="G776" s="89">
        <f t="shared" si="109"/>
        <v>4.8741507104215154E-2</v>
      </c>
      <c r="H776" s="90" t="str">
        <f t="shared" si="110"/>
        <v/>
      </c>
      <c r="I776" s="90" t="str">
        <f t="shared" si="111"/>
        <v/>
      </c>
      <c r="J776" s="90" t="str">
        <f t="shared" si="112"/>
        <v/>
      </c>
      <c r="K776" s="90" t="str">
        <f t="shared" si="113"/>
        <v/>
      </c>
      <c r="L776" s="90"/>
      <c r="M776" s="106">
        <f>IF(D776="","",ABS(D776-G$5))</f>
        <v>2.3488233295707766E-4</v>
      </c>
    </row>
    <row r="777" spans="2:13" ht="12.75" customHeight="1" x14ac:dyDescent="0.55000000000000004">
      <c r="B777" s="97">
        <v>46007</v>
      </c>
      <c r="C777" s="89">
        <v>6967.04</v>
      </c>
      <c r="D777" s="91">
        <f t="shared" si="106"/>
        <v>3.8224026407088817E-3</v>
      </c>
      <c r="E777" s="89">
        <f t="shared" si="107"/>
        <v>0.18238381928948849</v>
      </c>
      <c r="F777" s="89">
        <f t="shared" si="108"/>
        <v>0.4022698105316817</v>
      </c>
      <c r="G777" s="89">
        <f t="shared" si="109"/>
        <v>0.28895512693574482</v>
      </c>
      <c r="H777" s="90" t="str">
        <f t="shared" si="110"/>
        <v/>
      </c>
      <c r="I777" s="90" t="str">
        <f t="shared" si="111"/>
        <v/>
      </c>
      <c r="J777" s="90" t="str">
        <f t="shared" si="112"/>
        <v/>
      </c>
      <c r="K777" s="90" t="str">
        <f t="shared" si="113"/>
        <v/>
      </c>
      <c r="L777" s="90"/>
      <c r="M777" s="106">
        <f>IF(D777="","",ABS(D777-G$5))</f>
        <v>3.8224026407088817E-3</v>
      </c>
    </row>
    <row r="778" spans="2:13" ht="12.75" customHeight="1" x14ac:dyDescent="0.55000000000000004">
      <c r="B778" s="97">
        <v>46008</v>
      </c>
      <c r="C778" s="89">
        <v>6979.23</v>
      </c>
      <c r="D778" s="91">
        <f t="shared" si="106"/>
        <v>1.7481381192781683E-3</v>
      </c>
      <c r="E778" s="89">
        <f t="shared" si="107"/>
        <v>5.8259864752374622E-2</v>
      </c>
      <c r="F778" s="89">
        <f t="shared" si="108"/>
        <v>0.18397412730303664</v>
      </c>
      <c r="G778" s="89">
        <f t="shared" si="109"/>
        <v>9.7249382640306997E-2</v>
      </c>
      <c r="H778" s="90" t="str">
        <f t="shared" si="110"/>
        <v/>
      </c>
      <c r="I778" s="90" t="str">
        <f t="shared" si="111"/>
        <v/>
      </c>
      <c r="J778" s="90" t="str">
        <f t="shared" si="112"/>
        <v/>
      </c>
      <c r="K778" s="90" t="str">
        <f t="shared" si="113"/>
        <v/>
      </c>
      <c r="L778" s="90"/>
      <c r="M778" s="106">
        <f>IF(D778="","",ABS(D778-G$5))</f>
        <v>1.7481381192781683E-3</v>
      </c>
    </row>
    <row r="779" spans="2:13" ht="12.75" customHeight="1" x14ac:dyDescent="0.55000000000000004">
      <c r="B779" s="97">
        <v>46009</v>
      </c>
      <c r="C779" s="89">
        <v>6879.11</v>
      </c>
      <c r="D779" s="91">
        <f t="shared" si="106"/>
        <v>-1.4449312390517602E-2</v>
      </c>
      <c r="E779" s="89">
        <f t="shared" si="107"/>
        <v>0.91099530493462155</v>
      </c>
      <c r="F779" s="89">
        <f t="shared" si="108"/>
        <v>1.5206462280406541</v>
      </c>
      <c r="G779" s="89">
        <f t="shared" si="109"/>
        <v>1.4297355838631967</v>
      </c>
      <c r="H779" s="90" t="str">
        <f t="shared" si="110"/>
        <v/>
      </c>
      <c r="I779" s="90" t="str">
        <f t="shared" si="111"/>
        <v/>
      </c>
      <c r="J779" s="90" t="str">
        <f t="shared" si="112"/>
        <v/>
      </c>
      <c r="K779" s="90" t="str">
        <f t="shared" si="113"/>
        <v/>
      </c>
      <c r="L779" s="90"/>
      <c r="M779" s="106">
        <f>IF(D779="","",ABS(D779-G$5))</f>
        <v>1.4449312390517602E-2</v>
      </c>
    </row>
    <row r="780" spans="2:13" ht="12.75" customHeight="1" x14ac:dyDescent="0.55000000000000004">
      <c r="B780" s="97">
        <v>46010</v>
      </c>
      <c r="C780" s="89">
        <v>6768.13</v>
      </c>
      <c r="D780" s="91">
        <f t="shared" si="106"/>
        <v>-1.6264452955074102E-2</v>
      </c>
      <c r="E780" s="89">
        <f t="shared" si="107"/>
        <v>1.0196132861929044</v>
      </c>
      <c r="F780" s="89">
        <f t="shared" si="108"/>
        <v>1.7116716954302169</v>
      </c>
      <c r="G780" s="89">
        <f t="shared" si="109"/>
        <v>1.4882776339593058</v>
      </c>
      <c r="H780" s="90" t="str">
        <f t="shared" si="110"/>
        <v/>
      </c>
      <c r="I780" s="90" t="str">
        <f t="shared" si="111"/>
        <v/>
      </c>
      <c r="J780" s="90" t="str">
        <f t="shared" si="112"/>
        <v/>
      </c>
      <c r="K780" s="90" t="str">
        <f t="shared" si="113"/>
        <v/>
      </c>
      <c r="L780" s="90"/>
      <c r="M780" s="106">
        <f>IF(D780="","",ABS(D780-G$5))</f>
        <v>1.6264452955074102E-2</v>
      </c>
    </row>
    <row r="781" spans="2:13" ht="12.75" customHeight="1" x14ac:dyDescent="0.55000000000000004">
      <c r="B781" s="97">
        <v>46013</v>
      </c>
      <c r="C781" s="89">
        <v>6947.35</v>
      </c>
      <c r="D781" s="91">
        <f t="shared" si="106"/>
        <v>2.613546174398847E-2</v>
      </c>
      <c r="E781" s="89">
        <f t="shared" si="107"/>
        <v>1.5175969057135399</v>
      </c>
      <c r="F781" s="89">
        <f t="shared" si="108"/>
        <v>2.7504970648415208</v>
      </c>
      <c r="G781" s="89">
        <f t="shared" si="109"/>
        <v>1.8784051823223662</v>
      </c>
      <c r="H781" s="90" t="str">
        <f t="shared" si="110"/>
        <v/>
      </c>
      <c r="I781" s="90" t="str">
        <f t="shared" si="111"/>
        <v/>
      </c>
      <c r="J781" s="90" t="str">
        <f t="shared" si="112"/>
        <v/>
      </c>
      <c r="K781" s="90" t="str">
        <f t="shared" si="113"/>
        <v/>
      </c>
      <c r="L781" s="90"/>
      <c r="M781" s="106">
        <f>IF(D781="","",ABS(D781-G$5))</f>
        <v>2.613546174398847E-2</v>
      </c>
    </row>
    <row r="782" spans="2:13" ht="12.75" customHeight="1" x14ac:dyDescent="0.55000000000000004">
      <c r="B782" s="97">
        <v>46014</v>
      </c>
      <c r="C782" s="89">
        <v>6962.2</v>
      </c>
      <c r="D782" s="91">
        <f t="shared" si="106"/>
        <v>2.1352244525506448E-3</v>
      </c>
      <c r="E782" s="89">
        <f t="shared" si="107"/>
        <v>8.1423104511164413E-2</v>
      </c>
      <c r="F782" s="89">
        <f t="shared" si="108"/>
        <v>0.2247111088775483</v>
      </c>
      <c r="G782" s="89">
        <f t="shared" si="109"/>
        <v>0.10617305792611875</v>
      </c>
      <c r="H782" s="90" t="str">
        <f t="shared" si="110"/>
        <v/>
      </c>
      <c r="I782" s="90" t="str">
        <f t="shared" si="111"/>
        <v/>
      </c>
      <c r="J782" s="90" t="str">
        <f t="shared" si="112"/>
        <v/>
      </c>
      <c r="K782" s="90" t="str">
        <f t="shared" si="113"/>
        <v/>
      </c>
      <c r="L782" s="90"/>
      <c r="M782" s="106">
        <f>IF(D782="","",ABS(D782-G$5))</f>
        <v>2.1352244525506448E-3</v>
      </c>
    </row>
    <row r="783" spans="2:13" ht="12.75" customHeight="1" x14ac:dyDescent="0.55000000000000004">
      <c r="B783" s="97">
        <v>46015</v>
      </c>
      <c r="C783" s="89"/>
      <c r="D783" s="91" t="str">
        <f t="shared" si="106"/>
        <v/>
      </c>
      <c r="E783" s="89" t="str">
        <f t="shared" si="107"/>
        <v/>
      </c>
      <c r="F783" s="89" t="str">
        <f t="shared" si="108"/>
        <v/>
      </c>
      <c r="G783" s="89" t="str">
        <f t="shared" si="109"/>
        <v/>
      </c>
      <c r="H783" s="90" t="str">
        <f t="shared" si="110"/>
        <v/>
      </c>
      <c r="I783" s="90" t="str">
        <f t="shared" si="111"/>
        <v/>
      </c>
      <c r="J783" s="90" t="str">
        <f t="shared" si="112"/>
        <v/>
      </c>
      <c r="K783" s="90" t="str">
        <f t="shared" si="113"/>
        <v>MISSING</v>
      </c>
      <c r="L783" s="90"/>
      <c r="M783" s="106" t="str">
        <f>IF(D783="","",ABS(D783-G$5))</f>
        <v/>
      </c>
    </row>
    <row r="784" spans="2:13" ht="12.75" customHeight="1" x14ac:dyDescent="0.55000000000000004">
      <c r="B784" s="97">
        <v>46017</v>
      </c>
      <c r="C784" s="89">
        <v>6983.39</v>
      </c>
      <c r="D784" s="91" t="str">
        <f t="shared" si="106"/>
        <v/>
      </c>
      <c r="E784" s="89" t="str">
        <f t="shared" si="107"/>
        <v/>
      </c>
      <c r="F784" s="89" t="str">
        <f t="shared" si="108"/>
        <v/>
      </c>
      <c r="G784" s="89" t="str">
        <f t="shared" si="109"/>
        <v/>
      </c>
      <c r="H784" s="90" t="str">
        <f t="shared" si="110"/>
        <v/>
      </c>
      <c r="I784" s="90" t="str">
        <f t="shared" si="111"/>
        <v/>
      </c>
      <c r="J784" s="90" t="str">
        <f t="shared" si="112"/>
        <v/>
      </c>
      <c r="K784" s="90" t="str">
        <f t="shared" si="113"/>
        <v/>
      </c>
      <c r="L784" s="90"/>
      <c r="M784" s="106" t="str">
        <f>IF(D784="","",ABS(D784-G$5))</f>
        <v/>
      </c>
    </row>
    <row r="785" spans="2:13" ht="12.75" customHeight="1" x14ac:dyDescent="0.55000000000000004">
      <c r="B785" s="97">
        <v>46020</v>
      </c>
      <c r="C785" s="89">
        <v>6905.74</v>
      </c>
      <c r="D785" s="91">
        <f t="shared" si="106"/>
        <v>-1.1181522388168146E-2</v>
      </c>
      <c r="E785" s="89">
        <f t="shared" si="107"/>
        <v>0.7154508054275428</v>
      </c>
      <c r="F785" s="89">
        <f t="shared" si="108"/>
        <v>1.1767438742952483</v>
      </c>
      <c r="G785" s="89">
        <f t="shared" si="109"/>
        <v>0.73357889325185033</v>
      </c>
      <c r="H785" s="90" t="str">
        <f t="shared" si="110"/>
        <v/>
      </c>
      <c r="I785" s="90" t="str">
        <f t="shared" si="111"/>
        <v/>
      </c>
      <c r="J785" s="90" t="str">
        <f t="shared" si="112"/>
        <v/>
      </c>
      <c r="K785" s="90" t="str">
        <f t="shared" si="113"/>
        <v/>
      </c>
      <c r="L785" s="90"/>
      <c r="M785" s="106">
        <f>IF(D785="","",ABS(D785-G$5))</f>
        <v>1.1181522388168146E-2</v>
      </c>
    </row>
    <row r="786" spans="2:13" ht="12.75" customHeight="1" x14ac:dyDescent="0.55000000000000004">
      <c r="B786" s="97">
        <v>46021</v>
      </c>
      <c r="C786" s="89">
        <v>6896.24</v>
      </c>
      <c r="D786" s="91">
        <f t="shared" si="106"/>
        <v>-1.3766142974067502E-3</v>
      </c>
      <c r="E786" s="89">
        <f t="shared" si="107"/>
        <v>0.1287252680024456</v>
      </c>
      <c r="F786" s="89">
        <f t="shared" si="108"/>
        <v>0.14487494506604839</v>
      </c>
      <c r="G786" s="89">
        <f t="shared" si="109"/>
        <v>0.1389919643646304</v>
      </c>
      <c r="H786" s="90" t="str">
        <f t="shared" si="110"/>
        <v/>
      </c>
      <c r="I786" s="90" t="str">
        <f t="shared" si="111"/>
        <v/>
      </c>
      <c r="J786" s="90" t="str">
        <f t="shared" si="112"/>
        <v/>
      </c>
      <c r="K786" s="90" t="str">
        <f t="shared" si="113"/>
        <v/>
      </c>
      <c r="L786" s="90"/>
      <c r="M786" s="106">
        <f>IF(D786="","",ABS(D786-G$5))</f>
        <v>1.3766142974067502E-3</v>
      </c>
    </row>
    <row r="787" spans="2:13" ht="12.75" customHeight="1" x14ac:dyDescent="0.55000000000000004">
      <c r="B787" s="97">
        <v>46022</v>
      </c>
      <c r="C787" s="89">
        <v>6845.5</v>
      </c>
      <c r="D787" s="91">
        <f t="shared" si="106"/>
        <v>-7.3848334483381777E-3</v>
      </c>
      <c r="E787" s="89">
        <f t="shared" si="107"/>
        <v>0.48825700227944252</v>
      </c>
      <c r="F787" s="89">
        <f t="shared" si="108"/>
        <v>0.77718017469768585</v>
      </c>
      <c r="G787" s="89">
        <f t="shared" si="109"/>
        <v>0.5473292063474624</v>
      </c>
      <c r="H787" s="90" t="str">
        <f t="shared" si="110"/>
        <v/>
      </c>
      <c r="I787" s="90" t="str">
        <f t="shared" si="111"/>
        <v/>
      </c>
      <c r="J787" s="90" t="str">
        <f t="shared" si="112"/>
        <v/>
      </c>
      <c r="K787" s="90" t="str">
        <f t="shared" si="113"/>
        <v/>
      </c>
      <c r="L787" s="90"/>
      <c r="M787" s="106">
        <f>IF(D787="","",ABS(D787-G$5))</f>
        <v>7.3848334483381777E-3</v>
      </c>
    </row>
    <row r="788" spans="2:13" ht="12.75" customHeight="1" x14ac:dyDescent="0.55000000000000004"/>
    <row r="789" spans="2:13" ht="12.75" customHeight="1" x14ac:dyDescent="0.55000000000000004"/>
    <row r="790" spans="2:13" ht="12.75" customHeight="1" x14ac:dyDescent="0.55000000000000004"/>
    <row r="791" spans="2:13" ht="12.75" customHeight="1" x14ac:dyDescent="0.55000000000000004"/>
    <row r="792" spans="2:13" ht="12.75" customHeight="1" x14ac:dyDescent="0.55000000000000004"/>
    <row r="793" spans="2:13" ht="12.75" customHeight="1" x14ac:dyDescent="0.55000000000000004"/>
    <row r="794" spans="2:13" ht="12.75" customHeight="1" x14ac:dyDescent="0.55000000000000004"/>
    <row r="795" spans="2:13" ht="12.75" customHeight="1" x14ac:dyDescent="0.55000000000000004"/>
    <row r="796" spans="2:13" ht="12.75" customHeight="1" x14ac:dyDescent="0.55000000000000004"/>
    <row r="797" spans="2:13" ht="12.75" customHeight="1" x14ac:dyDescent="0.55000000000000004"/>
    <row r="798" spans="2:13" ht="12.75" customHeight="1" x14ac:dyDescent="0.55000000000000004"/>
    <row r="799" spans="2:13" ht="12.75" customHeight="1" x14ac:dyDescent="0.55000000000000004"/>
    <row r="800" spans="2:13" ht="12.75" customHeight="1" x14ac:dyDescent="0.55000000000000004"/>
    <row r="801" ht="12.75" customHeight="1" x14ac:dyDescent="0.55000000000000004"/>
    <row r="802" ht="12.75" customHeight="1" x14ac:dyDescent="0.55000000000000004"/>
    <row r="803" ht="12.75" customHeight="1" x14ac:dyDescent="0.55000000000000004"/>
    <row r="804" ht="12.75" customHeight="1" x14ac:dyDescent="0.55000000000000004"/>
    <row r="805" ht="12.75" customHeight="1" x14ac:dyDescent="0.55000000000000004"/>
    <row r="806" ht="12.75" customHeight="1" x14ac:dyDescent="0.55000000000000004"/>
    <row r="807" ht="12.75" customHeight="1" x14ac:dyDescent="0.55000000000000004"/>
    <row r="808" ht="12.75" customHeight="1" x14ac:dyDescent="0.55000000000000004"/>
    <row r="809" ht="12.75" customHeight="1" x14ac:dyDescent="0.55000000000000004"/>
    <row r="810" ht="7.5" customHeight="1" x14ac:dyDescent="0.55000000000000004"/>
    <row r="811" ht="18"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7.5" customHeight="1" x14ac:dyDescent="0.55000000000000004"/>
    <row r="823" ht="18" customHeight="1" x14ac:dyDescent="0.55000000000000004"/>
    <row r="824" ht="18" customHeight="1" x14ac:dyDescent="0.55000000000000004"/>
    <row r="825" ht="13.5" customHeight="1" x14ac:dyDescent="0.55000000000000004"/>
    <row r="826" ht="13.5" customHeight="1" x14ac:dyDescent="0.55000000000000004"/>
    <row r="827" ht="13.5" customHeight="1" x14ac:dyDescent="0.55000000000000004"/>
    <row r="828" ht="13.5" customHeight="1" x14ac:dyDescent="0.55000000000000004"/>
    <row r="829" ht="13.5" customHeight="1" x14ac:dyDescent="0.55000000000000004"/>
    <row r="830" ht="13.5" customHeight="1" x14ac:dyDescent="0.55000000000000004"/>
  </sheetData>
  <mergeCells count="8">
    <mergeCell ref="B527:L527"/>
    <mergeCell ref="C267:E267"/>
    <mergeCell ref="F267:L267"/>
    <mergeCell ref="B268:L268"/>
    <mergeCell ref="B1:L1"/>
    <mergeCell ref="B2:L2"/>
    <mergeCell ref="B4:D4"/>
    <mergeCell ref="B7:L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830"/>
  <sheetViews>
    <sheetView showGridLines="0" zoomScaleNormal="100" workbookViewId="0">
      <selection activeCell="H9" sqref="H9"/>
    </sheetView>
  </sheetViews>
  <sheetFormatPr defaultColWidth="8.68359375" defaultRowHeight="14.4" x14ac:dyDescent="0.55000000000000004"/>
  <cols>
    <col min="1" max="1" width="2" customWidth="1"/>
    <col min="2" max="2" width="13" customWidth="1"/>
    <col min="3" max="4" width="11" customWidth="1"/>
    <col min="5" max="5" width="11.7890625" bestFit="1" customWidth="1"/>
    <col min="6" max="6" width="18.62890625" customWidth="1"/>
    <col min="7" max="7" width="14.05078125" customWidth="1"/>
    <col min="8" max="8" width="10" customWidth="1"/>
    <col min="9" max="9" width="12" customWidth="1"/>
    <col min="10" max="10" width="13" customWidth="1"/>
    <col min="11" max="11" width="12" customWidth="1"/>
    <col min="12" max="12" width="13" customWidth="1"/>
    <col min="13" max="13" width="2" customWidth="1"/>
  </cols>
  <sheetData>
    <row r="1" spans="2:13" ht="33.75" customHeight="1" x14ac:dyDescent="0.55000000000000004">
      <c r="B1" s="8" t="s">
        <v>29</v>
      </c>
      <c r="C1" s="8"/>
      <c r="D1" s="8"/>
      <c r="E1" s="8"/>
      <c r="F1" s="8"/>
      <c r="G1" s="8"/>
      <c r="H1" s="8"/>
      <c r="I1" s="8"/>
      <c r="J1" s="8"/>
      <c r="K1" s="8"/>
      <c r="L1" s="8"/>
    </row>
    <row r="2" spans="2:13" ht="15.75" customHeight="1" x14ac:dyDescent="0.55000000000000004">
      <c r="B2" s="9" t="s">
        <v>61</v>
      </c>
      <c r="C2" s="9"/>
      <c r="D2" s="9"/>
      <c r="E2" s="9"/>
      <c r="F2" s="9"/>
      <c r="G2" s="9"/>
      <c r="H2" s="9"/>
      <c r="I2" s="9"/>
      <c r="J2" s="9"/>
      <c r="K2" s="9"/>
      <c r="L2" s="9"/>
    </row>
    <row r="3" spans="2:13" ht="9.75" customHeight="1" x14ac:dyDescent="0.55000000000000004">
      <c r="B3" s="1"/>
      <c r="C3" s="1"/>
      <c r="D3" s="1"/>
      <c r="E3" s="1"/>
      <c r="F3" s="1"/>
      <c r="G3" s="1"/>
      <c r="H3" s="1"/>
      <c r="I3" s="1"/>
      <c r="J3" s="1"/>
      <c r="K3" s="1"/>
      <c r="L3" s="1"/>
    </row>
    <row r="4" spans="2:13" ht="18" customHeight="1" x14ac:dyDescent="0.55000000000000004">
      <c r="B4" s="9" t="s">
        <v>45</v>
      </c>
      <c r="C4" s="9"/>
      <c r="D4" s="9"/>
      <c r="E4" s="2" t="s">
        <v>46</v>
      </c>
      <c r="F4" s="2" t="s">
        <v>47</v>
      </c>
      <c r="G4" s="2" t="s">
        <v>48</v>
      </c>
      <c r="H4" s="2" t="s">
        <v>49</v>
      </c>
      <c r="I4" s="2" t="s">
        <v>50</v>
      </c>
      <c r="J4" s="1"/>
      <c r="K4" s="1"/>
      <c r="L4" s="1"/>
      <c r="M4" s="11" t="s">
        <v>76</v>
      </c>
    </row>
    <row r="5" spans="2:13" ht="15.75" customHeight="1" x14ac:dyDescent="0.55000000000000004">
      <c r="B5" s="1"/>
      <c r="C5" s="1"/>
      <c r="D5" s="1"/>
      <c r="E5" s="3">
        <f>AVERAGE(D10:D264,D269:D522,D529:D785)</f>
        <v>1.3786845209160783E-4</v>
      </c>
      <c r="F5" s="3">
        <f>STDEV(D10:D264,D269:D522,D529:D785)</f>
        <v>5.0448711960412989E-3</v>
      </c>
      <c r="G5" s="3">
        <f>MEDIAN(D10:D264,D269:D522,D529:D785)</f>
        <v>0</v>
      </c>
      <c r="H5" s="3">
        <f>_xlfn.AGGREGATE(16,6,M9:M785,0.5)/0.6745</f>
        <v>2.9904432207701697E-3</v>
      </c>
      <c r="I5" s="4">
        <v>3</v>
      </c>
      <c r="J5" s="1"/>
      <c r="K5" s="1"/>
      <c r="L5" s="1"/>
    </row>
    <row r="6" spans="2:13" ht="7.5" customHeight="1" x14ac:dyDescent="0.55000000000000004">
      <c r="B6" s="1"/>
      <c r="C6" s="1"/>
      <c r="D6" s="1"/>
      <c r="E6" s="1"/>
      <c r="F6" s="1"/>
      <c r="G6" s="1"/>
      <c r="H6" s="1"/>
      <c r="I6" s="1"/>
      <c r="J6" s="1"/>
      <c r="K6" s="1"/>
      <c r="L6" s="1"/>
    </row>
    <row r="7" spans="2:13" ht="21.75" customHeight="1" x14ac:dyDescent="0.55000000000000004">
      <c r="B7" s="92" t="str">
        <f>"YEAR 2020   |   Observations: "&amp;COUNTA(C10:C264)&amp;"   |   Missing: "&amp;COUNTIF(K10:K264,"MISSING")&amp;"   |   Stale: "&amp;COUNTIF(L10:L264,"STALE")&amp;"   |   Z&gt;3 Outliers: "&amp;COUNTIF(H10:H264,"OUTLIER")&amp;"   |   Robust Z&gt;3: "&amp;COUNTIF(I10:I264,"OUTLIER")</f>
        <v>YEAR 2020   |   Observations: 248   |   Missing: 7   |   Stale: 5   |   Z&gt;3 Outliers: 3   |   Robust Z&gt;3: 20</v>
      </c>
      <c r="C7" s="93"/>
      <c r="D7" s="93"/>
      <c r="E7" s="93"/>
      <c r="F7" s="93"/>
      <c r="G7" s="93"/>
      <c r="H7" s="93"/>
      <c r="I7" s="93"/>
      <c r="J7" s="93"/>
      <c r="K7" s="93"/>
      <c r="L7" s="93"/>
    </row>
    <row r="8" spans="2:13" ht="21.75" customHeight="1" x14ac:dyDescent="0.55000000000000004">
      <c r="B8" s="104" t="s">
        <v>51</v>
      </c>
      <c r="C8" s="105" t="s">
        <v>52</v>
      </c>
      <c r="D8" s="103" t="s">
        <v>53</v>
      </c>
      <c r="E8" s="103" t="s">
        <v>54</v>
      </c>
      <c r="F8" s="103" t="s">
        <v>55</v>
      </c>
      <c r="G8" s="103" t="s">
        <v>56</v>
      </c>
      <c r="H8" s="103" t="s">
        <v>57</v>
      </c>
      <c r="I8" s="103" t="s">
        <v>105</v>
      </c>
      <c r="J8" s="103" t="s">
        <v>106</v>
      </c>
      <c r="K8" s="103" t="s">
        <v>58</v>
      </c>
      <c r="L8" s="103" t="s">
        <v>59</v>
      </c>
      <c r="M8" s="10" t="s">
        <v>77</v>
      </c>
    </row>
    <row r="9" spans="2:13" s="107" customFormat="1" ht="12.75" customHeight="1" x14ac:dyDescent="0.4">
      <c r="B9" s="109">
        <v>43831</v>
      </c>
      <c r="C9" s="5"/>
      <c r="D9" s="6"/>
      <c r="E9" s="6"/>
      <c r="F9" s="6"/>
      <c r="G9" s="6"/>
      <c r="H9" s="6"/>
      <c r="I9" s="6"/>
      <c r="J9" s="6"/>
      <c r="K9" s="6" t="str">
        <f>IF(C9="","MISSING","")</f>
        <v>MISSING</v>
      </c>
      <c r="L9" s="6"/>
      <c r="M9" s="110" t="str">
        <f>IF(D9="","",ABS(D9-G$5))</f>
        <v/>
      </c>
    </row>
    <row r="10" spans="2:13" s="107" customFormat="1" ht="12.75" customHeight="1" x14ac:dyDescent="0.4">
      <c r="B10" s="109">
        <v>43832</v>
      </c>
      <c r="C10" s="5">
        <v>1.1166</v>
      </c>
      <c r="D10" s="6" t="str">
        <f>IF(OR(C10="",C9=""),"",LN(C10/C9))</f>
        <v/>
      </c>
      <c r="E10" s="6" t="str">
        <f>IF(D10="","",ABS(D10-$E$5)/$F$5)</f>
        <v/>
      </c>
      <c r="F10" s="6" t="str">
        <f>IF(D10="","",ABS(D10-$G$5)/$H$5)</f>
        <v/>
      </c>
      <c r="G10" s="6" t="str">
        <f>IF(D10="","",ABS(D10-$E$5)/SQRT(0.9*(IF(G9="",$F$5^2,(ABS(D9-$E$5)/MAX(G9,0.0000000001))^2))+0.1*(D10-$E$5)^2))</f>
        <v/>
      </c>
      <c r="H10" s="6" t="str">
        <f>IF(E10="","",IF(E10&gt;$I$5,"OUTLIER",""))</f>
        <v/>
      </c>
      <c r="I10" s="6" t="str">
        <f>IF(F10="","",IF(F10&gt;$I$5,"OUTLIER",""))</f>
        <v/>
      </c>
      <c r="J10" s="6" t="str">
        <f>IF(G10="","",IF(G10&gt;$I$5,"OUTLIER",""))</f>
        <v/>
      </c>
      <c r="K10" s="6" t="str">
        <f>IF(C10="","MISSING","")</f>
        <v/>
      </c>
      <c r="L10" s="6" t="str">
        <f>IF(AND(C10&lt;&gt;"",C9&lt;&gt;"",C10=C9),"STALE","")</f>
        <v/>
      </c>
      <c r="M10" s="110" t="str">
        <f>IF(D10="","",ABS(D10-G$5))</f>
        <v/>
      </c>
    </row>
    <row r="11" spans="2:13" s="107" customFormat="1" ht="12.75" customHeight="1" x14ac:dyDescent="0.4">
      <c r="B11" s="109">
        <v>43833</v>
      </c>
      <c r="C11" s="5">
        <v>1.1173</v>
      </c>
      <c r="D11" s="6">
        <f>IF(OR(C11="",C10=""),"",LN(C11/C10))</f>
        <v>6.2670667703199133E-4</v>
      </c>
      <c r="E11" s="6">
        <f>IF(D11="","",ABS(D11-$E$5)/$F$5)</f>
        <v>9.6898058631105177E-2</v>
      </c>
      <c r="F11" s="6">
        <f>IF(D11="","",ABS(D11-$G$5)/$H$5)</f>
        <v>0.20956982987645123</v>
      </c>
      <c r="G11" s="6">
        <f>IF(D11="","",ABS(D11-$E$5)/SQRT(0.9*(IF(G10="",$F$5^2,(ABS(D10-$E$5)/MAX(G10,0.0000000001))^2))+0.1*(D11-$E$5)^2))</f>
        <v>0.10208628525564017</v>
      </c>
      <c r="H11" s="6" t="str">
        <f>IF(E11="","",IF(E11&gt;$I$5,"OUTLIER",""))</f>
        <v/>
      </c>
      <c r="I11" s="6" t="str">
        <f>IF(F11="","",IF(F11&gt;$I$5,"OUTLIER",""))</f>
        <v/>
      </c>
      <c r="J11" s="6" t="str">
        <f>IF(G11="","",IF(G11&gt;$I$5,"OUTLIER",""))</f>
        <v/>
      </c>
      <c r="K11" s="6" t="str">
        <f>IF(C11="","MISSING","")</f>
        <v/>
      </c>
      <c r="L11" s="6" t="str">
        <f>IF(AND(C11&lt;&gt;"",C10&lt;&gt;"",C11=C10),"STALE","")</f>
        <v/>
      </c>
      <c r="M11" s="110">
        <f>IF(D11="","",ABS(D11-G$5))</f>
        <v>6.2670667703199133E-4</v>
      </c>
    </row>
    <row r="12" spans="2:13" s="107" customFormat="1" ht="12.75" customHeight="1" x14ac:dyDescent="0.4">
      <c r="B12" s="109">
        <v>43836</v>
      </c>
      <c r="C12" s="5">
        <v>1.1187</v>
      </c>
      <c r="D12" s="6">
        <f>IF(OR(C12="",C11=""),"",LN(C12/C11))</f>
        <v>1.2522362995925616E-3</v>
      </c>
      <c r="E12" s="6">
        <f>IF(D12="","",ABS(D12-$E$5)/$F$5)</f>
        <v>0.22089123868522079</v>
      </c>
      <c r="F12" s="6">
        <f>IF(D12="","",ABS(D12-$G$5)/$H$5)</f>
        <v>0.41874605439592866</v>
      </c>
      <c r="G12" s="6">
        <f>IF(D12="","",ABS(D12-$E$5)/SQRT(0.9*(IF(G11="",$F$5^2,(ABS(D11-$E$5)/MAX(G11,0.0000000001))^2))+0.1*(D12-$E$5)^2))</f>
        <v>0.24457202756657817</v>
      </c>
      <c r="H12" s="6" t="str">
        <f>IF(E12="","",IF(E12&gt;$I$5,"OUTLIER",""))</f>
        <v/>
      </c>
      <c r="I12" s="6" t="str">
        <f>IF(F12="","",IF(F12&gt;$I$5,"OUTLIER",""))</f>
        <v/>
      </c>
      <c r="J12" s="6" t="str">
        <f>IF(G12="","",IF(G12&gt;$I$5,"OUTLIER",""))</f>
        <v/>
      </c>
      <c r="K12" s="6" t="str">
        <f>IF(C12="","MISSING","")</f>
        <v/>
      </c>
      <c r="L12" s="6" t="str">
        <f>IF(AND(C12&lt;&gt;"",C11&lt;&gt;"",C12=C11),"STALE","")</f>
        <v/>
      </c>
      <c r="M12" s="110">
        <f>IF(D12="","",ABS(D12-G$5))</f>
        <v>1.2522362995925616E-3</v>
      </c>
    </row>
    <row r="13" spans="2:13" s="107" customFormat="1" ht="12.75" customHeight="1" x14ac:dyDescent="0.4">
      <c r="B13" s="109">
        <v>43837</v>
      </c>
      <c r="C13" s="5">
        <v>1.1137999999999999</v>
      </c>
      <c r="D13" s="6">
        <f>IF(OR(C13="",C12=""),"",LN(C13/C12))</f>
        <v>-4.3897046973166492E-3</v>
      </c>
      <c r="E13" s="6">
        <f>IF(D13="","",ABS(D13-$E$5)/$F$5)</f>
        <v>0.89746060374366643</v>
      </c>
      <c r="F13" s="6">
        <f>IF(D13="","",ABS(D13-$G$5)/$H$5)</f>
        <v>1.4679110664358672</v>
      </c>
      <c r="G13" s="6">
        <f>IF(D13="","",ABS(D13-$E$5)/SQRT(0.9*(IF(G12="",$F$5^2,(ABS(D12-$E$5)/MAX(G12,0.0000000001))^2))+0.1*(D13-$E$5)^2))</f>
        <v>0.99430070853450037</v>
      </c>
      <c r="H13" s="6" t="str">
        <f>IF(E13="","",IF(E13&gt;$I$5,"OUTLIER",""))</f>
        <v/>
      </c>
      <c r="I13" s="6" t="str">
        <f>IF(F13="","",IF(F13&gt;$I$5,"OUTLIER",""))</f>
        <v/>
      </c>
      <c r="J13" s="6" t="str">
        <f>IF(G13="","",IF(G13&gt;$I$5,"OUTLIER",""))</f>
        <v/>
      </c>
      <c r="K13" s="6" t="str">
        <f>IF(C13="","MISSING","")</f>
        <v/>
      </c>
      <c r="L13" s="6" t="str">
        <f>IF(AND(C13&lt;&gt;"",C12&lt;&gt;"",C13=C12),"STALE","")</f>
        <v/>
      </c>
      <c r="M13" s="110">
        <f>IF(D13="","",ABS(D13-G$5))</f>
        <v>4.3897046973166492E-3</v>
      </c>
    </row>
    <row r="14" spans="2:13" s="107" customFormat="1" ht="12.75" customHeight="1" x14ac:dyDescent="0.4">
      <c r="B14" s="109">
        <v>43838</v>
      </c>
      <c r="C14" s="5">
        <v>1.1116999999999999</v>
      </c>
      <c r="D14" s="6">
        <f>IF(OR(C14="",C13=""),"",LN(C14/C13))</f>
        <v>-1.8872169159988869E-3</v>
      </c>
      <c r="E14" s="6">
        <f>IF(D14="","",ABS(D14-$E$5)/$F$5)</f>
        <v>0.40141468223798771</v>
      </c>
      <c r="F14" s="6">
        <f>IF(D14="","",ABS(D14-$G$5)/$H$5)</f>
        <v>0.63108267794258477</v>
      </c>
      <c r="G14" s="6">
        <f>IF(D14="","",ABS(D14-$E$5)/SQRT(0.9*(IF(G13="",$F$5^2,(ABS(D13-$E$5)/MAX(G13,0.0000000001))^2))+0.1*(D14-$E$5)^2))</f>
        <v>0.46371805442998615</v>
      </c>
      <c r="H14" s="6" t="str">
        <f>IF(E14="","",IF(E14&gt;$I$5,"OUTLIER",""))</f>
        <v/>
      </c>
      <c r="I14" s="6" t="str">
        <f>IF(F14="","",IF(F14&gt;$I$5,"OUTLIER",""))</f>
        <v/>
      </c>
      <c r="J14" s="6" t="str">
        <f>IF(G14="","",IF(G14&gt;$I$5,"OUTLIER",""))</f>
        <v/>
      </c>
      <c r="K14" s="6" t="str">
        <f>IF(C14="","MISSING","")</f>
        <v/>
      </c>
      <c r="L14" s="6" t="str">
        <f>IF(AND(C14&lt;&gt;"",C13&lt;&gt;"",C14=C13),"STALE","")</f>
        <v/>
      </c>
      <c r="M14" s="110">
        <f>IF(D14="","",ABS(D14-G$5))</f>
        <v>1.8872169159988869E-3</v>
      </c>
    </row>
    <row r="15" spans="2:13" s="107" customFormat="1" ht="12.75" customHeight="1" x14ac:dyDescent="0.4">
      <c r="B15" s="109">
        <v>43839</v>
      </c>
      <c r="C15" s="5">
        <v>1.1116999999999999</v>
      </c>
      <c r="D15" s="6">
        <f>IF(OR(C15="",C14=""),"",LN(C15/C14))</f>
        <v>0</v>
      </c>
      <c r="E15" s="6">
        <f>IF(D15="","",ABS(D15-$E$5)/$F$5)</f>
        <v>2.7328438474265301E-2</v>
      </c>
      <c r="F15" s="6">
        <f>IF(D15="","",ABS(D15-$G$5)/$H$5)</f>
        <v>0</v>
      </c>
      <c r="G15" s="6">
        <f>IF(D15="","",ABS(D15-$E$5)/SQRT(0.9*(IF(G14="",$F$5^2,(ABS(D14-$E$5)/MAX(G14,0.0000000001))^2))+0.1*(D15-$E$5)^2))</f>
        <v>3.327593508705956E-2</v>
      </c>
      <c r="H15" s="6" t="str">
        <f>IF(E15="","",IF(E15&gt;$I$5,"OUTLIER",""))</f>
        <v/>
      </c>
      <c r="I15" s="6" t="str">
        <f>IF(F15="","",IF(F15&gt;$I$5,"OUTLIER",""))</f>
        <v/>
      </c>
      <c r="J15" s="6" t="str">
        <f>IF(G15="","",IF(G15&gt;$I$5,"OUTLIER",""))</f>
        <v/>
      </c>
      <c r="K15" s="6" t="str">
        <f>IF(C15="","MISSING","")</f>
        <v/>
      </c>
      <c r="L15" s="6" t="str">
        <f>IF(AND(C15&lt;&gt;"",C14&lt;&gt;"",C15=C14),"STALE","")</f>
        <v>STALE</v>
      </c>
      <c r="M15" s="110">
        <f>IF(D15="","",ABS(D15-G$5))</f>
        <v>0</v>
      </c>
    </row>
    <row r="16" spans="2:13" s="107" customFormat="1" ht="12.75" customHeight="1" x14ac:dyDescent="0.4">
      <c r="B16" s="109">
        <v>43840</v>
      </c>
      <c r="C16" s="5">
        <v>1.1113999999999999</v>
      </c>
      <c r="D16" s="6">
        <f>IF(OR(C16="",C15=""),"",LN(C16/C15))</f>
        <v>-2.6989339374844005E-4</v>
      </c>
      <c r="E16" s="6">
        <f>IF(D16="","",ABS(D16-$E$5)/$F$5)</f>
        <v>8.082700826138392E-2</v>
      </c>
      <c r="F16" s="6">
        <f>IF(D16="","",ABS(D16-$G$5)/$H$5)</f>
        <v>9.0251970635620599E-2</v>
      </c>
      <c r="G16" s="6">
        <f>IF(D16="","",ABS(D16-$E$5)/SQRT(0.9*(IF(G15="",$F$5^2,(ABS(D15-$E$5)/MAX(G15,0.0000000001))^2))+0.1*(D16-$E$5)^2))</f>
        <v>0.10368528551481766</v>
      </c>
      <c r="H16" s="6" t="str">
        <f>IF(E16="","",IF(E16&gt;$I$5,"OUTLIER",""))</f>
        <v/>
      </c>
      <c r="I16" s="6" t="str">
        <f>IF(F16="","",IF(F16&gt;$I$5,"OUTLIER",""))</f>
        <v/>
      </c>
      <c r="J16" s="6" t="str">
        <f>IF(G16="","",IF(G16&gt;$I$5,"OUTLIER",""))</f>
        <v/>
      </c>
      <c r="K16" s="6" t="str">
        <f>IF(C16="","MISSING","")</f>
        <v/>
      </c>
      <c r="L16" s="6" t="str">
        <f>IF(AND(C16&lt;&gt;"",C15&lt;&gt;"",C16=C15),"STALE","")</f>
        <v/>
      </c>
      <c r="M16" s="110">
        <f>IF(D16="","",ABS(D16-G$5))</f>
        <v>2.6989339374844005E-4</v>
      </c>
    </row>
    <row r="17" spans="2:13" s="107" customFormat="1" ht="12.75" customHeight="1" x14ac:dyDescent="0.4">
      <c r="B17" s="109">
        <v>43843</v>
      </c>
      <c r="C17" s="5">
        <v>1.1148</v>
      </c>
      <c r="D17" s="6">
        <f>IF(OR(C17="",C16=""),"",LN(C17/C16))</f>
        <v>3.0545347619723466E-3</v>
      </c>
      <c r="E17" s="6">
        <f>IF(D17="","",ABS(D17-$E$5)/$F$5)</f>
        <v>0.57814485177925679</v>
      </c>
      <c r="F17" s="6">
        <f>IF(D17="","",ABS(D17-$G$5)/$H$5)</f>
        <v>1.0214321210839343</v>
      </c>
      <c r="G17" s="6">
        <f>IF(D17="","",ABS(D17-$E$5)/SQRT(0.9*(IF(G16="",$F$5^2,(ABS(D16-$E$5)/MAX(G16,0.0000000001))^2))+0.1*(D17-$E$5)^2))</f>
        <v>0.75891770132632641</v>
      </c>
      <c r="H17" s="6" t="str">
        <f>IF(E17="","",IF(E17&gt;$I$5,"OUTLIER",""))</f>
        <v/>
      </c>
      <c r="I17" s="6" t="str">
        <f>IF(F17="","",IF(F17&gt;$I$5,"OUTLIER",""))</f>
        <v/>
      </c>
      <c r="J17" s="6" t="str">
        <f>IF(G17="","",IF(G17&gt;$I$5,"OUTLIER",""))</f>
        <v/>
      </c>
      <c r="K17" s="6" t="str">
        <f>IF(C17="","MISSING","")</f>
        <v/>
      </c>
      <c r="L17" s="6" t="str">
        <f>IF(AND(C17&lt;&gt;"",C16&lt;&gt;"",C17=C16),"STALE","")</f>
        <v/>
      </c>
      <c r="M17" s="110">
        <f>IF(D17="","",ABS(D17-G$5))</f>
        <v>3.0545347619723466E-3</v>
      </c>
    </row>
    <row r="18" spans="2:13" s="107" customFormat="1" ht="12.75" customHeight="1" x14ac:dyDescent="0.4">
      <c r="B18" s="109">
        <v>43844</v>
      </c>
      <c r="C18" s="5">
        <v>1.1113</v>
      </c>
      <c r="D18" s="6">
        <f>IF(OR(C18="",C17=""),"",LN(C18/C17))</f>
        <v>-3.1445154161923684E-3</v>
      </c>
      <c r="E18" s="6">
        <f>IF(D18="","",ABS(D18-$E$5)/$F$5)</f>
        <v>0.65063779445145331</v>
      </c>
      <c r="F18" s="6">
        <f>IF(D18="","",ABS(D18-$G$5)/$H$5)</f>
        <v>1.0515215250876819</v>
      </c>
      <c r="G18" s="6">
        <f>IF(D18="","",ABS(D18-$E$5)/SQRT(0.9*(IF(G17="",$F$5^2,(ABS(D17-$E$5)/MAX(G17,0.0000000001))^2))+0.1*(D18-$E$5)^2))</f>
        <v>0.86587100327667776</v>
      </c>
      <c r="H18" s="6" t="str">
        <f>IF(E18="","",IF(E18&gt;$I$5,"OUTLIER",""))</f>
        <v/>
      </c>
      <c r="I18" s="6" t="str">
        <f>IF(F18="","",IF(F18&gt;$I$5,"OUTLIER",""))</f>
        <v/>
      </c>
      <c r="J18" s="6" t="str">
        <f>IF(G18="","",IF(G18&gt;$I$5,"OUTLIER",""))</f>
        <v/>
      </c>
      <c r="K18" s="6" t="str">
        <f>IF(C18="","MISSING","")</f>
        <v/>
      </c>
      <c r="L18" s="6" t="str">
        <f>IF(AND(C18&lt;&gt;"",C17&lt;&gt;"",C18=C17),"STALE","")</f>
        <v/>
      </c>
      <c r="M18" s="110">
        <f>IF(D18="","",ABS(D18-G$5))</f>
        <v>3.1445154161923684E-3</v>
      </c>
    </row>
    <row r="19" spans="2:13" s="107" customFormat="1" ht="12.75" customHeight="1" x14ac:dyDescent="0.4">
      <c r="B19" s="109">
        <v>43845</v>
      </c>
      <c r="C19" s="5">
        <v>1.1154999999999999</v>
      </c>
      <c r="D19" s="6">
        <f>IF(OR(C19="",C18=""),"",LN(C19/C18))</f>
        <v>3.7722336809862742E-3</v>
      </c>
      <c r="E19" s="6">
        <f>IF(D19="","",ABS(D19-$E$5)/$F$5)</f>
        <v>0.72040793266368153</v>
      </c>
      <c r="F19" s="6">
        <f>IF(D19="","",ABS(D19-$G$5)/$H$5)</f>
        <v>1.2614296284865623</v>
      </c>
      <c r="G19" s="6">
        <f>IF(D19="","",ABS(D19-$E$5)/SQRT(0.9*(IF(G18="",$F$5^2,(ABS(D18-$E$5)/MAX(G18,0.0000000001))^2))+0.1*(D19-$E$5)^2))</f>
        <v>0.9626207977244513</v>
      </c>
      <c r="H19" s="6" t="str">
        <f>IF(E19="","",IF(E19&gt;$I$5,"OUTLIER",""))</f>
        <v/>
      </c>
      <c r="I19" s="6" t="str">
        <f>IF(F19="","",IF(F19&gt;$I$5,"OUTLIER",""))</f>
        <v/>
      </c>
      <c r="J19" s="6" t="str">
        <f>IF(G19="","",IF(G19&gt;$I$5,"OUTLIER",""))</f>
        <v/>
      </c>
      <c r="K19" s="6" t="str">
        <f>IF(C19="","MISSING","")</f>
        <v/>
      </c>
      <c r="L19" s="6" t="str">
        <f>IF(AND(C19&lt;&gt;"",C18&lt;&gt;"",C19=C18),"STALE","")</f>
        <v/>
      </c>
      <c r="M19" s="110">
        <f>IF(D19="","",ABS(D19-G$5))</f>
        <v>3.7722336809862742E-3</v>
      </c>
    </row>
    <row r="20" spans="2:13" s="107" customFormat="1" ht="12.75" customHeight="1" x14ac:dyDescent="0.4">
      <c r="B20" s="109">
        <v>43846</v>
      </c>
      <c r="C20" s="5">
        <v>1.115</v>
      </c>
      <c r="D20" s="6">
        <f>IF(OR(C20="",C19=""),"",LN(C20/C19))</f>
        <v>-4.4832997836804936E-4</v>
      </c>
      <c r="E20" s="6">
        <f>IF(D20="","",ABS(D20-$E$5)/$F$5)</f>
        <v>0.11619690725100099</v>
      </c>
      <c r="F20" s="6">
        <f>IF(D20="","",ABS(D20-$G$5)/$H$5)</f>
        <v>0.14992091314563893</v>
      </c>
      <c r="G20" s="6">
        <f>IF(D20="","",ABS(D20-$E$5)/SQRT(0.9*(IF(G19="",$F$5^2,(ABS(D19-$E$5)/MAX(G19,0.0000000001))^2))+0.1*(D20-$E$5)^2))</f>
        <v>0.16344408403138269</v>
      </c>
      <c r="H20" s="6" t="str">
        <f>IF(E20="","",IF(E20&gt;$I$5,"OUTLIER",""))</f>
        <v/>
      </c>
      <c r="I20" s="6" t="str">
        <f>IF(F20="","",IF(F20&gt;$I$5,"OUTLIER",""))</f>
        <v/>
      </c>
      <c r="J20" s="6" t="str">
        <f>IF(G20="","",IF(G20&gt;$I$5,"OUTLIER",""))</f>
        <v/>
      </c>
      <c r="K20" s="6" t="str">
        <f>IF(C20="","MISSING","")</f>
        <v/>
      </c>
      <c r="L20" s="6" t="str">
        <f>IF(AND(C20&lt;&gt;"",C19&lt;&gt;"",C20=C19),"STALE","")</f>
        <v/>
      </c>
      <c r="M20" s="110">
        <f>IF(D20="","",ABS(D20-G$5))</f>
        <v>4.4832997836804936E-4</v>
      </c>
    </row>
    <row r="21" spans="2:13" s="107" customFormat="1" ht="12.75" customHeight="1" x14ac:dyDescent="0.4">
      <c r="B21" s="109">
        <v>43847</v>
      </c>
      <c r="C21" s="5">
        <v>1.109</v>
      </c>
      <c r="D21" s="6">
        <f>IF(OR(C21="",C20=""),"",LN(C21/C20))</f>
        <v>-5.395696543852092E-3</v>
      </c>
      <c r="E21" s="6">
        <f>IF(D21="","",ABS(D21-$E$5)/$F$5)</f>
        <v>1.0968694305388567</v>
      </c>
      <c r="F21" s="6">
        <f>IF(D21="","",ABS(D21-$G$5)/$H$5)</f>
        <v>1.8043133226460206</v>
      </c>
      <c r="G21" s="6">
        <f>IF(D21="","",ABS(D21-$E$5)/SQRT(0.9*(IF(G20="",$F$5^2,(ABS(D20-$E$5)/MAX(G20,0.0000000001))^2))+0.1*(D21-$E$5)^2))</f>
        <v>1.4462715538584263</v>
      </c>
      <c r="H21" s="6" t="str">
        <f>IF(E21="","",IF(E21&gt;$I$5,"OUTLIER",""))</f>
        <v/>
      </c>
      <c r="I21" s="6" t="str">
        <f>IF(F21="","",IF(F21&gt;$I$5,"OUTLIER",""))</f>
        <v/>
      </c>
      <c r="J21" s="6" t="str">
        <f>IF(G21="","",IF(G21&gt;$I$5,"OUTLIER",""))</f>
        <v/>
      </c>
      <c r="K21" s="6" t="str">
        <f>IF(C21="","MISSING","")</f>
        <v/>
      </c>
      <c r="L21" s="6" t="str">
        <f>IF(AND(C21&lt;&gt;"",C20&lt;&gt;"",C21=C20),"STALE","")</f>
        <v/>
      </c>
      <c r="M21" s="110">
        <f>IF(D21="","",ABS(D21-G$5))</f>
        <v>5.395696543852092E-3</v>
      </c>
    </row>
    <row r="22" spans="2:13" s="107" customFormat="1" ht="12.75" customHeight="1" x14ac:dyDescent="0.4">
      <c r="B22" s="109">
        <v>43850</v>
      </c>
      <c r="C22" s="5"/>
      <c r="D22" s="6" t="str">
        <f>IF(OR(C22="",C21=""),"",LN(C22/C21))</f>
        <v/>
      </c>
      <c r="E22" s="6" t="str">
        <f>IF(D22="","",ABS(D22-$E$5)/$F$5)</f>
        <v/>
      </c>
      <c r="F22" s="6" t="str">
        <f>IF(D22="","",ABS(D22-$G$5)/$H$5)</f>
        <v/>
      </c>
      <c r="G22" s="6" t="str">
        <f>IF(D22="","",ABS(D22-$E$5)/SQRT(0.9*(IF(G21="",$F$5^2,(ABS(D21-$E$5)/MAX(G21,0.0000000001))^2))+0.1*(D22-$E$5)^2))</f>
        <v/>
      </c>
      <c r="H22" s="6" t="str">
        <f>IF(E22="","",IF(E22&gt;$I$5,"OUTLIER",""))</f>
        <v/>
      </c>
      <c r="I22" s="6" t="str">
        <f>IF(F22="","",IF(F22&gt;$I$5,"OUTLIER",""))</f>
        <v/>
      </c>
      <c r="J22" s="6" t="str">
        <f>IF(G22="","",IF(G22&gt;$I$5,"OUTLIER",""))</f>
        <v/>
      </c>
      <c r="K22" s="6" t="str">
        <f>IF(C22="","MISSING","")</f>
        <v>MISSING</v>
      </c>
      <c r="L22" s="6" t="str">
        <f>IF(AND(C22&lt;&gt;"",C21&lt;&gt;"",C22=C21),"STALE","")</f>
        <v/>
      </c>
      <c r="M22" s="110" t="str">
        <f>IF(D22="","",ABS(D22-G$5))</f>
        <v/>
      </c>
    </row>
    <row r="23" spans="2:13" s="107" customFormat="1" ht="12.75" customHeight="1" x14ac:dyDescent="0.4">
      <c r="B23" s="109">
        <v>43851</v>
      </c>
      <c r="C23" s="5">
        <v>1.1089</v>
      </c>
      <c r="D23" s="6" t="str">
        <f>IF(OR(C23="",C22=""),"",LN(C23/C22))</f>
        <v/>
      </c>
      <c r="E23" s="6" t="str">
        <f>IF(D23="","",ABS(D23-$E$5)/$F$5)</f>
        <v/>
      </c>
      <c r="F23" s="6" t="str">
        <f>IF(D23="","",ABS(D23-$G$5)/$H$5)</f>
        <v/>
      </c>
      <c r="G23" s="6" t="str">
        <f>IF(D23="","",ABS(D23-$E$5)/SQRT(0.9*(IF(G22="",$F$5^2,(ABS(D22-$E$5)/MAX(G22,0.0000000001))^2))+0.1*(D23-$E$5)^2))</f>
        <v/>
      </c>
      <c r="H23" s="6" t="str">
        <f>IF(E23="","",IF(E23&gt;$I$5,"OUTLIER",""))</f>
        <v/>
      </c>
      <c r="I23" s="6" t="str">
        <f>IF(F23="","",IF(F23&gt;$I$5,"OUTLIER",""))</f>
        <v/>
      </c>
      <c r="J23" s="6" t="str">
        <f>IF(G23="","",IF(G23&gt;$I$5,"OUTLIER",""))</f>
        <v/>
      </c>
      <c r="K23" s="6" t="str">
        <f>IF(C23="","MISSING","")</f>
        <v/>
      </c>
      <c r="L23" s="6" t="str">
        <f>IF(AND(C23&lt;&gt;"",C22&lt;&gt;"",C23=C22),"STALE","")</f>
        <v/>
      </c>
      <c r="M23" s="110" t="str">
        <f>IF(D23="","",ABS(D23-G$5))</f>
        <v/>
      </c>
    </row>
    <row r="24" spans="2:13" s="107" customFormat="1" ht="12.75" customHeight="1" x14ac:dyDescent="0.4">
      <c r="B24" s="109">
        <v>43852</v>
      </c>
      <c r="C24" s="5">
        <v>1.1035999999999999</v>
      </c>
      <c r="D24" s="6">
        <f>IF(OR(C24="",C23=""),"",LN(C24/C23))</f>
        <v>-4.7909696160391762E-3</v>
      </c>
      <c r="E24" s="6">
        <f>IF(D24="","",ABS(D24-$E$5)/$F$5)</f>
        <v>0.97699978385938446</v>
      </c>
      <c r="F24" s="6">
        <f>IF(D24="","",ABS(D24-$G$5)/$H$5)</f>
        <v>1.6020934899427024</v>
      </c>
      <c r="G24" s="6">
        <f>IF(D24="","",ABS(D24-$E$5)/SQRT(0.9*(IF(G23="",$F$5^2,(ABS(D23-$E$5)/MAX(G23,0.0000000001))^2))+0.1*(D24-$E$5)^2))</f>
        <v>0.97922866652099438</v>
      </c>
      <c r="H24" s="6" t="str">
        <f>IF(E24="","",IF(E24&gt;$I$5,"OUTLIER",""))</f>
        <v/>
      </c>
      <c r="I24" s="6" t="str">
        <f>IF(F24="","",IF(F24&gt;$I$5,"OUTLIER",""))</f>
        <v/>
      </c>
      <c r="J24" s="6" t="str">
        <f>IF(G24="","",IF(G24&gt;$I$5,"OUTLIER",""))</f>
        <v/>
      </c>
      <c r="K24" s="6" t="str">
        <f>IF(C24="","MISSING","")</f>
        <v/>
      </c>
      <c r="L24" s="6" t="str">
        <f>IF(AND(C24&lt;&gt;"",C23&lt;&gt;"",C24=C23),"STALE","")</f>
        <v/>
      </c>
      <c r="M24" s="110">
        <f>IF(D24="","",ABS(D24-G$5))</f>
        <v>4.7909696160391762E-3</v>
      </c>
    </row>
    <row r="25" spans="2:13" s="107" customFormat="1" ht="12.75" customHeight="1" x14ac:dyDescent="0.4">
      <c r="B25" s="109">
        <v>43853</v>
      </c>
      <c r="C25" s="5">
        <v>1.1031</v>
      </c>
      <c r="D25" s="6">
        <f>IF(OR(C25="",C24=""),"",LN(C25/C24))</f>
        <v>-4.531653677949147E-4</v>
      </c>
      <c r="E25" s="6">
        <f>IF(D25="","",ABS(D25-$E$5)/$F$5)</f>
        <v>0.11715538354087329</v>
      </c>
      <c r="F25" s="6">
        <f>IF(D25="","",ABS(D25-$G$5)/$H$5)</f>
        <v>0.15153786055774196</v>
      </c>
      <c r="G25" s="6">
        <f>IF(D25="","",ABS(D25-$E$5)/SQRT(0.9*(IF(G24="",$F$5^2,(ABS(D24-$E$5)/MAX(G24,0.0000000001))^2))+0.1*(D25-$E$5)^2))</f>
        <v>0.12367964489217062</v>
      </c>
      <c r="H25" s="6" t="str">
        <f>IF(E25="","",IF(E25&gt;$I$5,"OUTLIER",""))</f>
        <v/>
      </c>
      <c r="I25" s="6" t="str">
        <f>IF(F25="","",IF(F25&gt;$I$5,"OUTLIER",""))</f>
        <v/>
      </c>
      <c r="J25" s="6" t="str">
        <f>IF(G25="","",IF(G25&gt;$I$5,"OUTLIER",""))</f>
        <v/>
      </c>
      <c r="K25" s="6" t="str">
        <f>IF(C25="","MISSING","")</f>
        <v/>
      </c>
      <c r="L25" s="6" t="str">
        <f>IF(AND(C25&lt;&gt;"",C24&lt;&gt;"",C25=C24),"STALE","")</f>
        <v/>
      </c>
      <c r="M25" s="110">
        <f>IF(D25="","",ABS(D25-G$5))</f>
        <v>4.531653677949147E-4</v>
      </c>
    </row>
    <row r="26" spans="2:13" s="107" customFormat="1" ht="12.75" customHeight="1" x14ac:dyDescent="0.4">
      <c r="B26" s="109">
        <v>43854</v>
      </c>
      <c r="C26" s="5">
        <v>1.1021000000000001</v>
      </c>
      <c r="D26" s="6">
        <f>IF(OR(C26="",C25=""),"",LN(C26/C25))</f>
        <v>-9.0694727783969522E-4</v>
      </c>
      <c r="E26" s="6">
        <f>IF(D26="","",ABS(D26-$E$5)/$F$5)</f>
        <v>0.20710454030048736</v>
      </c>
      <c r="F26" s="6">
        <f>IF(D26="","",ABS(D26-$G$5)/$H$5)</f>
        <v>0.30328189197523592</v>
      </c>
      <c r="G26" s="6">
        <f>IF(D26="","",ABS(D26-$E$5)/SQRT(0.9*(IF(G25="",$F$5^2,(ABS(D25-$E$5)/MAX(G25,0.0000000001))^2))+0.1*(D26-$E$5)^2))</f>
        <v>0.22985504578699939</v>
      </c>
      <c r="H26" s="6" t="str">
        <f>IF(E26="","",IF(E26&gt;$I$5,"OUTLIER",""))</f>
        <v/>
      </c>
      <c r="I26" s="6" t="str">
        <f>IF(F26="","",IF(F26&gt;$I$5,"OUTLIER",""))</f>
        <v/>
      </c>
      <c r="J26" s="6" t="str">
        <f>IF(G26="","",IF(G26&gt;$I$5,"OUTLIER",""))</f>
        <v/>
      </c>
      <c r="K26" s="6" t="str">
        <f>IF(C26="","MISSING","")</f>
        <v/>
      </c>
      <c r="L26" s="6" t="str">
        <f>IF(AND(C26&lt;&gt;"",C25&lt;&gt;"",C26=C25),"STALE","")</f>
        <v/>
      </c>
      <c r="M26" s="110">
        <f>IF(D26="","",ABS(D26-G$5))</f>
        <v>9.0694727783969522E-4</v>
      </c>
    </row>
    <row r="27" spans="2:13" s="107" customFormat="1" ht="12.75" customHeight="1" x14ac:dyDescent="0.4">
      <c r="B27" s="109">
        <v>43857</v>
      </c>
      <c r="C27" s="5">
        <v>1.1013999999999999</v>
      </c>
      <c r="D27" s="6">
        <f>IF(OR(C27="",C26=""),"",LN(C27/C26))</f>
        <v>-6.3535286911527101E-4</v>
      </c>
      <c r="E27" s="6">
        <f>IF(D27="","",ABS(D27-$E$5)/$F$5)</f>
        <v>0.15326879342600941</v>
      </c>
      <c r="F27" s="6">
        <f>IF(D27="","",ABS(D27-$G$5)/$H$5)</f>
        <v>0.21246110432808682</v>
      </c>
      <c r="G27" s="6">
        <f>IF(D27="","",ABS(D27-$E$5)/SQRT(0.9*(IF(G26="",$F$5^2,(ABS(D26-$E$5)/MAX(G26,0.0000000001))^2))+0.1*(D27-$E$5)^2))</f>
        <v>0.17901930906917982</v>
      </c>
      <c r="H27" s="6" t="str">
        <f>IF(E27="","",IF(E27&gt;$I$5,"OUTLIER",""))</f>
        <v/>
      </c>
      <c r="I27" s="6" t="str">
        <f>IF(F27="","",IF(F27&gt;$I$5,"OUTLIER",""))</f>
        <v/>
      </c>
      <c r="J27" s="6" t="str">
        <f>IF(G27="","",IF(G27&gt;$I$5,"OUTLIER",""))</f>
        <v/>
      </c>
      <c r="K27" s="6" t="str">
        <f>IF(C27="","MISSING","")</f>
        <v/>
      </c>
      <c r="L27" s="6" t="str">
        <f>IF(AND(C27&lt;&gt;"",C26&lt;&gt;"",C27=C26),"STALE","")</f>
        <v/>
      </c>
      <c r="M27" s="110">
        <f>IF(D27="","",ABS(D27-G$5))</f>
        <v>6.3535286911527101E-4</v>
      </c>
    </row>
    <row r="28" spans="2:13" s="107" customFormat="1" ht="12.75" customHeight="1" x14ac:dyDescent="0.4">
      <c r="B28" s="109">
        <v>43858</v>
      </c>
      <c r="C28" s="5">
        <v>1.1046</v>
      </c>
      <c r="D28" s="6">
        <f>IF(OR(C28="",C27=""),"",LN(C28/C27))</f>
        <v>2.9011806387061316E-3</v>
      </c>
      <c r="E28" s="6">
        <f>IF(D28="","",ABS(D28-$E$5)/$F$5)</f>
        <v>0.54774682627831806</v>
      </c>
      <c r="F28" s="6">
        <f>IF(D28="","",ABS(D28-$G$5)/$H$5)</f>
        <v>0.97015071831357191</v>
      </c>
      <c r="G28" s="6">
        <f>IF(D28="","",ABS(D28-$E$5)/SQRT(0.9*(IF(G27="",$F$5^2,(ABS(D27-$E$5)/MAX(G27,0.0000000001))^2))+0.1*(D28-$E$5)^2))</f>
        <v>0.65954909204091605</v>
      </c>
      <c r="H28" s="6" t="str">
        <f>IF(E28="","",IF(E28&gt;$I$5,"OUTLIER",""))</f>
        <v/>
      </c>
      <c r="I28" s="6" t="str">
        <f>IF(F28="","",IF(F28&gt;$I$5,"OUTLIER",""))</f>
        <v/>
      </c>
      <c r="J28" s="6" t="str">
        <f>IF(G28="","",IF(G28&gt;$I$5,"OUTLIER",""))</f>
        <v/>
      </c>
      <c r="K28" s="6" t="str">
        <f>IF(C28="","MISSING","")</f>
        <v/>
      </c>
      <c r="L28" s="6" t="str">
        <f>IF(AND(C28&lt;&gt;"",C27&lt;&gt;"",C28=C27),"STALE","")</f>
        <v/>
      </c>
      <c r="M28" s="110">
        <f>IF(D28="","",ABS(D28-G$5))</f>
        <v>2.9011806387061316E-3</v>
      </c>
    </row>
    <row r="29" spans="2:13" s="107" customFormat="1" ht="12.75" customHeight="1" x14ac:dyDescent="0.4">
      <c r="B29" s="109">
        <v>43859</v>
      </c>
      <c r="C29" s="5">
        <v>1.1013999999999999</v>
      </c>
      <c r="D29" s="6">
        <f>IF(OR(C29="",C28=""),"",LN(C29/C28))</f>
        <v>-2.9011806387061801E-3</v>
      </c>
      <c r="E29" s="6">
        <f>IF(D29="","",ABS(D29-$E$5)/$F$5)</f>
        <v>0.60240370322685821</v>
      </c>
      <c r="F29" s="6">
        <f>IF(D29="","",ABS(D29-$G$5)/$H$5)</f>
        <v>0.97015071831358812</v>
      </c>
      <c r="G29" s="6">
        <f>IF(D29="","",ABS(D29-$E$5)/SQRT(0.9*(IF(G28="",$F$5^2,(ABS(D28-$E$5)/MAX(G28,0.0000000001))^2))+0.1*(D29-$E$5)^2))</f>
        <v>0.74318370096072139</v>
      </c>
      <c r="H29" s="6" t="str">
        <f>IF(E29="","",IF(E29&gt;$I$5,"OUTLIER",""))</f>
        <v/>
      </c>
      <c r="I29" s="6" t="str">
        <f>IF(F29="","",IF(F29&gt;$I$5,"OUTLIER",""))</f>
        <v/>
      </c>
      <c r="J29" s="6" t="str">
        <f>IF(G29="","",IF(G29&gt;$I$5,"OUTLIER",""))</f>
        <v/>
      </c>
      <c r="K29" s="6" t="str">
        <f>IF(C29="","MISSING","")</f>
        <v/>
      </c>
      <c r="L29" s="6" t="str">
        <f>IF(AND(C29&lt;&gt;"",C28&lt;&gt;"",C29=C28),"STALE","")</f>
        <v/>
      </c>
      <c r="M29" s="110">
        <f>IF(D29="","",ABS(D29-G$5))</f>
        <v>2.9011806387061801E-3</v>
      </c>
    </row>
    <row r="30" spans="2:13" s="107" customFormat="1" ht="12.75" customHeight="1" x14ac:dyDescent="0.4">
      <c r="B30" s="109">
        <v>43860</v>
      </c>
      <c r="C30" s="5">
        <v>1.0998000000000001</v>
      </c>
      <c r="D30" s="6">
        <f>IF(OR(C30="",C29=""),"",LN(C30/C29))</f>
        <v>-1.4537527546666039E-3</v>
      </c>
      <c r="E30" s="6">
        <f>IF(D30="","",ABS(D30-$E$5)/$F$5)</f>
        <v>0.31549293230858977</v>
      </c>
      <c r="F30" s="6">
        <f>IF(D30="","",ABS(D30-$G$5)/$H$5)</f>
        <v>0.48613287307029995</v>
      </c>
      <c r="G30" s="6">
        <f>IF(D30="","",ABS(D30-$E$5)/SQRT(0.9*(IF(G29="",$F$5^2,(ABS(D29-$E$5)/MAX(G29,0.0000000001))^2))+0.1*(D30-$E$5)^2))</f>
        <v>0.40686672271312863</v>
      </c>
      <c r="H30" s="6" t="str">
        <f>IF(E30="","",IF(E30&gt;$I$5,"OUTLIER",""))</f>
        <v/>
      </c>
      <c r="I30" s="6" t="str">
        <f>IF(F30="","",IF(F30&gt;$I$5,"OUTLIER",""))</f>
        <v/>
      </c>
      <c r="J30" s="6" t="str">
        <f>IF(G30="","",IF(G30&gt;$I$5,"OUTLIER",""))</f>
        <v/>
      </c>
      <c r="K30" s="6" t="str">
        <f>IF(C30="","MISSING","")</f>
        <v/>
      </c>
      <c r="L30" s="6" t="str">
        <f>IF(AND(C30&lt;&gt;"",C29&lt;&gt;"",C30=C29),"STALE","")</f>
        <v/>
      </c>
      <c r="M30" s="110">
        <f>IF(D30="","",ABS(D30-G$5))</f>
        <v>1.4537527546666039E-3</v>
      </c>
    </row>
    <row r="31" spans="2:13" s="107" customFormat="1" ht="12.75" customHeight="1" x14ac:dyDescent="0.4">
      <c r="B31" s="109">
        <v>43861</v>
      </c>
      <c r="C31" s="5">
        <v>1.1092</v>
      </c>
      <c r="D31" s="6">
        <f>IF(OR(C31="",C30=""),"",LN(C31/C30))</f>
        <v>8.5106896679086105E-3</v>
      </c>
      <c r="E31" s="6">
        <f>IF(D31="","",ABS(D31-$E$5)/$F$5)</f>
        <v>1.6596699678650151</v>
      </c>
      <c r="F31" s="6">
        <f>IF(D31="","",ABS(D31-$G$5)/$H$5)</f>
        <v>2.8459626348353595</v>
      </c>
      <c r="G31" s="6">
        <f>IF(D31="","",ABS(D31-$E$5)/SQRT(0.9*(IF(G30="",$F$5^2,(ABS(D30-$E$5)/MAX(G30,0.0000000001))^2))+0.1*(D31-$E$5)^2))</f>
        <v>1.8366102564970843</v>
      </c>
      <c r="H31" s="6" t="str">
        <f>IF(E31="","",IF(E31&gt;$I$5,"OUTLIER",""))</f>
        <v/>
      </c>
      <c r="I31" s="6" t="str">
        <f>IF(F31="","",IF(F31&gt;$I$5,"OUTLIER",""))</f>
        <v/>
      </c>
      <c r="J31" s="6" t="str">
        <f>IF(G31="","",IF(G31&gt;$I$5,"OUTLIER",""))</f>
        <v/>
      </c>
      <c r="K31" s="6" t="str">
        <f>IF(C31="","MISSING","")</f>
        <v/>
      </c>
      <c r="L31" s="6" t="str">
        <f>IF(AND(C31&lt;&gt;"",C30&lt;&gt;"",C31=C30),"STALE","")</f>
        <v/>
      </c>
      <c r="M31" s="110">
        <f>IF(D31="","",ABS(D31-G$5))</f>
        <v>8.5106896679086105E-3</v>
      </c>
    </row>
    <row r="32" spans="2:13" s="107" customFormat="1" ht="12.75" customHeight="1" x14ac:dyDescent="0.4">
      <c r="B32" s="109">
        <v>43864</v>
      </c>
      <c r="C32" s="5">
        <v>1.1043000000000001</v>
      </c>
      <c r="D32" s="6">
        <f>IF(OR(C32="",C31=""),"",LN(C32/C31))</f>
        <v>-4.4273846885377775E-3</v>
      </c>
      <c r="E32" s="6">
        <f>IF(D32="","",ABS(D32-$E$5)/$F$5)</f>
        <v>0.90492957366517712</v>
      </c>
      <c r="F32" s="6">
        <f>IF(D32="","",ABS(D32-$G$5)/$H$5)</f>
        <v>1.4805112024155178</v>
      </c>
      <c r="G32" s="6">
        <f>IF(D32="","",ABS(D32-$E$5)/SQRT(0.9*(IF(G31="",$F$5^2,(ABS(D31-$E$5)/MAX(G31,0.0000000001))^2))+0.1*(D32-$E$5)^2))</f>
        <v>1.0012648471676455</v>
      </c>
      <c r="H32" s="6" t="str">
        <f>IF(E32="","",IF(E32&gt;$I$5,"OUTLIER",""))</f>
        <v/>
      </c>
      <c r="I32" s="6" t="str">
        <f>IF(F32="","",IF(F32&gt;$I$5,"OUTLIER",""))</f>
        <v/>
      </c>
      <c r="J32" s="6" t="str">
        <f>IF(G32="","",IF(G32&gt;$I$5,"OUTLIER",""))</f>
        <v/>
      </c>
      <c r="K32" s="6" t="str">
        <f>IF(C32="","MISSING","")</f>
        <v/>
      </c>
      <c r="L32" s="6" t="str">
        <f>IF(AND(C32&lt;&gt;"",C31&lt;&gt;"",C32=C31),"STALE","")</f>
        <v/>
      </c>
      <c r="M32" s="110">
        <f>IF(D32="","",ABS(D32-G$5))</f>
        <v>4.4273846885377775E-3</v>
      </c>
    </row>
    <row r="33" spans="2:13" s="107" customFormat="1" ht="12.75" customHeight="1" x14ac:dyDescent="0.4">
      <c r="B33" s="109">
        <v>43865</v>
      </c>
      <c r="C33" s="5">
        <v>1.0996999999999999</v>
      </c>
      <c r="D33" s="6">
        <f>IF(OR(C33="",C32=""),"",LN(C33/C32))</f>
        <v>-4.1742347361965011E-3</v>
      </c>
      <c r="E33" s="6">
        <f>IF(D33="","",ABS(D33-$E$5)/$F$5)</f>
        <v>0.85474990752426105</v>
      </c>
      <c r="F33" s="6">
        <f>IF(D33="","",ABS(D33-$G$5)/$H$5)</f>
        <v>1.3958582149977934</v>
      </c>
      <c r="G33" s="6">
        <f>IF(D33="","",ABS(D33-$E$5)/SQRT(0.9*(IF(G32="",$F$5^2,(ABS(D32-$E$5)/MAX(G32,0.0000000001))^2))+0.1*(D33-$E$5)^2))</f>
        <v>0.95077521829514489</v>
      </c>
      <c r="H33" s="6" t="str">
        <f>IF(E33="","",IF(E33&gt;$I$5,"OUTLIER",""))</f>
        <v/>
      </c>
      <c r="I33" s="6" t="str">
        <f>IF(F33="","",IF(F33&gt;$I$5,"OUTLIER",""))</f>
        <v/>
      </c>
      <c r="J33" s="6" t="str">
        <f>IF(G33="","",IF(G33&gt;$I$5,"OUTLIER",""))</f>
        <v/>
      </c>
      <c r="K33" s="6" t="str">
        <f>IF(C33="","MISSING","")</f>
        <v/>
      </c>
      <c r="L33" s="6" t="str">
        <f>IF(AND(C33&lt;&gt;"",C32&lt;&gt;"",C33=C32),"STALE","")</f>
        <v/>
      </c>
      <c r="M33" s="110">
        <f>IF(D33="","",ABS(D33-G$5))</f>
        <v>4.1742347361965011E-3</v>
      </c>
    </row>
    <row r="34" spans="2:13" s="107" customFormat="1" ht="12.75" customHeight="1" x14ac:dyDescent="0.4">
      <c r="B34" s="109">
        <v>43866</v>
      </c>
      <c r="C34" s="5">
        <v>1.0952999999999999</v>
      </c>
      <c r="D34" s="6">
        <f>IF(OR(C34="",C33=""),"",LN(C34/C33))</f>
        <v>-4.0091169871878472E-3</v>
      </c>
      <c r="E34" s="6">
        <f>IF(D34="","",ABS(D34-$E$5)/$F$5)</f>
        <v>0.82202008299708174</v>
      </c>
      <c r="F34" s="6">
        <f>IF(D34="","",ABS(D34-$G$5)/$H$5)</f>
        <v>1.3406430723521059</v>
      </c>
      <c r="G34" s="6">
        <f>IF(D34="","",ABS(D34-$E$5)/SQRT(0.9*(IF(G33="",$F$5^2,(ABS(D33-$E$5)/MAX(G33,0.0000000001))^2))+0.1*(D34-$E$5)^2))</f>
        <v>0.92195648226377391</v>
      </c>
      <c r="H34" s="6" t="str">
        <f>IF(E34="","",IF(E34&gt;$I$5,"OUTLIER",""))</f>
        <v/>
      </c>
      <c r="I34" s="6" t="str">
        <f>IF(F34="","",IF(F34&gt;$I$5,"OUTLIER",""))</f>
        <v/>
      </c>
      <c r="J34" s="6" t="str">
        <f>IF(G34="","",IF(G34&gt;$I$5,"OUTLIER",""))</f>
        <v/>
      </c>
      <c r="K34" s="6" t="str">
        <f>IF(C34="","MISSING","")</f>
        <v/>
      </c>
      <c r="L34" s="6" t="str">
        <f>IF(AND(C34&lt;&gt;"",C33&lt;&gt;"",C34=C33),"STALE","")</f>
        <v/>
      </c>
      <c r="M34" s="110">
        <f>IF(D34="","",ABS(D34-G$5))</f>
        <v>4.0091169871878472E-3</v>
      </c>
    </row>
    <row r="35" spans="2:13" s="107" customFormat="1" ht="12.75" customHeight="1" x14ac:dyDescent="0.4">
      <c r="B35" s="109">
        <v>43867</v>
      </c>
      <c r="C35" s="5">
        <v>1.0954999999999999</v>
      </c>
      <c r="D35" s="6">
        <f>IF(OR(C35="",C34=""),"",LN(C35/C34))</f>
        <v>1.8258170582032029E-4</v>
      </c>
      <c r="E35" s="6">
        <f>IF(D35="","",ABS(D35-$E$5)/$F$5)</f>
        <v>8.8631110668987677E-3</v>
      </c>
      <c r="F35" s="6">
        <f>IF(D35="","",ABS(D35-$G$5)/$H$5)</f>
        <v>6.1055065199765779E-2</v>
      </c>
      <c r="G35" s="6">
        <f>IF(D35="","",ABS(D35-$E$5)/SQRT(0.9*(IF(G34="",$F$5^2,(ABS(D34-$E$5)/MAX(G34,0.0000000001))^2))+0.1*(D35-$E$5)^2))</f>
        <v>1.0478293208071294E-2</v>
      </c>
      <c r="H35" s="6" t="str">
        <f>IF(E35="","",IF(E35&gt;$I$5,"OUTLIER",""))</f>
        <v/>
      </c>
      <c r="I35" s="6" t="str">
        <f>IF(F35="","",IF(F35&gt;$I$5,"OUTLIER",""))</f>
        <v/>
      </c>
      <c r="J35" s="6" t="str">
        <f>IF(G35="","",IF(G35&gt;$I$5,"OUTLIER",""))</f>
        <v/>
      </c>
      <c r="K35" s="6" t="str">
        <f>IF(C35="","MISSING","")</f>
        <v/>
      </c>
      <c r="L35" s="6" t="str">
        <f>IF(AND(C35&lt;&gt;"",C34&lt;&gt;"",C35=C34),"STALE","")</f>
        <v/>
      </c>
      <c r="M35" s="110">
        <f>IF(D35="","",ABS(D35-G$5))</f>
        <v>1.8258170582032029E-4</v>
      </c>
    </row>
    <row r="36" spans="2:13" s="107" customFormat="1" ht="12.75" customHeight="1" x14ac:dyDescent="0.4">
      <c r="B36" s="109">
        <v>43868</v>
      </c>
      <c r="C36" s="5">
        <v>1.0912999999999999</v>
      </c>
      <c r="D36" s="6">
        <f>IF(OR(C36="",C35=""),"",LN(C36/C35))</f>
        <v>-3.8412339164770552E-3</v>
      </c>
      <c r="E36" s="6">
        <f>IF(D36="","",ABS(D36-$E$5)/$F$5)</f>
        <v>0.7887421133152136</v>
      </c>
      <c r="F36" s="6">
        <f>IF(D36="","",ABS(D36-$G$5)/$H$5)</f>
        <v>1.284503210025091</v>
      </c>
      <c r="G36" s="6">
        <f>IF(D36="","",ABS(D36-$E$5)/SQRT(0.9*(IF(G35="",$F$5^2,(ABS(D35-$E$5)/MAX(G35,0.0000000001))^2))+0.1*(D36-$E$5)^2))</f>
        <v>0.93862345992977358</v>
      </c>
      <c r="H36" s="6" t="str">
        <f>IF(E36="","",IF(E36&gt;$I$5,"OUTLIER",""))</f>
        <v/>
      </c>
      <c r="I36" s="6" t="str">
        <f>IF(F36="","",IF(F36&gt;$I$5,"OUTLIER",""))</f>
        <v/>
      </c>
      <c r="J36" s="6" t="str">
        <f>IF(G36="","",IF(G36&gt;$I$5,"OUTLIER",""))</f>
        <v/>
      </c>
      <c r="K36" s="6" t="str">
        <f>IF(C36="","MISSING","")</f>
        <v/>
      </c>
      <c r="L36" s="6" t="str">
        <f>IF(AND(C36&lt;&gt;"",C35&lt;&gt;"",C36=C35),"STALE","")</f>
        <v/>
      </c>
      <c r="M36" s="110">
        <f>IF(D36="","",ABS(D36-G$5))</f>
        <v>3.8412339164770552E-3</v>
      </c>
    </row>
    <row r="37" spans="2:13" s="107" customFormat="1" ht="12.75" customHeight="1" x14ac:dyDescent="0.4">
      <c r="B37" s="109">
        <v>43871</v>
      </c>
      <c r="C37" s="5">
        <v>1.0911</v>
      </c>
      <c r="D37" s="6">
        <f>IF(OR(C37="",C36=""),"",LN(C37/C36))</f>
        <v>-1.8328445799107093E-4</v>
      </c>
      <c r="E37" s="6">
        <f>IF(D37="","",ABS(D37-$E$5)/$F$5)</f>
        <v>6.3659288335188191E-2</v>
      </c>
      <c r="F37" s="6">
        <f>IF(D37="","",ABS(D37-$G$5)/$H$5)</f>
        <v>6.1290064535606592E-2</v>
      </c>
      <c r="G37" s="6">
        <f>IF(D37="","",ABS(D37-$E$5)/SQRT(0.9*(IF(G36="",$F$5^2,(ABS(D36-$E$5)/MAX(G36,0.0000000001))^2))+0.1*(D37-$E$5)^2))</f>
        <v>7.9828593234926984E-2</v>
      </c>
      <c r="H37" s="6" t="str">
        <f>IF(E37="","",IF(E37&gt;$I$5,"OUTLIER",""))</f>
        <v/>
      </c>
      <c r="I37" s="6" t="str">
        <f>IF(F37="","",IF(F37&gt;$I$5,"OUTLIER",""))</f>
        <v/>
      </c>
      <c r="J37" s="6" t="str">
        <f>IF(G37="","",IF(G37&gt;$I$5,"OUTLIER",""))</f>
        <v/>
      </c>
      <c r="K37" s="6" t="str">
        <f>IF(C37="","MISSING","")</f>
        <v/>
      </c>
      <c r="L37" s="6" t="str">
        <f>IF(AND(C37&lt;&gt;"",C36&lt;&gt;"",C37=C36),"STALE","")</f>
        <v/>
      </c>
      <c r="M37" s="110">
        <f>IF(D37="","",ABS(D37-G$5))</f>
        <v>1.8328445799107093E-4</v>
      </c>
    </row>
    <row r="38" spans="2:13" s="107" customFormat="1" ht="12.75" customHeight="1" x14ac:dyDescent="0.4">
      <c r="B38" s="109">
        <v>43872</v>
      </c>
      <c r="C38" s="5">
        <v>1.0903</v>
      </c>
      <c r="D38" s="6">
        <f>IF(OR(C38="",C37=""),"",LN(C38/C37))</f>
        <v>-7.3347394871689931E-4</v>
      </c>
      <c r="E38" s="6">
        <f>IF(D38="","",ABS(D38-$E$5)/$F$5)</f>
        <v>0.17271846335586286</v>
      </c>
      <c r="F38" s="6">
        <f>IF(D38="","",ABS(D38-$G$5)/$H$5)</f>
        <v>0.24527265511096971</v>
      </c>
      <c r="G38" s="6">
        <f>IF(D38="","",ABS(D38-$E$5)/SQRT(0.9*(IF(G37="",$F$5^2,(ABS(D37-$E$5)/MAX(G37,0.0000000001))^2))+0.1*(D38-$E$5)^2))</f>
        <v>0.22771168300718331</v>
      </c>
      <c r="H38" s="6" t="str">
        <f>IF(E38="","",IF(E38&gt;$I$5,"OUTLIER",""))</f>
        <v/>
      </c>
      <c r="I38" s="6" t="str">
        <f>IF(F38="","",IF(F38&gt;$I$5,"OUTLIER",""))</f>
        <v/>
      </c>
      <c r="J38" s="6" t="str">
        <f>IF(G38="","",IF(G38&gt;$I$5,"OUTLIER",""))</f>
        <v/>
      </c>
      <c r="K38" s="6" t="str">
        <f>IF(C38="","MISSING","")</f>
        <v/>
      </c>
      <c r="L38" s="6" t="str">
        <f>IF(AND(C38&lt;&gt;"",C37&lt;&gt;"",C38=C37),"STALE","")</f>
        <v/>
      </c>
      <c r="M38" s="110">
        <f>IF(D38="","",ABS(D38-G$5))</f>
        <v>7.3347394871689931E-4</v>
      </c>
    </row>
    <row r="39" spans="2:13" s="107" customFormat="1" ht="12.75" customHeight="1" x14ac:dyDescent="0.4">
      <c r="B39" s="109">
        <v>43873</v>
      </c>
      <c r="C39" s="5">
        <v>1.0847</v>
      </c>
      <c r="D39" s="6">
        <f>IF(OR(C39="",C38=""),"",LN(C39/C38))</f>
        <v>-5.1494366661643115E-3</v>
      </c>
      <c r="E39" s="6">
        <f>IF(D39="","",ABS(D39-$E$5)/$F$5)</f>
        <v>1.0480555226870527</v>
      </c>
      <c r="F39" s="6">
        <f>IF(D39="","",ABS(D39-$G$5)/$H$5)</f>
        <v>1.7219643664854827</v>
      </c>
      <c r="G39" s="6">
        <f>IF(D39="","",ABS(D39-$E$5)/SQRT(0.9*(IF(G38="",$F$5^2,(ABS(D38-$E$5)/MAX(G38,0.0000000001))^2))+0.1*(D39-$E$5)^2))</f>
        <v>1.3229197177032008</v>
      </c>
      <c r="H39" s="6" t="str">
        <f>IF(E39="","",IF(E39&gt;$I$5,"OUTLIER",""))</f>
        <v/>
      </c>
      <c r="I39" s="6" t="str">
        <f>IF(F39="","",IF(F39&gt;$I$5,"OUTLIER",""))</f>
        <v/>
      </c>
      <c r="J39" s="6" t="str">
        <f>IF(G39="","",IF(G39&gt;$I$5,"OUTLIER",""))</f>
        <v/>
      </c>
      <c r="K39" s="6" t="str">
        <f>IF(C39="","MISSING","")</f>
        <v/>
      </c>
      <c r="L39" s="6" t="str">
        <f>IF(AND(C39&lt;&gt;"",C38&lt;&gt;"",C39=C38),"STALE","")</f>
        <v/>
      </c>
      <c r="M39" s="110">
        <f>IF(D39="","",ABS(D39-G$5))</f>
        <v>5.1494366661643115E-3</v>
      </c>
    </row>
    <row r="40" spans="2:13" s="107" customFormat="1" ht="12.75" customHeight="1" x14ac:dyDescent="0.4">
      <c r="B40" s="109">
        <v>43874</v>
      </c>
      <c r="C40" s="5">
        <v>1.0840000000000001</v>
      </c>
      <c r="D40" s="6">
        <f>IF(OR(C40="",C39=""),"",LN(C40/C39))</f>
        <v>-6.4554804658026115E-4</v>
      </c>
      <c r="E40" s="6">
        <f>IF(D40="","",ABS(D40-$E$5)/$F$5)</f>
        <v>0.15528969288385686</v>
      </c>
      <c r="F40" s="6">
        <f>IF(D40="","",ABS(D40-$G$5)/$H$5)</f>
        <v>0.21587035730910964</v>
      </c>
      <c r="G40" s="6">
        <f>IF(D40="","",ABS(D40-$E$5)/SQRT(0.9*(IF(G39="",$F$5^2,(ABS(D39-$E$5)/MAX(G39,0.0000000001))^2))+0.1*(D40-$E$5)^2))</f>
        <v>0.20617951546673274</v>
      </c>
      <c r="H40" s="6" t="str">
        <f>IF(E40="","",IF(E40&gt;$I$5,"OUTLIER",""))</f>
        <v/>
      </c>
      <c r="I40" s="6" t="str">
        <f>IF(F40="","",IF(F40&gt;$I$5,"OUTLIER",""))</f>
        <v/>
      </c>
      <c r="J40" s="6" t="str">
        <f>IF(G40="","",IF(G40&gt;$I$5,"OUTLIER",""))</f>
        <v/>
      </c>
      <c r="K40" s="6" t="str">
        <f>IF(C40="","MISSING","")</f>
        <v/>
      </c>
      <c r="L40" s="6" t="str">
        <f>IF(AND(C40&lt;&gt;"",C39&lt;&gt;"",C40=C39),"STALE","")</f>
        <v/>
      </c>
      <c r="M40" s="110">
        <f>IF(D40="","",ABS(D40-G$5))</f>
        <v>6.4554804658026115E-4</v>
      </c>
    </row>
    <row r="41" spans="2:13" s="107" customFormat="1" ht="12.75" customHeight="1" x14ac:dyDescent="0.4">
      <c r="B41" s="109">
        <v>43875</v>
      </c>
      <c r="C41" s="5">
        <v>1.0834999999999999</v>
      </c>
      <c r="D41" s="6">
        <f>IF(OR(C41="",C40=""),"",LN(C41/C40))</f>
        <v>-4.6136102317796565E-4</v>
      </c>
      <c r="E41" s="6">
        <f>IF(D41="","",ABS(D41-$E$5)/$F$5)</f>
        <v>0.11877993549959961</v>
      </c>
      <c r="F41" s="6">
        <f>IF(D41="","",ABS(D41-$G$5)/$H$5)</f>
        <v>0.1542784761715506</v>
      </c>
      <c r="G41" s="6">
        <f>IF(D41="","",ABS(D41-$E$5)/SQRT(0.9*(IF(G40="",$F$5^2,(ABS(D40-$E$5)/MAX(G40,0.0000000001))^2))+0.1*(D41-$E$5)^2))</f>
        <v>0.16600664367658499</v>
      </c>
      <c r="H41" s="6" t="str">
        <f>IF(E41="","",IF(E41&gt;$I$5,"OUTLIER",""))</f>
        <v/>
      </c>
      <c r="I41" s="6" t="str">
        <f>IF(F41="","",IF(F41&gt;$I$5,"OUTLIER",""))</f>
        <v/>
      </c>
      <c r="J41" s="6" t="str">
        <f>IF(G41="","",IF(G41&gt;$I$5,"OUTLIER",""))</f>
        <v/>
      </c>
      <c r="K41" s="6" t="str">
        <f>IF(C41="","MISSING","")</f>
        <v/>
      </c>
      <c r="L41" s="6" t="str">
        <f>IF(AND(C41&lt;&gt;"",C40&lt;&gt;"",C41=C40),"STALE","")</f>
        <v/>
      </c>
      <c r="M41" s="110">
        <f>IF(D41="","",ABS(D41-G$5))</f>
        <v>4.6136102317796565E-4</v>
      </c>
    </row>
    <row r="42" spans="2:13" s="107" customFormat="1" ht="12.75" customHeight="1" x14ac:dyDescent="0.4">
      <c r="B42" s="109">
        <v>43879</v>
      </c>
      <c r="C42" s="5">
        <v>1.0833999999999999</v>
      </c>
      <c r="D42" s="6">
        <f>IF(OR(C42="",C41=""),"",LN(C42/C41))</f>
        <v>-9.2297752615274682E-5</v>
      </c>
      <c r="E42" s="6">
        <f>IF(D42="","",ABS(D42-$E$5)/$F$5)</f>
        <v>4.5623802028383502E-2</v>
      </c>
      <c r="F42" s="6">
        <f>IF(D42="","",ABS(D42-$G$5)/$H$5)</f>
        <v>3.0864238442722874E-2</v>
      </c>
      <c r="G42" s="6">
        <f>IF(D42="","",ABS(D42-$E$5)/SQRT(0.9*(IF(G41="",$F$5^2,(ABS(D41-$E$5)/MAX(G41,0.0000000001))^2))+0.1*(D42-$E$5)^2))</f>
        <v>6.7197718425851649E-2</v>
      </c>
      <c r="H42" s="6" t="str">
        <f>IF(E42="","",IF(E42&gt;$I$5,"OUTLIER",""))</f>
        <v/>
      </c>
      <c r="I42" s="6" t="str">
        <f>IF(F42="","",IF(F42&gt;$I$5,"OUTLIER",""))</f>
        <v/>
      </c>
      <c r="J42" s="6" t="str">
        <f>IF(G42="","",IF(G42&gt;$I$5,"OUTLIER",""))</f>
        <v/>
      </c>
      <c r="K42" s="6" t="str">
        <f>IF(C42="","MISSING","")</f>
        <v/>
      </c>
      <c r="L42" s="6" t="str">
        <f>IF(AND(C42&lt;&gt;"",C41&lt;&gt;"",C42=C41),"STALE","")</f>
        <v/>
      </c>
      <c r="M42" s="110">
        <f>IF(D42="","",ABS(D42-G$5))</f>
        <v>9.2297752615274682E-5</v>
      </c>
    </row>
    <row r="43" spans="2:13" s="107" customFormat="1" ht="12.75" customHeight="1" x14ac:dyDescent="0.4">
      <c r="B43" s="109">
        <v>43880</v>
      </c>
      <c r="C43" s="5">
        <v>1.0794999999999999</v>
      </c>
      <c r="D43" s="6">
        <f>IF(OR(C43="",C42=""),"",LN(C43/C42))</f>
        <v>-3.6062732689364804E-3</v>
      </c>
      <c r="E43" s="6">
        <f>IF(D43="","",ABS(D43-$E$5)/$F$5)</f>
        <v>0.74216795147636461</v>
      </c>
      <c r="F43" s="6">
        <f>IF(D43="","",ABS(D43-$G$5)/$H$5)</f>
        <v>1.2059327005070866</v>
      </c>
      <c r="G43" s="6">
        <f>IF(D43="","",ABS(D43-$E$5)/SQRT(0.9*(IF(G42="",$F$5^2,(ABS(D42-$E$5)/MAX(G42,0.0000000001))^2))+0.1*(D43-$E$5)^2))</f>
        <v>1.0826144692870336</v>
      </c>
      <c r="H43" s="6" t="str">
        <f>IF(E43="","",IF(E43&gt;$I$5,"OUTLIER",""))</f>
        <v/>
      </c>
      <c r="I43" s="6" t="str">
        <f>IF(F43="","",IF(F43&gt;$I$5,"OUTLIER",""))</f>
        <v/>
      </c>
      <c r="J43" s="6" t="str">
        <f>IF(G43="","",IF(G43&gt;$I$5,"OUTLIER",""))</f>
        <v/>
      </c>
      <c r="K43" s="6" t="str">
        <f>IF(C43="","MISSING","")</f>
        <v/>
      </c>
      <c r="L43" s="6" t="str">
        <f>IF(AND(C43&lt;&gt;"",C42&lt;&gt;"",C43=C42),"STALE","")</f>
        <v/>
      </c>
      <c r="M43" s="110">
        <f>IF(D43="","",ABS(D43-G$5))</f>
        <v>3.6062732689364804E-3</v>
      </c>
    </row>
    <row r="44" spans="2:13" s="107" customFormat="1" ht="12.75" customHeight="1" x14ac:dyDescent="0.4">
      <c r="B44" s="109">
        <v>43881</v>
      </c>
      <c r="C44" s="5">
        <v>1.0788</v>
      </c>
      <c r="D44" s="6">
        <f>IF(OR(C44="",C43=""),"",LN(C44/C43))</f>
        <v>-6.4865868928710285E-4</v>
      </c>
      <c r="E44" s="6">
        <f>IF(D44="","",ABS(D44-$E$5)/$F$5)</f>
        <v>0.15590628795357492</v>
      </c>
      <c r="F44" s="6">
        <f>IF(D44="","",ABS(D44-$G$5)/$H$5)</f>
        <v>0.21691055184791133</v>
      </c>
      <c r="G44" s="6">
        <f>IF(D44="","",ABS(D44-$E$5)/SQRT(0.9*(IF(G43="",$F$5^2,(ABS(D43-$E$5)/MAX(G43,0.0000000001))^2))+0.1*(D44-$E$5)^2))</f>
        <v>0.23903950015423497</v>
      </c>
      <c r="H44" s="6" t="str">
        <f>IF(E44="","",IF(E44&gt;$I$5,"OUTLIER",""))</f>
        <v/>
      </c>
      <c r="I44" s="6" t="str">
        <f>IF(F44="","",IF(F44&gt;$I$5,"OUTLIER",""))</f>
        <v/>
      </c>
      <c r="J44" s="6" t="str">
        <f>IF(G44="","",IF(G44&gt;$I$5,"OUTLIER",""))</f>
        <v/>
      </c>
      <c r="K44" s="6" t="str">
        <f>IF(C44="","MISSING","")</f>
        <v/>
      </c>
      <c r="L44" s="6" t="str">
        <f>IF(AND(C44&lt;&gt;"",C43&lt;&gt;"",C44=C43),"STALE","")</f>
        <v/>
      </c>
      <c r="M44" s="110">
        <f>IF(D44="","",ABS(D44-G$5))</f>
        <v>6.4865868928710285E-4</v>
      </c>
    </row>
    <row r="45" spans="2:13" s="107" customFormat="1" ht="12.75" customHeight="1" x14ac:dyDescent="0.4">
      <c r="B45" s="109">
        <v>43882</v>
      </c>
      <c r="C45" s="5">
        <v>1.0835999999999999</v>
      </c>
      <c r="D45" s="6">
        <f>IF(OR(C45="",C44=""),"",LN(C45/C44))</f>
        <v>4.4395189453651203E-3</v>
      </c>
      <c r="E45" s="6">
        <f>IF(D45="","",ABS(D45-$E$5)/$F$5)</f>
        <v>0.85267796265026752</v>
      </c>
      <c r="F45" s="6">
        <f>IF(D45="","",ABS(D45-$G$5)/$H$5)</f>
        <v>1.4845688808034785</v>
      </c>
      <c r="G45" s="6">
        <f>IF(D45="","",ABS(D45-$E$5)/SQRT(0.9*(IF(G44="",$F$5^2,(ABS(D44-$E$5)/MAX(G44,0.0000000001))^2))+0.1*(D45-$E$5)^2))</f>
        <v>1.263320142718438</v>
      </c>
      <c r="H45" s="6" t="str">
        <f>IF(E45="","",IF(E45&gt;$I$5,"OUTLIER",""))</f>
        <v/>
      </c>
      <c r="I45" s="6" t="str">
        <f>IF(F45="","",IF(F45&gt;$I$5,"OUTLIER",""))</f>
        <v/>
      </c>
      <c r="J45" s="6" t="str">
        <f>IF(G45="","",IF(G45&gt;$I$5,"OUTLIER",""))</f>
        <v/>
      </c>
      <c r="K45" s="6" t="str">
        <f>IF(C45="","MISSING","")</f>
        <v/>
      </c>
      <c r="L45" s="6" t="str">
        <f>IF(AND(C45&lt;&gt;"",C44&lt;&gt;"",C45=C44),"STALE","")</f>
        <v/>
      </c>
      <c r="M45" s="110">
        <f>IF(D45="","",ABS(D45-G$5))</f>
        <v>4.4395189453651203E-3</v>
      </c>
    </row>
    <row r="46" spans="2:13" s="107" customFormat="1" ht="12.75" customHeight="1" x14ac:dyDescent="0.4">
      <c r="B46" s="109">
        <v>43885</v>
      </c>
      <c r="C46" s="5">
        <v>1.0854999999999999</v>
      </c>
      <c r="D46" s="6">
        <f>IF(OR(C46="",C45=""),"",LN(C46/C45))</f>
        <v>1.7518791074065331E-3</v>
      </c>
      <c r="E46" s="6">
        <f>IF(D46="","",ABS(D46-$E$5)/$F$5)</f>
        <v>0.3199309937945366</v>
      </c>
      <c r="F46" s="6">
        <f>IF(D46="","",ABS(D46-$G$5)/$H$5)</f>
        <v>0.58582590541724033</v>
      </c>
      <c r="G46" s="6">
        <f>IF(D46="","",ABS(D46-$E$5)/SQRT(0.9*(IF(G45="",$F$5^2,(ABS(D45-$E$5)/MAX(G45,0.0000000001))^2))+0.1*(D46-$E$5)^2))</f>
        <v>0.49352480032762408</v>
      </c>
      <c r="H46" s="6" t="str">
        <f>IF(E46="","",IF(E46&gt;$I$5,"OUTLIER",""))</f>
        <v/>
      </c>
      <c r="I46" s="6" t="str">
        <f>IF(F46="","",IF(F46&gt;$I$5,"OUTLIER",""))</f>
        <v/>
      </c>
      <c r="J46" s="6" t="str">
        <f>IF(G46="","",IF(G46&gt;$I$5,"OUTLIER",""))</f>
        <v/>
      </c>
      <c r="K46" s="6" t="str">
        <f>IF(C46="","MISSING","")</f>
        <v/>
      </c>
      <c r="L46" s="6" t="str">
        <f>IF(AND(C46&lt;&gt;"",C45&lt;&gt;"",C46=C45),"STALE","")</f>
        <v/>
      </c>
      <c r="M46" s="110">
        <f>IF(D46="","",ABS(D46-G$5))</f>
        <v>1.7518791074065331E-3</v>
      </c>
    </row>
    <row r="47" spans="2:13" s="107" customFormat="1" ht="12.75" customHeight="1" x14ac:dyDescent="0.4">
      <c r="B47" s="109">
        <v>43886</v>
      </c>
      <c r="C47" s="5">
        <v>1.0887</v>
      </c>
      <c r="D47" s="6">
        <f>IF(OR(C47="",C46=""),"",LN(C47/C46))</f>
        <v>2.943613568787935E-3</v>
      </c>
      <c r="E47" s="6">
        <f>IF(D47="","",ABS(D47-$E$5)/$F$5)</f>
        <v>0.55615792904643235</v>
      </c>
      <c r="F47" s="6">
        <f>IF(D47="","",ABS(D47-$G$5)/$H$5)</f>
        <v>0.98434023035215024</v>
      </c>
      <c r="G47" s="6">
        <f>IF(D47="","",ABS(D47-$E$5)/SQRT(0.9*(IF(G46="",$F$5^2,(ABS(D46-$E$5)/MAX(G46,0.0000000001))^2))+0.1*(D47-$E$5)^2))</f>
        <v>0.86948004269571511</v>
      </c>
      <c r="H47" s="6" t="str">
        <f>IF(E47="","",IF(E47&gt;$I$5,"OUTLIER",""))</f>
        <v/>
      </c>
      <c r="I47" s="6" t="str">
        <f>IF(F47="","",IF(F47&gt;$I$5,"OUTLIER",""))</f>
        <v/>
      </c>
      <c r="J47" s="6" t="str">
        <f>IF(G47="","",IF(G47&gt;$I$5,"OUTLIER",""))</f>
        <v/>
      </c>
      <c r="K47" s="6" t="str">
        <f>IF(C47="","MISSING","")</f>
        <v/>
      </c>
      <c r="L47" s="6" t="str">
        <f>IF(AND(C47&lt;&gt;"",C46&lt;&gt;"",C47=C46),"STALE","")</f>
        <v/>
      </c>
      <c r="M47" s="110">
        <f>IF(D47="","",ABS(D47-G$5))</f>
        <v>2.943613568787935E-3</v>
      </c>
    </row>
    <row r="48" spans="2:13" s="107" customFormat="1" ht="12.75" customHeight="1" x14ac:dyDescent="0.4">
      <c r="B48" s="109">
        <v>43887</v>
      </c>
      <c r="C48" s="5">
        <v>1.0913999999999999</v>
      </c>
      <c r="D48" s="6">
        <f>IF(OR(C48="",C47=""),"",LN(C48/C47))</f>
        <v>2.4769518649972065E-3</v>
      </c>
      <c r="E48" s="6">
        <f>IF(D48="","",ABS(D48-$E$5)/$F$5)</f>
        <v>0.46365572519295895</v>
      </c>
      <c r="F48" s="6">
        <f>IF(D48="","",ABS(D48-$G$5)/$H$5)</f>
        <v>0.82828921405144862</v>
      </c>
      <c r="G48" s="6">
        <f>IF(D48="","",ABS(D48-$E$5)/SQRT(0.9*(IF(G47="",$F$5^2,(ABS(D47-$E$5)/MAX(G47,0.0000000001))^2))+0.1*(D48-$E$5)^2))</f>
        <v>0.74270241204064857</v>
      </c>
      <c r="H48" s="6" t="str">
        <f>IF(E48="","",IF(E48&gt;$I$5,"OUTLIER",""))</f>
        <v/>
      </c>
      <c r="I48" s="6" t="str">
        <f>IF(F48="","",IF(F48&gt;$I$5,"OUTLIER",""))</f>
        <v/>
      </c>
      <c r="J48" s="6" t="str">
        <f>IF(G48="","",IF(G48&gt;$I$5,"OUTLIER",""))</f>
        <v/>
      </c>
      <c r="K48" s="6" t="str">
        <f>IF(C48="","MISSING","")</f>
        <v/>
      </c>
      <c r="L48" s="6" t="str">
        <f>IF(AND(C48&lt;&gt;"",C47&lt;&gt;"",C48=C47),"STALE","")</f>
        <v/>
      </c>
      <c r="M48" s="110">
        <f>IF(D48="","",ABS(D48-G$5))</f>
        <v>2.4769518649972065E-3</v>
      </c>
    </row>
    <row r="49" spans="2:13" s="107" customFormat="1" ht="12.75" customHeight="1" x14ac:dyDescent="0.4">
      <c r="B49" s="109">
        <v>43888</v>
      </c>
      <c r="C49" s="5">
        <v>1.0965</v>
      </c>
      <c r="D49" s="6">
        <f>IF(OR(C49="",C48=""),"",LN(C49/C48))</f>
        <v>4.6620131058113714E-3</v>
      </c>
      <c r="E49" s="6">
        <f>IF(D49="","",ABS(D49-$E$5)/$F$5)</f>
        <v>0.89678100350111045</v>
      </c>
      <c r="F49" s="6">
        <f>IF(D49="","",ABS(D49-$G$5)/$H$5)</f>
        <v>1.5589706146002997</v>
      </c>
      <c r="G49" s="6">
        <f>IF(D49="","",ABS(D49-$E$5)/SQRT(0.9*(IF(G48="",$F$5^2,(ABS(D48-$E$5)/MAX(G48,0.0000000001))^2))+0.1*(D49-$E$5)^2))</f>
        <v>1.3657106897698428</v>
      </c>
      <c r="H49" s="6" t="str">
        <f>IF(E49="","",IF(E49&gt;$I$5,"OUTLIER",""))</f>
        <v/>
      </c>
      <c r="I49" s="6" t="str">
        <f>IF(F49="","",IF(F49&gt;$I$5,"OUTLIER",""))</f>
        <v/>
      </c>
      <c r="J49" s="6" t="str">
        <f>IF(G49="","",IF(G49&gt;$I$5,"OUTLIER",""))</f>
        <v/>
      </c>
      <c r="K49" s="6" t="str">
        <f>IF(C49="","MISSING","")</f>
        <v/>
      </c>
      <c r="L49" s="6" t="str">
        <f>IF(AND(C49&lt;&gt;"",C48&lt;&gt;"",C49=C48),"STALE","")</f>
        <v/>
      </c>
      <c r="M49" s="110">
        <f>IF(D49="","",ABS(D49-G$5))</f>
        <v>4.6620131058113714E-3</v>
      </c>
    </row>
    <row r="50" spans="2:13" s="107" customFormat="1" ht="12.75" customHeight="1" x14ac:dyDescent="0.4">
      <c r="B50" s="109">
        <v>43889</v>
      </c>
      <c r="C50" s="5">
        <v>1.1026</v>
      </c>
      <c r="D50" s="6">
        <f>IF(OR(C50="",C49=""),"",LN(C50/C49))</f>
        <v>5.5477382976402284E-3</v>
      </c>
      <c r="E50" s="6">
        <f>IF(D50="","",ABS(D50-$E$5)/$F$5)</f>
        <v>1.0723504397483399</v>
      </c>
      <c r="F50" s="6">
        <f>IF(D50="","",ABS(D50-$G$5)/$H$5)</f>
        <v>1.8551558709118188</v>
      </c>
      <c r="G50" s="6">
        <f>IF(D50="","",ABS(D50-$E$5)/SQRT(0.9*(IF(G49="",$F$5^2,(ABS(D49-$E$5)/MAX(G49,0.0000000001))^2))+0.1*(D50-$E$5)^2))</f>
        <v>1.5119241617701664</v>
      </c>
      <c r="H50" s="6" t="str">
        <f>IF(E50="","",IF(E50&gt;$I$5,"OUTLIER",""))</f>
        <v/>
      </c>
      <c r="I50" s="6" t="str">
        <f>IF(F50="","",IF(F50&gt;$I$5,"OUTLIER",""))</f>
        <v/>
      </c>
      <c r="J50" s="6" t="str">
        <f>IF(G50="","",IF(G50&gt;$I$5,"OUTLIER",""))</f>
        <v/>
      </c>
      <c r="K50" s="6" t="str">
        <f>IF(C50="","MISSING","")</f>
        <v/>
      </c>
      <c r="L50" s="6" t="str">
        <f>IF(AND(C50&lt;&gt;"",C49&lt;&gt;"",C50=C49),"STALE","")</f>
        <v/>
      </c>
      <c r="M50" s="110">
        <f>IF(D50="","",ABS(D50-G$5))</f>
        <v>5.5477382976402284E-3</v>
      </c>
    </row>
    <row r="51" spans="2:13" s="107" customFormat="1" ht="12.75" customHeight="1" x14ac:dyDescent="0.4">
      <c r="B51" s="109">
        <v>43892</v>
      </c>
      <c r="C51" s="5">
        <v>1.1096999999999999</v>
      </c>
      <c r="D51" s="6">
        <f>IF(OR(C51="",C50=""),"",LN(C51/C50))</f>
        <v>6.418681350934579E-3</v>
      </c>
      <c r="E51" s="6">
        <f>IF(D51="","",ABS(D51-$E$5)/$F$5)</f>
        <v>1.2449897439941604</v>
      </c>
      <c r="F51" s="6">
        <f>IF(D51="","",ABS(D51-$G$5)/$H$5)</f>
        <v>2.146398000922916</v>
      </c>
      <c r="G51" s="6">
        <f>IF(D51="","",ABS(D51-$E$5)/SQRT(0.9*(IF(G50="",$F$5^2,(ABS(D50-$E$5)/MAX(G50,0.0000000001))^2))+0.1*(D51-$E$5)^2))</f>
        <v>1.596997509918707</v>
      </c>
      <c r="H51" s="6" t="str">
        <f>IF(E51="","",IF(E51&gt;$I$5,"OUTLIER",""))</f>
        <v/>
      </c>
      <c r="I51" s="6" t="str">
        <f>IF(F51="","",IF(F51&gt;$I$5,"OUTLIER",""))</f>
        <v/>
      </c>
      <c r="J51" s="6" t="str">
        <f>IF(G51="","",IF(G51&gt;$I$5,"OUTLIER",""))</f>
        <v/>
      </c>
      <c r="K51" s="6" t="str">
        <f>IF(C51="","MISSING","")</f>
        <v/>
      </c>
      <c r="L51" s="6" t="str">
        <f>IF(AND(C51&lt;&gt;"",C50&lt;&gt;"",C51=C50),"STALE","")</f>
        <v/>
      </c>
      <c r="M51" s="110">
        <f>IF(D51="","",ABS(D51-G$5))</f>
        <v>6.418681350934579E-3</v>
      </c>
    </row>
    <row r="52" spans="2:13" s="107" customFormat="1" ht="12.75" customHeight="1" x14ac:dyDescent="0.4">
      <c r="B52" s="109">
        <v>43893</v>
      </c>
      <c r="C52" s="5">
        <v>1.1149</v>
      </c>
      <c r="D52" s="6">
        <f>IF(OR(C52="",C51=""),"",LN(C52/C51))</f>
        <v>4.6750062670078349E-3</v>
      </c>
      <c r="E52" s="6">
        <f>IF(D52="","",ABS(D52-$E$5)/$F$5)</f>
        <v>0.89935652241756148</v>
      </c>
      <c r="F52" s="6">
        <f>IF(D52="","",ABS(D52-$G$5)/$H$5)</f>
        <v>1.5633155093992444</v>
      </c>
      <c r="G52" s="6">
        <f>IF(D52="","",ABS(D52-$E$5)/SQRT(0.9*(IF(G51="",$F$5^2,(ABS(D51-$E$5)/MAX(G51,0.0000000001))^2))+0.1*(D52-$E$5)^2))</f>
        <v>1.1350149418570372</v>
      </c>
      <c r="H52" s="6" t="str">
        <f>IF(E52="","",IF(E52&gt;$I$5,"OUTLIER",""))</f>
        <v/>
      </c>
      <c r="I52" s="6" t="str">
        <f>IF(F52="","",IF(F52&gt;$I$5,"OUTLIER",""))</f>
        <v/>
      </c>
      <c r="J52" s="6" t="str">
        <f>IF(G52="","",IF(G52&gt;$I$5,"OUTLIER",""))</f>
        <v/>
      </c>
      <c r="K52" s="6" t="str">
        <f>IF(C52="","MISSING","")</f>
        <v/>
      </c>
      <c r="L52" s="6" t="str">
        <f>IF(AND(C52&lt;&gt;"",C51&lt;&gt;"",C52=C51),"STALE","")</f>
        <v/>
      </c>
      <c r="M52" s="110">
        <f>IF(D52="","",ABS(D52-G$5))</f>
        <v>4.6750062670078349E-3</v>
      </c>
    </row>
    <row r="53" spans="2:13" s="107" customFormat="1" ht="12.75" customHeight="1" x14ac:dyDescent="0.4">
      <c r="B53" s="109">
        <v>43894</v>
      </c>
      <c r="C53" s="5">
        <v>1.1236999999999999</v>
      </c>
      <c r="D53" s="6">
        <f>IF(OR(C53="",C52=""),"",LN(C53/C52))</f>
        <v>7.8620971403308443E-3</v>
      </c>
      <c r="E53" s="6">
        <f>IF(D53="","",ABS(D53-$E$5)/$F$5)</f>
        <v>1.5311052330335855</v>
      </c>
      <c r="F53" s="6">
        <f>IF(D53="","",ABS(D53-$G$5)/$H$5)</f>
        <v>2.6290742073698397</v>
      </c>
      <c r="G53" s="6">
        <f>IF(D53="","",ABS(D53-$E$5)/SQRT(0.9*(IF(G52="",$F$5^2,(ABS(D52-$E$5)/MAX(G52,0.0000000001))^2))+0.1*(D53-$E$5)^2))</f>
        <v>1.7123634596503154</v>
      </c>
      <c r="H53" s="6" t="str">
        <f>IF(E53="","",IF(E53&gt;$I$5,"OUTLIER",""))</f>
        <v/>
      </c>
      <c r="I53" s="6" t="str">
        <f>IF(F53="","",IF(F53&gt;$I$5,"OUTLIER",""))</f>
        <v/>
      </c>
      <c r="J53" s="6" t="str">
        <f>IF(G53="","",IF(G53&gt;$I$5,"OUTLIER",""))</f>
        <v/>
      </c>
      <c r="K53" s="6" t="str">
        <f>IF(C53="","MISSING","")</f>
        <v/>
      </c>
      <c r="L53" s="6" t="str">
        <f>IF(AND(C53&lt;&gt;"",C52&lt;&gt;"",C53=C52),"STALE","")</f>
        <v/>
      </c>
      <c r="M53" s="110">
        <f>IF(D53="","",ABS(D53-G$5))</f>
        <v>7.8620971403308443E-3</v>
      </c>
    </row>
    <row r="54" spans="2:13" s="107" customFormat="1" ht="12.75" customHeight="1" x14ac:dyDescent="0.4">
      <c r="B54" s="109">
        <v>43895</v>
      </c>
      <c r="C54" s="5">
        <v>1.1246</v>
      </c>
      <c r="D54" s="6">
        <f>IF(OR(C54="",C53=""),"",LN(C54/C53))</f>
        <v>8.0060494424485083E-4</v>
      </c>
      <c r="E54" s="6">
        <f>IF(D54="","",ABS(D54-$E$5)/$F$5)</f>
        <v>0.13136836727829465</v>
      </c>
      <c r="F54" s="6">
        <f>IF(D54="","",ABS(D54-$G$5)/$H$5)</f>
        <v>0.26772116543936925</v>
      </c>
      <c r="G54" s="6">
        <f>IF(D54="","",ABS(D54-$E$5)/SQRT(0.9*(IF(G53="",$F$5^2,(ABS(D53-$E$5)/MAX(G53,0.0000000001))^2))+0.1*(D54-$E$5)^2))</f>
        <v>0.15468217744836638</v>
      </c>
      <c r="H54" s="6" t="str">
        <f>IF(E54="","",IF(E54&gt;$I$5,"OUTLIER",""))</f>
        <v/>
      </c>
      <c r="I54" s="6" t="str">
        <f>IF(F54="","",IF(F54&gt;$I$5,"OUTLIER",""))</f>
        <v/>
      </c>
      <c r="J54" s="6" t="str">
        <f>IF(G54="","",IF(G54&gt;$I$5,"OUTLIER",""))</f>
        <v/>
      </c>
      <c r="K54" s="6" t="str">
        <f>IF(C54="","MISSING","")</f>
        <v/>
      </c>
      <c r="L54" s="6" t="str">
        <f>IF(AND(C54&lt;&gt;"",C53&lt;&gt;"",C54=C53),"STALE","")</f>
        <v/>
      </c>
      <c r="M54" s="110">
        <f>IF(D54="","",ABS(D54-G$5))</f>
        <v>8.0060494424485083E-4</v>
      </c>
    </row>
    <row r="55" spans="2:13" s="107" customFormat="1" ht="12.75" customHeight="1" x14ac:dyDescent="0.4">
      <c r="B55" s="109">
        <v>43896</v>
      </c>
      <c r="C55" s="5">
        <v>1.1319999999999999</v>
      </c>
      <c r="D55" s="6">
        <f>IF(OR(C55="",C54=""),"",LN(C55/C54))</f>
        <v>6.55856290502681E-3</v>
      </c>
      <c r="E55" s="6">
        <f>IF(D55="","",ABS(D55-$E$5)/$F$5)</f>
        <v>1.2727172217941876</v>
      </c>
      <c r="F55" s="6">
        <f>IF(D55="","",ABS(D55-$G$5)/$H$5)</f>
        <v>2.1931741955420554</v>
      </c>
      <c r="G55" s="6">
        <f>IF(D55="","",ABS(D55-$E$5)/SQRT(0.9*(IF(G54="",$F$5^2,(ABS(D54-$E$5)/MAX(G54,0.0000000001))^2))+0.1*(D55-$E$5)^2))</f>
        <v>1.4131460376455205</v>
      </c>
      <c r="H55" s="6" t="str">
        <f>IF(E55="","",IF(E55&gt;$I$5,"OUTLIER",""))</f>
        <v/>
      </c>
      <c r="I55" s="6" t="str">
        <f>IF(F55="","",IF(F55&gt;$I$5,"OUTLIER",""))</f>
        <v/>
      </c>
      <c r="J55" s="6" t="str">
        <f>IF(G55="","",IF(G55&gt;$I$5,"OUTLIER",""))</f>
        <v/>
      </c>
      <c r="K55" s="6" t="str">
        <f>IF(C55="","MISSING","")</f>
        <v/>
      </c>
      <c r="L55" s="6" t="str">
        <f>IF(AND(C55&lt;&gt;"",C54&lt;&gt;"",C55=C54),"STALE","")</f>
        <v/>
      </c>
      <c r="M55" s="110">
        <f>IF(D55="","",ABS(D55-G$5))</f>
        <v>6.55856290502681E-3</v>
      </c>
    </row>
    <row r="56" spans="2:13" s="107" customFormat="1" ht="12.75" customHeight="1" x14ac:dyDescent="0.4">
      <c r="B56" s="109">
        <v>43899</v>
      </c>
      <c r="C56" s="5">
        <v>1.1469</v>
      </c>
      <c r="D56" s="6">
        <f>IF(OR(C56="",C55=""),"",LN(C56/C55))</f>
        <v>1.3076670607348736E-2</v>
      </c>
      <c r="E56" s="6">
        <f>IF(D56="","",ABS(D56-$E$5)/$F$5)</f>
        <v>2.5647438066228889</v>
      </c>
      <c r="F56" s="6">
        <f>IF(D56="","",ABS(D56-$G$5)/$H$5)</f>
        <v>4.3728202282940929</v>
      </c>
      <c r="G56" s="6">
        <f>IF(D56="","",ABS(D56-$E$5)/SQRT(0.9*(IF(G55="",$F$5^2,(ABS(D55-$E$5)/MAX(G55,0.0000000001))^2))+0.1*(D56-$E$5)^2))</f>
        <v>2.1771054827061116</v>
      </c>
      <c r="H56" s="6" t="str">
        <f>IF(E56="","",IF(E56&gt;$I$5,"OUTLIER",""))</f>
        <v/>
      </c>
      <c r="I56" s="6" t="str">
        <f>IF(F56="","",IF(F56&gt;$I$5,"OUTLIER",""))</f>
        <v>OUTLIER</v>
      </c>
      <c r="J56" s="6" t="str">
        <f>IF(G56="","",IF(G56&gt;$I$5,"OUTLIER",""))</f>
        <v/>
      </c>
      <c r="K56" s="6" t="str">
        <f>IF(C56="","MISSING","")</f>
        <v/>
      </c>
      <c r="L56" s="6" t="str">
        <f>IF(AND(C56&lt;&gt;"",C55&lt;&gt;"",C56=C55),"STALE","")</f>
        <v/>
      </c>
      <c r="M56" s="110">
        <f>IF(D56="","",ABS(D56-G$5))</f>
        <v>1.3076670607348736E-2</v>
      </c>
    </row>
    <row r="57" spans="2:13" s="107" customFormat="1" ht="12.75" customHeight="1" x14ac:dyDescent="0.4">
      <c r="B57" s="109">
        <v>43900</v>
      </c>
      <c r="C57" s="5">
        <v>1.1365000000000001</v>
      </c>
      <c r="D57" s="6">
        <f>IF(OR(C57="",C56=""),"",LN(C57/C56))</f>
        <v>-9.1092860778788295E-3</v>
      </c>
      <c r="E57" s="6">
        <f>IF(D57="","",ABS(D57-$E$5)/$F$5)</f>
        <v>1.8329812934028251</v>
      </c>
      <c r="F57" s="6">
        <f>IF(D57="","",ABS(D57-$G$5)/$H$5)</f>
        <v>3.0461324310089362</v>
      </c>
      <c r="G57" s="6">
        <f>IF(D57="","",ABS(D57-$E$5)/SQRT(0.9*(IF(G56="",$F$5^2,(ABS(D56-$E$5)/MAX(G56,0.0000000001))^2))+0.1*(D57-$E$5)^2))</f>
        <v>1.4559359550027551</v>
      </c>
      <c r="H57" s="6" t="str">
        <f>IF(E57="","",IF(E57&gt;$I$5,"OUTLIER",""))</f>
        <v/>
      </c>
      <c r="I57" s="6" t="str">
        <f>IF(F57="","",IF(F57&gt;$I$5,"OUTLIER",""))</f>
        <v>OUTLIER</v>
      </c>
      <c r="J57" s="6" t="str">
        <f>IF(G57="","",IF(G57&gt;$I$5,"OUTLIER",""))</f>
        <v/>
      </c>
      <c r="K57" s="6" t="str">
        <f>IF(C57="","MISSING","")</f>
        <v/>
      </c>
      <c r="L57" s="6" t="str">
        <f>IF(AND(C57&lt;&gt;"",C56&lt;&gt;"",C57=C56),"STALE","")</f>
        <v/>
      </c>
      <c r="M57" s="110">
        <f>IF(D57="","",ABS(D57-G$5))</f>
        <v>9.1092860778788295E-3</v>
      </c>
    </row>
    <row r="58" spans="2:13" s="107" customFormat="1" ht="12.75" customHeight="1" x14ac:dyDescent="0.4">
      <c r="B58" s="109">
        <v>43901</v>
      </c>
      <c r="C58" s="5">
        <v>1.1268</v>
      </c>
      <c r="D58" s="6">
        <f>IF(OR(C58="",C57=""),"",LN(C58/C57))</f>
        <v>-8.5716072903803432E-3</v>
      </c>
      <c r="E58" s="6">
        <f>IF(D58="","",ABS(D58-$E$5)/$F$5)</f>
        <v>1.7264020039414012</v>
      </c>
      <c r="F58" s="6">
        <f>IF(D58="","",ABS(D58-$G$5)/$H$5)</f>
        <v>2.8663334019673443</v>
      </c>
      <c r="G58" s="6">
        <f>IF(D58="","",ABS(D58-$E$5)/SQRT(0.9*(IF(G57="",$F$5^2,(ABS(D57-$E$5)/MAX(G57,0.0000000001))^2))+0.1*(D58-$E$5)^2))</f>
        <v>1.3146300578711569</v>
      </c>
      <c r="H58" s="6" t="str">
        <f>IF(E58="","",IF(E58&gt;$I$5,"OUTLIER",""))</f>
        <v/>
      </c>
      <c r="I58" s="6" t="str">
        <f>IF(F58="","",IF(F58&gt;$I$5,"OUTLIER",""))</f>
        <v/>
      </c>
      <c r="J58" s="6" t="str">
        <f>IF(G58="","",IF(G58&gt;$I$5,"OUTLIER",""))</f>
        <v/>
      </c>
      <c r="K58" s="6" t="str">
        <f>IF(C58="","MISSING","")</f>
        <v/>
      </c>
      <c r="L58" s="6" t="str">
        <f>IF(AND(C58&lt;&gt;"",C57&lt;&gt;"",C58=C57),"STALE","")</f>
        <v/>
      </c>
      <c r="M58" s="110">
        <f>IF(D58="","",ABS(D58-G$5))</f>
        <v>8.5716072903803432E-3</v>
      </c>
    </row>
    <row r="59" spans="2:13" s="107" customFormat="1" ht="12.75" customHeight="1" x14ac:dyDescent="0.4">
      <c r="B59" s="109">
        <v>43902</v>
      </c>
      <c r="C59" s="5">
        <v>1.1194999999999999</v>
      </c>
      <c r="D59" s="6">
        <f>IF(OR(C59="",C58=""),"",LN(C59/C58))</f>
        <v>-6.4995999634081232E-3</v>
      </c>
      <c r="E59" s="6">
        <f>IF(D59="","",ABS(D59-$E$5)/$F$5)</f>
        <v>1.3156863986355369</v>
      </c>
      <c r="F59" s="6">
        <f>IF(D59="","",ABS(D59-$G$5)/$H$5)</f>
        <v>2.1734570709335164</v>
      </c>
      <c r="G59" s="6">
        <f>IF(D59="","",ABS(D59-$E$5)/SQRT(0.9*(IF(G58="",$F$5^2,(ABS(D58-$E$5)/MAX(G58,0.0000000001))^2))+0.1*(D59-$E$5)^2))</f>
        <v>1.0016880040758802</v>
      </c>
      <c r="H59" s="6" t="str">
        <f>IF(E59="","",IF(E59&gt;$I$5,"OUTLIER",""))</f>
        <v/>
      </c>
      <c r="I59" s="6" t="str">
        <f>IF(F59="","",IF(F59&gt;$I$5,"OUTLIER",""))</f>
        <v/>
      </c>
      <c r="J59" s="6" t="str">
        <f>IF(G59="","",IF(G59&gt;$I$5,"OUTLIER",""))</f>
        <v/>
      </c>
      <c r="K59" s="6" t="str">
        <f>IF(C59="","MISSING","")</f>
        <v/>
      </c>
      <c r="L59" s="6" t="str">
        <f>IF(AND(C59&lt;&gt;"",C58&lt;&gt;"",C59=C58),"STALE","")</f>
        <v/>
      </c>
      <c r="M59" s="110">
        <f>IF(D59="","",ABS(D59-G$5))</f>
        <v>6.4995999634081232E-3</v>
      </c>
    </row>
    <row r="60" spans="2:13" s="107" customFormat="1" ht="12.75" customHeight="1" x14ac:dyDescent="0.4">
      <c r="B60" s="109">
        <v>43903</v>
      </c>
      <c r="C60" s="5">
        <v>1.1072</v>
      </c>
      <c r="D60" s="6">
        <f>IF(OR(C60="",C59=""),"",LN(C60/C59))</f>
        <v>-1.1047851175404367E-2</v>
      </c>
      <c r="E60" s="6">
        <f>IF(D60="","",ABS(D60-$E$5)/$F$5)</f>
        <v>2.2172458310280327</v>
      </c>
      <c r="F60" s="6">
        <f>IF(D60="","",ABS(D60-$G$5)/$H$5)</f>
        <v>3.6943858685131841</v>
      </c>
      <c r="G60" s="6">
        <f>IF(D60="","",ABS(D60-$E$5)/SQRT(0.9*(IF(G59="",$F$5^2,(ABS(D59-$E$5)/MAX(G59,0.0000000001))^2))+0.1*(D60-$E$5)^2))</f>
        <v>1.5507493669083634</v>
      </c>
      <c r="H60" s="6" t="str">
        <f>IF(E60="","",IF(E60&gt;$I$5,"OUTLIER",""))</f>
        <v/>
      </c>
      <c r="I60" s="6" t="str">
        <f>IF(F60="","",IF(F60&gt;$I$5,"OUTLIER",""))</f>
        <v>OUTLIER</v>
      </c>
      <c r="J60" s="6" t="str">
        <f>IF(G60="","",IF(G60&gt;$I$5,"OUTLIER",""))</f>
        <v/>
      </c>
      <c r="K60" s="6" t="str">
        <f>IF(C60="","MISSING","")</f>
        <v/>
      </c>
      <c r="L60" s="6" t="str">
        <f>IF(AND(C60&lt;&gt;"",C59&lt;&gt;"",C60=C59),"STALE","")</f>
        <v/>
      </c>
      <c r="M60" s="110">
        <f>IF(D60="","",ABS(D60-G$5))</f>
        <v>1.1047851175404367E-2</v>
      </c>
    </row>
    <row r="61" spans="2:13" s="107" customFormat="1" ht="12.75" customHeight="1" x14ac:dyDescent="0.4">
      <c r="B61" s="109">
        <v>43906</v>
      </c>
      <c r="C61" s="5">
        <v>1.0966</v>
      </c>
      <c r="D61" s="6">
        <f>IF(OR(C61="",C60=""),"",LN(C61/C60))</f>
        <v>-9.619821893457E-3</v>
      </c>
      <c r="E61" s="6">
        <f>IF(D61="","",ABS(D61-$E$5)/$F$5)</f>
        <v>1.9341802726708761</v>
      </c>
      <c r="F61" s="6">
        <f>IF(D61="","",ABS(D61-$G$5)/$H$5)</f>
        <v>3.216854888480202</v>
      </c>
      <c r="G61" s="6">
        <f>IF(D61="","",ABS(D61-$E$5)/SQRT(0.9*(IF(G60="",$F$5^2,(ABS(D60-$E$5)/MAX(G60,0.0000000001))^2))+0.1*(D61-$E$5)^2))</f>
        <v>1.2999020448225613</v>
      </c>
      <c r="H61" s="6" t="str">
        <f>IF(E61="","",IF(E61&gt;$I$5,"OUTLIER",""))</f>
        <v/>
      </c>
      <c r="I61" s="6" t="str">
        <f>IF(F61="","",IF(F61&gt;$I$5,"OUTLIER",""))</f>
        <v>OUTLIER</v>
      </c>
      <c r="J61" s="6" t="str">
        <f>IF(G61="","",IF(G61&gt;$I$5,"OUTLIER",""))</f>
        <v/>
      </c>
      <c r="K61" s="6" t="str">
        <f>IF(C61="","MISSING","")</f>
        <v/>
      </c>
      <c r="L61" s="6" t="str">
        <f>IF(AND(C61&lt;&gt;"",C60&lt;&gt;"",C61=C60),"STALE","")</f>
        <v/>
      </c>
      <c r="M61" s="110">
        <f>IF(D61="","",ABS(D61-G$5))</f>
        <v>9.619821893457E-3</v>
      </c>
    </row>
    <row r="62" spans="2:13" s="107" customFormat="1" ht="12.75" customHeight="1" x14ac:dyDescent="0.4">
      <c r="B62" s="109">
        <v>43907</v>
      </c>
      <c r="C62" s="5">
        <v>1.0955999999999999</v>
      </c>
      <c r="D62" s="6">
        <f>IF(OR(C62="",C61=""),"",LN(C62/C61))</f>
        <v>-9.1232558102511709E-4</v>
      </c>
      <c r="E62" s="6">
        <f>IF(D62="","",ABS(D62-$E$5)/$F$5)</f>
        <v>0.20817063356162796</v>
      </c>
      <c r="F62" s="6">
        <f>IF(D62="","",ABS(D62-$G$5)/$H$5)</f>
        <v>0.30508038898332718</v>
      </c>
      <c r="G62" s="6">
        <f>IF(D62="","",ABS(D62-$E$5)/SQRT(0.9*(IF(G61="",$F$5^2,(ABS(D61-$E$5)/MAX(G61,0.0000000001))^2))+0.1*(D62-$E$5)^2))</f>
        <v>0.14731268417949586</v>
      </c>
      <c r="H62" s="6" t="str">
        <f>IF(E62="","",IF(E62&gt;$I$5,"OUTLIER",""))</f>
        <v/>
      </c>
      <c r="I62" s="6" t="str">
        <f>IF(F62="","",IF(F62&gt;$I$5,"OUTLIER",""))</f>
        <v/>
      </c>
      <c r="J62" s="6" t="str">
        <f>IF(G62="","",IF(G62&gt;$I$5,"OUTLIER",""))</f>
        <v/>
      </c>
      <c r="K62" s="6" t="str">
        <f>IF(C62="","MISSING","")</f>
        <v/>
      </c>
      <c r="L62" s="6" t="str">
        <f>IF(AND(C62&lt;&gt;"",C61&lt;&gt;"",C62=C61),"STALE","")</f>
        <v/>
      </c>
      <c r="M62" s="110">
        <f>IF(D62="","",ABS(D62-G$5))</f>
        <v>9.1232558102511709E-4</v>
      </c>
    </row>
    <row r="63" spans="2:13" s="107" customFormat="1" ht="12.75" customHeight="1" x14ac:dyDescent="0.4">
      <c r="B63" s="109">
        <v>43908</v>
      </c>
      <c r="C63" s="5">
        <v>1.07</v>
      </c>
      <c r="D63" s="6">
        <f>IF(OR(C63="",C62=""),"",LN(C63/C62))</f>
        <v>-2.3643509932971141E-2</v>
      </c>
      <c r="E63" s="6">
        <f>IF(D63="","",ABS(D63-$E$5)/$F$5)</f>
        <v>4.7139713703144599</v>
      </c>
      <c r="F63" s="6">
        <f>IF(D63="","",ABS(D63-$G$5)/$H$5)</f>
        <v>7.9063564119040208</v>
      </c>
      <c r="G63" s="6">
        <f>IF(D63="","",ABS(D63-$E$5)/SQRT(0.9*(IF(G62="",$F$5^2,(ABS(D62-$E$5)/MAX(G62,0.0000000001))^2))+0.1*(D63-$E$5)^2))</f>
        <v>2.3512988244297444</v>
      </c>
      <c r="H63" s="6" t="str">
        <f>IF(E63="","",IF(E63&gt;$I$5,"OUTLIER",""))</f>
        <v>OUTLIER</v>
      </c>
      <c r="I63" s="6" t="str">
        <f>IF(F63="","",IF(F63&gt;$I$5,"OUTLIER",""))</f>
        <v>OUTLIER</v>
      </c>
      <c r="J63" s="6" t="str">
        <f>IF(G63="","",IF(G63&gt;$I$5,"OUTLIER",""))</f>
        <v/>
      </c>
      <c r="K63" s="6" t="str">
        <f>IF(C63="","MISSING","")</f>
        <v/>
      </c>
      <c r="L63" s="6" t="str">
        <f>IF(AND(C63&lt;&gt;"",C62&lt;&gt;"",C63=C62),"STALE","")</f>
        <v/>
      </c>
      <c r="M63" s="110">
        <f>IF(D63="","",ABS(D63-G$5))</f>
        <v>2.3643509932971141E-2</v>
      </c>
    </row>
    <row r="64" spans="2:13" s="107" customFormat="1" ht="12.75" customHeight="1" x14ac:dyDescent="0.4">
      <c r="B64" s="109">
        <v>43909</v>
      </c>
      <c r="C64" s="5">
        <v>1.0694999999999999</v>
      </c>
      <c r="D64" s="6">
        <f>IF(OR(C64="",C63=""),"",LN(C64/C63))</f>
        <v>-4.6739893349165529E-4</v>
      </c>
      <c r="E64" s="6">
        <f>IF(D64="","",ABS(D64-$E$5)/$F$5)</f>
        <v>0.11997677682201585</v>
      </c>
      <c r="F64" s="6">
        <f>IF(D64="","",ABS(D64-$G$5)/$H$5)</f>
        <v>0.15629754487406039</v>
      </c>
      <c r="G64" s="6">
        <f>IF(D64="","",ABS(D64-$E$5)/SQRT(0.9*(IF(G63="",$F$5^2,(ABS(D63-$E$5)/MAX(G63,0.0000000001))^2))+0.1*(D64-$E$5)^2))</f>
        <v>6.3068199429693259E-2</v>
      </c>
      <c r="H64" s="6" t="str">
        <f>IF(E64="","",IF(E64&gt;$I$5,"OUTLIER",""))</f>
        <v/>
      </c>
      <c r="I64" s="6" t="str">
        <f>IF(F64="","",IF(F64&gt;$I$5,"OUTLIER",""))</f>
        <v/>
      </c>
      <c r="J64" s="6" t="str">
        <f>IF(G64="","",IF(G64&gt;$I$5,"OUTLIER",""))</f>
        <v/>
      </c>
      <c r="K64" s="6" t="str">
        <f>IF(C64="","MISSING","")</f>
        <v/>
      </c>
      <c r="L64" s="6" t="str">
        <f>IF(AND(C64&lt;&gt;"",C63&lt;&gt;"",C64=C63),"STALE","")</f>
        <v/>
      </c>
      <c r="M64" s="110">
        <f>IF(D64="","",ABS(D64-G$5))</f>
        <v>4.6739893349165529E-4</v>
      </c>
    </row>
    <row r="65" spans="2:13" s="107" customFormat="1" ht="12.75" customHeight="1" x14ac:dyDescent="0.4">
      <c r="B65" s="109">
        <v>43910</v>
      </c>
      <c r="C65" s="5">
        <v>1.0722</v>
      </c>
      <c r="D65" s="6">
        <f>IF(OR(C65="",C64=""),"",LN(C65/C64))</f>
        <v>2.5213628709770887E-3</v>
      </c>
      <c r="E65" s="6">
        <f>IF(D65="","",ABS(D65-$E$5)/$F$5)</f>
        <v>0.47245892437368958</v>
      </c>
      <c r="F65" s="6">
        <f>IF(D65="","",ABS(D65-$G$5)/$H$5)</f>
        <v>0.84314019188357225</v>
      </c>
      <c r="G65" s="6">
        <f>IF(D65="","",ABS(D65-$E$5)/SQRT(0.9*(IF(G64="",$F$5^2,(ABS(D64-$E$5)/MAX(G64,0.0000000001))^2))+0.1*(D65-$E$5)^2))</f>
        <v>0.26089929349775876</v>
      </c>
      <c r="H65" s="6" t="str">
        <f>IF(E65="","",IF(E65&gt;$I$5,"OUTLIER",""))</f>
        <v/>
      </c>
      <c r="I65" s="6" t="str">
        <f>IF(F65="","",IF(F65&gt;$I$5,"OUTLIER",""))</f>
        <v/>
      </c>
      <c r="J65" s="6" t="str">
        <f>IF(G65="","",IF(G65&gt;$I$5,"OUTLIER",""))</f>
        <v/>
      </c>
      <c r="K65" s="6" t="str">
        <f>IF(C65="","MISSING","")</f>
        <v/>
      </c>
      <c r="L65" s="6" t="str">
        <f>IF(AND(C65&lt;&gt;"",C64&lt;&gt;"",C65=C64),"STALE","")</f>
        <v/>
      </c>
      <c r="M65" s="110">
        <f>IF(D65="","",ABS(D65-G$5))</f>
        <v>2.5213628709770887E-3</v>
      </c>
    </row>
    <row r="66" spans="2:13" s="107" customFormat="1" ht="12.75" customHeight="1" x14ac:dyDescent="0.4">
      <c r="B66" s="109">
        <v>43913</v>
      </c>
      <c r="C66" s="5">
        <v>1.073</v>
      </c>
      <c r="D66" s="6">
        <f>IF(OR(C66="",C65=""),"",LN(C66/C65))</f>
        <v>7.4585123726102578E-4</v>
      </c>
      <c r="E66" s="6">
        <f>IF(D66="","",ABS(D66-$E$5)/$F$5)</f>
        <v>0.12051502635914688</v>
      </c>
      <c r="F66" s="6">
        <f>IF(D66="","",ABS(D66-$G$5)/$H$5)</f>
        <v>0.24941160296263259</v>
      </c>
      <c r="G66" s="6">
        <f>IF(D66="","",ABS(D66-$E$5)/SQRT(0.9*(IF(G65="",$F$5^2,(ABS(D65-$E$5)/MAX(G65,0.0000000001))^2))+0.1*(D66-$E$5)^2))</f>
        <v>7.0132926040913257E-2</v>
      </c>
      <c r="H66" s="6" t="str">
        <f>IF(E66="","",IF(E66&gt;$I$5,"OUTLIER",""))</f>
        <v/>
      </c>
      <c r="I66" s="6" t="str">
        <f>IF(F66="","",IF(F66&gt;$I$5,"OUTLIER",""))</f>
        <v/>
      </c>
      <c r="J66" s="6" t="str">
        <f>IF(G66="","",IF(G66&gt;$I$5,"OUTLIER",""))</f>
        <v/>
      </c>
      <c r="K66" s="6" t="str">
        <f>IF(C66="","MISSING","")</f>
        <v/>
      </c>
      <c r="L66" s="6" t="str">
        <f>IF(AND(C66&lt;&gt;"",C65&lt;&gt;"",C66=C65),"STALE","")</f>
        <v/>
      </c>
      <c r="M66" s="110">
        <f>IF(D66="","",ABS(D66-G$5))</f>
        <v>7.4585123726102578E-4</v>
      </c>
    </row>
    <row r="67" spans="2:13" s="107" customFormat="1" ht="12.75" customHeight="1" x14ac:dyDescent="0.4">
      <c r="B67" s="109">
        <v>43914</v>
      </c>
      <c r="C67" s="5">
        <v>1.0831999999999999</v>
      </c>
      <c r="D67" s="6">
        <f>IF(OR(C67="",C66=""),"",LN(C67/C66))</f>
        <v>9.4611595273121542E-3</v>
      </c>
      <c r="E67" s="6">
        <f>IF(D67="","",ABS(D67-$E$5)/$F$5)</f>
        <v>1.8480731643924855</v>
      </c>
      <c r="F67" s="6">
        <f>IF(D67="","",ABS(D67-$G$5)/$H$5)</f>
        <v>3.163798416769636</v>
      </c>
      <c r="G67" s="6">
        <f>IF(D67="","",ABS(D67-$E$5)/SQRT(0.9*(IF(G66="",$F$5^2,(ABS(D66-$E$5)/MAX(G66,0.0000000001))^2))+0.1*(D67-$E$5)^2))</f>
        <v>1.067148348940737</v>
      </c>
      <c r="H67" s="6" t="str">
        <f>IF(E67="","",IF(E67&gt;$I$5,"OUTLIER",""))</f>
        <v/>
      </c>
      <c r="I67" s="6" t="str">
        <f>IF(F67="","",IF(F67&gt;$I$5,"OUTLIER",""))</f>
        <v>OUTLIER</v>
      </c>
      <c r="J67" s="6" t="str">
        <f>IF(G67="","",IF(G67&gt;$I$5,"OUTLIER",""))</f>
        <v/>
      </c>
      <c r="K67" s="6" t="str">
        <f>IF(C67="","MISSING","")</f>
        <v/>
      </c>
      <c r="L67" s="6" t="str">
        <f>IF(AND(C67&lt;&gt;"",C66&lt;&gt;"",C67=C66),"STALE","")</f>
        <v/>
      </c>
      <c r="M67" s="110">
        <f>IF(D67="","",ABS(D67-G$5))</f>
        <v>9.4611595273121542E-3</v>
      </c>
    </row>
    <row r="68" spans="2:13" s="107" customFormat="1" ht="12.75" customHeight="1" x14ac:dyDescent="0.4">
      <c r="B68" s="109">
        <v>43915</v>
      </c>
      <c r="C68" s="5">
        <v>1.0854999999999999</v>
      </c>
      <c r="D68" s="6">
        <f>IF(OR(C68="",C67=""),"",LN(C68/C67))</f>
        <v>2.1210871603360108E-3</v>
      </c>
      <c r="E68" s="6">
        <f>IF(D68="","",ABS(D68-$E$5)/$F$5)</f>
        <v>0.39311582618811575</v>
      </c>
      <c r="F68" s="6">
        <f>IF(D68="","",ABS(D68-$G$5)/$H$5)</f>
        <v>0.70928855816554781</v>
      </c>
      <c r="G68" s="6">
        <f>IF(D68="","",ABS(D68-$E$5)/SQRT(0.9*(IF(G67="",$F$5^2,(ABS(D67-$E$5)/MAX(G67,0.0000000001))^2))+0.1*(D68-$E$5)^2))</f>
        <v>0.23859711541601547</v>
      </c>
      <c r="H68" s="6" t="str">
        <f>IF(E68="","",IF(E68&gt;$I$5,"OUTLIER",""))</f>
        <v/>
      </c>
      <c r="I68" s="6" t="str">
        <f>IF(F68="","",IF(F68&gt;$I$5,"OUTLIER",""))</f>
        <v/>
      </c>
      <c r="J68" s="6" t="str">
        <f>IF(G68="","",IF(G68&gt;$I$5,"OUTLIER",""))</f>
        <v/>
      </c>
      <c r="K68" s="6" t="str">
        <f>IF(C68="","MISSING","")</f>
        <v/>
      </c>
      <c r="L68" s="6" t="str">
        <f>IF(AND(C68&lt;&gt;"",C67&lt;&gt;"",C68=C67),"STALE","")</f>
        <v/>
      </c>
      <c r="M68" s="110">
        <f>IF(D68="","",ABS(D68-G$5))</f>
        <v>2.1210871603360108E-3</v>
      </c>
    </row>
    <row r="69" spans="2:13" s="107" customFormat="1" ht="12.75" customHeight="1" x14ac:dyDescent="0.4">
      <c r="B69" s="109">
        <v>43916</v>
      </c>
      <c r="C69" s="5">
        <v>1.1060000000000001</v>
      </c>
      <c r="D69" s="6">
        <f>IF(OR(C69="",C68=""),"",LN(C69/C68))</f>
        <v>1.8709192763933711E-2</v>
      </c>
      <c r="E69" s="6">
        <f>IF(D69="","",ABS(D69-$E$5)/$F$5)</f>
        <v>3.681228636008584</v>
      </c>
      <c r="F69" s="6">
        <f>IF(D69="","",ABS(D69-$G$5)/$H$5)</f>
        <v>6.2563277021910073</v>
      </c>
      <c r="G69" s="6">
        <f>IF(D69="","",ABS(D69-$E$5)/SQRT(0.9*(IF(G68="",$F$5^2,(ABS(D68-$E$5)/MAX(G68,0.0000000001))^2))+0.1*(D69-$E$5)^2))</f>
        <v>1.8888501093859524</v>
      </c>
      <c r="H69" s="6" t="str">
        <f>IF(E69="","",IF(E69&gt;$I$5,"OUTLIER",""))</f>
        <v>OUTLIER</v>
      </c>
      <c r="I69" s="6" t="str">
        <f>IF(F69="","",IF(F69&gt;$I$5,"OUTLIER",""))</f>
        <v>OUTLIER</v>
      </c>
      <c r="J69" s="6" t="str">
        <f>IF(G69="","",IF(G69&gt;$I$5,"OUTLIER",""))</f>
        <v/>
      </c>
      <c r="K69" s="6" t="str">
        <f>IF(C69="","MISSING","")</f>
        <v/>
      </c>
      <c r="L69" s="6" t="str">
        <f>IF(AND(C69&lt;&gt;"",C68&lt;&gt;"",C69=C68),"STALE","")</f>
        <v/>
      </c>
      <c r="M69" s="110">
        <f>IF(D69="","",ABS(D69-G$5))</f>
        <v>1.8709192763933711E-2</v>
      </c>
    </row>
    <row r="70" spans="2:13" s="107" customFormat="1" ht="12.75" customHeight="1" x14ac:dyDescent="0.4">
      <c r="B70" s="109">
        <v>43917</v>
      </c>
      <c r="C70" s="5">
        <v>1.1003000000000001</v>
      </c>
      <c r="D70" s="6">
        <f>IF(OR(C70="",C69=""),"",LN(C70/C69))</f>
        <v>-5.1670332064131137E-3</v>
      </c>
      <c r="E70" s="6">
        <f>IF(D70="","",ABS(D70-$E$5)/$F$5)</f>
        <v>1.0515435285379473</v>
      </c>
      <c r="F70" s="6">
        <f>IF(D70="","",ABS(D70-$G$5)/$H$5)</f>
        <v>1.7278486247541518</v>
      </c>
      <c r="G70" s="6">
        <f>IF(D70="","",ABS(D70-$E$5)/SQRT(0.9*(IF(G69="",$F$5^2,(ABS(D69-$E$5)/MAX(G69,0.0000000001))^2))+0.1*(D70-$E$5)^2))</f>
        <v>0.5597550901647157</v>
      </c>
      <c r="H70" s="6" t="str">
        <f>IF(E70="","",IF(E70&gt;$I$5,"OUTLIER",""))</f>
        <v/>
      </c>
      <c r="I70" s="6" t="str">
        <f>IF(F70="","",IF(F70&gt;$I$5,"OUTLIER",""))</f>
        <v/>
      </c>
      <c r="J70" s="6" t="str">
        <f>IF(G70="","",IF(G70&gt;$I$5,"OUTLIER",""))</f>
        <v/>
      </c>
      <c r="K70" s="6" t="str">
        <f>IF(C70="","MISSING","")</f>
        <v/>
      </c>
      <c r="L70" s="6" t="str">
        <f>IF(AND(C70&lt;&gt;"",C69&lt;&gt;"",C70=C69),"STALE","")</f>
        <v/>
      </c>
      <c r="M70" s="110">
        <f>IF(D70="","",ABS(D70-G$5))</f>
        <v>5.1670332064131137E-3</v>
      </c>
    </row>
    <row r="71" spans="2:13" s="107" customFormat="1" ht="12.75" customHeight="1" x14ac:dyDescent="0.4">
      <c r="B71" s="109">
        <v>43920</v>
      </c>
      <c r="C71" s="5">
        <v>1.1001000000000001</v>
      </c>
      <c r="D71" s="6">
        <f>IF(OR(C71="",C70=""),"",LN(C71/C70))</f>
        <v>-1.817851304768979E-4</v>
      </c>
      <c r="E71" s="6">
        <f>IF(D71="","",ABS(D71-$E$5)/$F$5)</f>
        <v>6.336208996165002E-2</v>
      </c>
      <c r="F71" s="6">
        <f>IF(D71="","",ABS(D71-$G$5)/$H$5)</f>
        <v>6.0788691527164422E-2</v>
      </c>
      <c r="G71" s="6">
        <f>IF(D71="","",ABS(D71-$E$5)/SQRT(0.9*(IF(G70="",$F$5^2,(ABS(D70-$E$5)/MAX(G70,0.0000000001))^2))+0.1*(D71-$E$5)^2))</f>
        <v>3.5550981002278409E-2</v>
      </c>
      <c r="H71" s="6" t="str">
        <f>IF(E71="","",IF(E71&gt;$I$5,"OUTLIER",""))</f>
        <v/>
      </c>
      <c r="I71" s="6" t="str">
        <f>IF(F71="","",IF(F71&gt;$I$5,"OUTLIER",""))</f>
        <v/>
      </c>
      <c r="J71" s="6" t="str">
        <f>IF(G71="","",IF(G71&gt;$I$5,"OUTLIER",""))</f>
        <v/>
      </c>
      <c r="K71" s="6" t="str">
        <f>IF(C71="","MISSING","")</f>
        <v/>
      </c>
      <c r="L71" s="6" t="str">
        <f>IF(AND(C71&lt;&gt;"",C70&lt;&gt;"",C71=C70),"STALE","")</f>
        <v/>
      </c>
      <c r="M71" s="110">
        <f>IF(D71="","",ABS(D71-G$5))</f>
        <v>1.817851304768979E-4</v>
      </c>
    </row>
    <row r="72" spans="2:13" s="107" customFormat="1" ht="12.75" customHeight="1" x14ac:dyDescent="0.4">
      <c r="B72" s="109">
        <v>43921</v>
      </c>
      <c r="C72" s="5">
        <v>1.103</v>
      </c>
      <c r="D72" s="6">
        <f>IF(OR(C72="",C71=""),"",LN(C72/C71))</f>
        <v>2.63265550811241E-3</v>
      </c>
      <c r="E72" s="6">
        <f>IF(D72="","",ABS(D72-$E$5)/$F$5)</f>
        <v>0.49451947514110112</v>
      </c>
      <c r="F72" s="6">
        <f>IF(D72="","",ABS(D72-$G$5)/$H$5)</f>
        <v>0.88035629294923923</v>
      </c>
      <c r="G72" s="6">
        <f>IF(D72="","",ABS(D72-$E$5)/SQRT(0.9*(IF(G71="",$F$5^2,(ABS(D71-$E$5)/MAX(G71,0.0000000001))^2))+0.1*(D72-$E$5)^2))</f>
        <v>0.2912290312458311</v>
      </c>
      <c r="H72" s="6" t="str">
        <f>IF(E72="","",IF(E72&gt;$I$5,"OUTLIER",""))</f>
        <v/>
      </c>
      <c r="I72" s="6" t="str">
        <f>IF(F72="","",IF(F72&gt;$I$5,"OUTLIER",""))</f>
        <v/>
      </c>
      <c r="J72" s="6" t="str">
        <f>IF(G72="","",IF(G72&gt;$I$5,"OUTLIER",""))</f>
        <v/>
      </c>
      <c r="K72" s="6" t="str">
        <f>IF(C72="","MISSING","")</f>
        <v/>
      </c>
      <c r="L72" s="6" t="str">
        <f>IF(AND(C72&lt;&gt;"",C71&lt;&gt;"",C72=C71),"STALE","")</f>
        <v/>
      </c>
      <c r="M72" s="110">
        <f>IF(D72="","",ABS(D72-G$5))</f>
        <v>2.63265550811241E-3</v>
      </c>
    </row>
    <row r="73" spans="2:13" s="107" customFormat="1" ht="12.75" customHeight="1" x14ac:dyDescent="0.4">
      <c r="B73" s="109">
        <v>43922</v>
      </c>
      <c r="C73" s="5">
        <v>1.0789</v>
      </c>
      <c r="D73" s="6">
        <f>IF(OR(C73="",C72=""),"",LN(C73/C72))</f>
        <v>-2.2091736696208057E-2</v>
      </c>
      <c r="E73" s="6">
        <f>IF(D73="","",ABS(D73-$E$5)/$F$5)</f>
        <v>4.4063771471000477</v>
      </c>
      <c r="F73" s="6">
        <f>IF(D73="","",ABS(D73-$G$5)/$H$5)</f>
        <v>7.3874456277148344</v>
      </c>
      <c r="G73" s="6">
        <f>IF(D73="","",ABS(D73-$E$5)/SQRT(0.9*(IF(G72="",$F$5^2,(ABS(D72-$E$5)/MAX(G72,0.0000000001))^2))+0.1*(D73-$E$5)^2))</f>
        <v>2.0687828638105938</v>
      </c>
      <c r="H73" s="6" t="str">
        <f>IF(E73="","",IF(E73&gt;$I$5,"OUTLIER",""))</f>
        <v>OUTLIER</v>
      </c>
      <c r="I73" s="6" t="str">
        <f>IF(F73="","",IF(F73&gt;$I$5,"OUTLIER",""))</f>
        <v>OUTLIER</v>
      </c>
      <c r="J73" s="6" t="str">
        <f>IF(G73="","",IF(G73&gt;$I$5,"OUTLIER",""))</f>
        <v/>
      </c>
      <c r="K73" s="6" t="str">
        <f>IF(C73="","MISSING","")</f>
        <v/>
      </c>
      <c r="L73" s="6" t="str">
        <f>IF(AND(C73&lt;&gt;"",C72&lt;&gt;"",C73=C72),"STALE","")</f>
        <v/>
      </c>
      <c r="M73" s="110">
        <f>IF(D73="","",ABS(D73-G$5))</f>
        <v>2.2091736696208057E-2</v>
      </c>
    </row>
    <row r="74" spans="2:13" s="107" customFormat="1" ht="12.75" customHeight="1" x14ac:dyDescent="0.4">
      <c r="B74" s="109">
        <v>43923</v>
      </c>
      <c r="C74" s="5">
        <v>1.0789</v>
      </c>
      <c r="D74" s="6">
        <f>IF(OR(C74="",C73=""),"",LN(C74/C73))</f>
        <v>0</v>
      </c>
      <c r="E74" s="6">
        <f>IF(D74="","",ABS(D74-$E$5)/$F$5)</f>
        <v>2.7328438474265301E-2</v>
      </c>
      <c r="F74" s="6">
        <f>IF(D74="","",ABS(D74-$G$5)/$H$5)</f>
        <v>0</v>
      </c>
      <c r="G74" s="6">
        <f>IF(D74="","",ABS(D74-$E$5)/SQRT(0.9*(IF(G73="",$F$5^2,(ABS(D73-$E$5)/MAX(G73,0.0000000001))^2))+0.1*(D74-$E$5)^2))</f>
        <v>1.3524550332259667E-2</v>
      </c>
      <c r="H74" s="6" t="str">
        <f>IF(E74="","",IF(E74&gt;$I$5,"OUTLIER",""))</f>
        <v/>
      </c>
      <c r="I74" s="6" t="str">
        <f>IF(F74="","",IF(F74&gt;$I$5,"OUTLIER",""))</f>
        <v/>
      </c>
      <c r="J74" s="6" t="str">
        <f>IF(G74="","",IF(G74&gt;$I$5,"OUTLIER",""))</f>
        <v/>
      </c>
      <c r="K74" s="6" t="str">
        <f>IF(C74="","MISSING","")</f>
        <v/>
      </c>
      <c r="L74" s="6" t="str">
        <f>IF(AND(C74&lt;&gt;"",C73&lt;&gt;"",C74=C73),"STALE","")</f>
        <v>STALE</v>
      </c>
      <c r="M74" s="110">
        <f>IF(D74="","",ABS(D74-G$5))</f>
        <v>0</v>
      </c>
    </row>
    <row r="75" spans="2:13" s="107" customFormat="1" ht="12.75" customHeight="1" x14ac:dyDescent="0.4">
      <c r="B75" s="109">
        <v>43924</v>
      </c>
      <c r="C75" s="5">
        <v>1.0784</v>
      </c>
      <c r="D75" s="6">
        <f>IF(OR(C75="",C74=""),"",LN(C75/C74))</f>
        <v>-4.6354239925181542E-4</v>
      </c>
      <c r="E75" s="6">
        <f>IF(D75="","",ABS(D75-$E$5)/$F$5)</f>
        <v>0.11921233029999838</v>
      </c>
      <c r="F75" s="6">
        <f>IF(D75="","",ABS(D75-$G$5)/$H$5)</f>
        <v>0.15500792525745832</v>
      </c>
      <c r="G75" s="6">
        <f>IF(D75="","",ABS(D75-$E$5)/SQRT(0.9*(IF(G74="",$F$5^2,(ABS(D74-$E$5)/MAX(G74,0.0000000001))^2))+0.1*(D75-$E$5)^2))</f>
        <v>6.2176171576108857E-2</v>
      </c>
      <c r="H75" s="6" t="str">
        <f>IF(E75="","",IF(E75&gt;$I$5,"OUTLIER",""))</f>
        <v/>
      </c>
      <c r="I75" s="6" t="str">
        <f>IF(F75="","",IF(F75&gt;$I$5,"OUTLIER",""))</f>
        <v/>
      </c>
      <c r="J75" s="6" t="str">
        <f>IF(G75="","",IF(G75&gt;$I$5,"OUTLIER",""))</f>
        <v/>
      </c>
      <c r="K75" s="6" t="str">
        <f>IF(C75="","MISSING","")</f>
        <v/>
      </c>
      <c r="L75" s="6" t="str">
        <f>IF(AND(C75&lt;&gt;"",C74&lt;&gt;"",C75=C74),"STALE","")</f>
        <v/>
      </c>
      <c r="M75" s="110">
        <f>IF(D75="","",ABS(D75-G$5))</f>
        <v>4.6354239925181542E-4</v>
      </c>
    </row>
    <row r="76" spans="2:13" s="107" customFormat="1" ht="12.75" customHeight="1" x14ac:dyDescent="0.4">
      <c r="B76" s="109">
        <v>43927</v>
      </c>
      <c r="C76" s="5">
        <v>1.0879000000000001</v>
      </c>
      <c r="D76" s="6">
        <f>IF(OR(C76="",C75=""),"",LN(C76/C75))</f>
        <v>8.7707712689943824E-3</v>
      </c>
      <c r="E76" s="6">
        <f>IF(D76="","",ABS(D76-$E$5)/$F$5)</f>
        <v>1.7112236331577697</v>
      </c>
      <c r="F76" s="6">
        <f>IF(D76="","",ABS(D76-$G$5)/$H$5)</f>
        <v>2.9329335558277299</v>
      </c>
      <c r="G76" s="6">
        <f>IF(D76="","",ABS(D76-$E$5)/SQRT(0.9*(IF(G75="",$F$5^2,(ABS(D75-$E$5)/MAX(G75,0.0000000001))^2))+0.1*(D76-$E$5)^2))</f>
        <v>0.9017221583495455</v>
      </c>
      <c r="H76" s="6" t="str">
        <f>IF(E76="","",IF(E76&gt;$I$5,"OUTLIER",""))</f>
        <v/>
      </c>
      <c r="I76" s="6" t="str">
        <f>IF(F76="","",IF(F76&gt;$I$5,"OUTLIER",""))</f>
        <v/>
      </c>
      <c r="J76" s="6" t="str">
        <f>IF(G76="","",IF(G76&gt;$I$5,"OUTLIER",""))</f>
        <v/>
      </c>
      <c r="K76" s="6" t="str">
        <f>IF(C76="","MISSING","")</f>
        <v/>
      </c>
      <c r="L76" s="6" t="str">
        <f>IF(AND(C76&lt;&gt;"",C75&lt;&gt;"",C76=C75),"STALE","")</f>
        <v/>
      </c>
      <c r="M76" s="110">
        <f>IF(D76="","",ABS(D76-G$5))</f>
        <v>8.7707712689943824E-3</v>
      </c>
    </row>
    <row r="77" spans="2:13" s="107" customFormat="1" ht="12.75" customHeight="1" x14ac:dyDescent="0.4">
      <c r="B77" s="109">
        <v>43928</v>
      </c>
      <c r="C77" s="5">
        <v>1.0879000000000001</v>
      </c>
      <c r="D77" s="6">
        <f>IF(OR(C77="",C76=""),"",LN(C77/C76))</f>
        <v>0</v>
      </c>
      <c r="E77" s="6">
        <f>IF(D77="","",ABS(D77-$E$5)/$F$5)</f>
        <v>2.7328438474265301E-2</v>
      </c>
      <c r="F77" s="6">
        <f>IF(D77="","",ABS(D77-$G$5)/$H$5)</f>
        <v>0</v>
      </c>
      <c r="G77" s="6">
        <f>IF(D77="","",ABS(D77-$E$5)/SQRT(0.9*(IF(G76="",$F$5^2,(ABS(D76-$E$5)/MAX(G76,0.0000000001))^2))+0.1*(D77-$E$5)^2))</f>
        <v>1.5179397411602171E-2</v>
      </c>
      <c r="H77" s="6" t="str">
        <f>IF(E77="","",IF(E77&gt;$I$5,"OUTLIER",""))</f>
        <v/>
      </c>
      <c r="I77" s="6" t="str">
        <f>IF(F77="","",IF(F77&gt;$I$5,"OUTLIER",""))</f>
        <v/>
      </c>
      <c r="J77" s="6" t="str">
        <f>IF(G77="","",IF(G77&gt;$I$5,"OUTLIER",""))</f>
        <v/>
      </c>
      <c r="K77" s="6" t="str">
        <f>IF(C77="","MISSING","")</f>
        <v/>
      </c>
      <c r="L77" s="6" t="str">
        <f>IF(AND(C77&lt;&gt;"",C76&lt;&gt;"",C77=C76),"STALE","")</f>
        <v>STALE</v>
      </c>
      <c r="M77" s="110">
        <f>IF(D77="","",ABS(D77-G$5))</f>
        <v>0</v>
      </c>
    </row>
    <row r="78" spans="2:13" s="107" customFormat="1" ht="12.75" customHeight="1" x14ac:dyDescent="0.4">
      <c r="B78" s="109">
        <v>43929</v>
      </c>
      <c r="C78" s="5">
        <v>1.0913999999999999</v>
      </c>
      <c r="D78" s="6">
        <f>IF(OR(C78="",C77=""),"",LN(C78/C77))</f>
        <v>3.2120433250944591E-3</v>
      </c>
      <c r="E78" s="6">
        <f>IF(D78="","",ABS(D78-$E$5)/$F$5)</f>
        <v>0.60936637498597601</v>
      </c>
      <c r="F78" s="6">
        <f>IF(D78="","",ABS(D78-$G$5)/$H$5)</f>
        <v>1.0741027626892101</v>
      </c>
      <c r="G78" s="6">
        <f>IF(D78="","",ABS(D78-$E$5)/SQRT(0.9*(IF(G77="",$F$5^2,(ABS(D77-$E$5)/MAX(G77,0.0000000001))^2))+0.1*(D78-$E$5)^2))</f>
        <v>0.35452782379501252</v>
      </c>
      <c r="H78" s="6" t="str">
        <f>IF(E78="","",IF(E78&gt;$I$5,"OUTLIER",""))</f>
        <v/>
      </c>
      <c r="I78" s="6" t="str">
        <f>IF(F78="","",IF(F78&gt;$I$5,"OUTLIER",""))</f>
        <v/>
      </c>
      <c r="J78" s="6" t="str">
        <f>IF(G78="","",IF(G78&gt;$I$5,"OUTLIER",""))</f>
        <v/>
      </c>
      <c r="K78" s="6" t="str">
        <f>IF(C78="","MISSING","")</f>
        <v/>
      </c>
      <c r="L78" s="6" t="str">
        <f>IF(AND(C78&lt;&gt;"",C77&lt;&gt;"",C78=C77),"STALE","")</f>
        <v/>
      </c>
      <c r="M78" s="110">
        <f>IF(D78="","",ABS(D78-G$5))</f>
        <v>3.2120433250944591E-3</v>
      </c>
    </row>
    <row r="79" spans="2:13" s="107" customFormat="1" ht="12.75" customHeight="1" x14ac:dyDescent="0.4">
      <c r="B79" s="109">
        <v>43930</v>
      </c>
      <c r="C79" s="5">
        <v>1.0926</v>
      </c>
      <c r="D79" s="6">
        <f>IF(OR(C79="",C78=""),"",LN(C79/C78))</f>
        <v>1.0989012094857913E-3</v>
      </c>
      <c r="E79" s="6">
        <f>IF(D79="","",ABS(D79-$E$5)/$F$5)</f>
        <v>0.19049698595839357</v>
      </c>
      <c r="F79" s="6">
        <f>IF(D79="","",ABS(D79-$G$5)/$H$5)</f>
        <v>0.36747101628727008</v>
      </c>
      <c r="G79" s="6">
        <f>IF(D79="","",ABS(D79-$E$5)/SQRT(0.9*(IF(G78="",$F$5^2,(ABS(D78-$E$5)/MAX(G78,0.0000000001))^2))+0.1*(D79-$E$5)^2))</f>
        <v>0.11674613898178524</v>
      </c>
      <c r="H79" s="6" t="str">
        <f>IF(E79="","",IF(E79&gt;$I$5,"OUTLIER",""))</f>
        <v/>
      </c>
      <c r="I79" s="6" t="str">
        <f>IF(F79="","",IF(F79&gt;$I$5,"OUTLIER",""))</f>
        <v/>
      </c>
      <c r="J79" s="6" t="str">
        <f>IF(G79="","",IF(G79&gt;$I$5,"OUTLIER",""))</f>
        <v/>
      </c>
      <c r="K79" s="6" t="str">
        <f>IF(C79="","MISSING","")</f>
        <v/>
      </c>
      <c r="L79" s="6" t="str">
        <f>IF(AND(C79&lt;&gt;"",C78&lt;&gt;"",C79=C78),"STALE","")</f>
        <v/>
      </c>
      <c r="M79" s="110">
        <f>IF(D79="","",ABS(D79-G$5))</f>
        <v>1.0989012094857913E-3</v>
      </c>
    </row>
    <row r="80" spans="2:13" s="107" customFormat="1" ht="12.75" customHeight="1" x14ac:dyDescent="0.4">
      <c r="B80" s="109">
        <v>43934</v>
      </c>
      <c r="C80" s="5">
        <v>1.0921000000000001</v>
      </c>
      <c r="D80" s="6">
        <f>IF(OR(C80="",C79=""),"",LN(C80/C79))</f>
        <v>-4.577287579344664E-4</v>
      </c>
      <c r="E80" s="6">
        <f>IF(D80="","",ABS(D80-$E$5)/$F$5)</f>
        <v>0.11805994382838521</v>
      </c>
      <c r="F80" s="6">
        <f>IF(D80="","",ABS(D80-$G$5)/$H$5)</f>
        <v>0.153063851791368</v>
      </c>
      <c r="G80" s="6">
        <f>IF(D80="","",ABS(D80-$E$5)/SQRT(0.9*(IF(G79="",$F$5^2,(ABS(D79-$E$5)/MAX(G79,0.0000000001))^2))+0.1*(D80-$E$5)^2))</f>
        <v>7.6244665879583645E-2</v>
      </c>
      <c r="H80" s="6" t="str">
        <f>IF(E80="","",IF(E80&gt;$I$5,"OUTLIER",""))</f>
        <v/>
      </c>
      <c r="I80" s="6" t="str">
        <f>IF(F80="","",IF(F80&gt;$I$5,"OUTLIER",""))</f>
        <v/>
      </c>
      <c r="J80" s="6" t="str">
        <f>IF(G80="","",IF(G80&gt;$I$5,"OUTLIER",""))</f>
        <v/>
      </c>
      <c r="K80" s="6" t="str">
        <f>IF(C80="","MISSING","")</f>
        <v/>
      </c>
      <c r="L80" s="6" t="str">
        <f>IF(AND(C80&lt;&gt;"",C79&lt;&gt;"",C80=C79),"STALE","")</f>
        <v/>
      </c>
      <c r="M80" s="110">
        <f>IF(D80="","",ABS(D80-G$5))</f>
        <v>4.577287579344664E-4</v>
      </c>
    </row>
    <row r="81" spans="2:13" s="107" customFormat="1" ht="12.75" customHeight="1" x14ac:dyDescent="0.4">
      <c r="B81" s="109">
        <v>43935</v>
      </c>
      <c r="C81" s="5">
        <v>1.0993999999999999</v>
      </c>
      <c r="D81" s="6">
        <f>IF(OR(C81="",C80=""),"",LN(C81/C80))</f>
        <v>6.6621282228770638E-3</v>
      </c>
      <c r="E81" s="6">
        <f>IF(D81="","",ABS(D81-$E$5)/$F$5)</f>
        <v>1.2932460547070121</v>
      </c>
      <c r="F81" s="6">
        <f>IF(D81="","",ABS(D81-$G$5)/$H$5)</f>
        <v>2.2278062919252735</v>
      </c>
      <c r="G81" s="6">
        <f>IF(D81="","",ABS(D81-$E$5)/SQRT(0.9*(IF(G80="",$F$5^2,(ABS(D80-$E$5)/MAX(G80,0.0000000001))^2))+0.1*(D81-$E$5)^2))</f>
        <v>0.84811943267269196</v>
      </c>
      <c r="H81" s="6" t="str">
        <f>IF(E81="","",IF(E81&gt;$I$5,"OUTLIER",""))</f>
        <v/>
      </c>
      <c r="I81" s="6" t="str">
        <f>IF(F81="","",IF(F81&gt;$I$5,"OUTLIER",""))</f>
        <v/>
      </c>
      <c r="J81" s="6" t="str">
        <f>IF(G81="","",IF(G81&gt;$I$5,"OUTLIER",""))</f>
        <v/>
      </c>
      <c r="K81" s="6" t="str">
        <f>IF(C81="","MISSING","")</f>
        <v/>
      </c>
      <c r="L81" s="6" t="str">
        <f>IF(AND(C81&lt;&gt;"",C80&lt;&gt;"",C81=C80),"STALE","")</f>
        <v/>
      </c>
      <c r="M81" s="110">
        <f>IF(D81="","",ABS(D81-G$5))</f>
        <v>6.6621282228770638E-3</v>
      </c>
    </row>
    <row r="82" spans="2:13" s="107" customFormat="1" ht="12.75" customHeight="1" x14ac:dyDescent="0.4">
      <c r="B82" s="109">
        <v>43936</v>
      </c>
      <c r="C82" s="5">
        <v>1.0891999999999999</v>
      </c>
      <c r="D82" s="6">
        <f>IF(OR(C82="",C81=""),"",LN(C82/C81))</f>
        <v>-9.3210946269554826E-3</v>
      </c>
      <c r="E82" s="6">
        <f>IF(D82="","",ABS(D82-$E$5)/$F$5)</f>
        <v>1.8749662204397848</v>
      </c>
      <c r="F82" s="6">
        <f>IF(D82="","",ABS(D82-$G$5)/$H$5)</f>
        <v>3.1169609114179715</v>
      </c>
      <c r="G82" s="6">
        <f>IF(D82="","",ABS(D82-$E$5)/SQRT(0.9*(IF(G81="",$F$5^2,(ABS(D81-$E$5)/MAX(G81,0.0000000001))^2))+0.1*(D82-$E$5)^2))</f>
        <v>1.1992992785044725</v>
      </c>
      <c r="H82" s="6" t="str">
        <f>IF(E82="","",IF(E82&gt;$I$5,"OUTLIER",""))</f>
        <v/>
      </c>
      <c r="I82" s="6" t="str">
        <f>IF(F82="","",IF(F82&gt;$I$5,"OUTLIER",""))</f>
        <v>OUTLIER</v>
      </c>
      <c r="J82" s="6" t="str">
        <f>IF(G82="","",IF(G82&gt;$I$5,"OUTLIER",""))</f>
        <v/>
      </c>
      <c r="K82" s="6" t="str">
        <f>IF(C82="","MISSING","")</f>
        <v/>
      </c>
      <c r="L82" s="6" t="str">
        <f>IF(AND(C82&lt;&gt;"",C81&lt;&gt;"",C82=C81),"STALE","")</f>
        <v/>
      </c>
      <c r="M82" s="110">
        <f>IF(D82="","",ABS(D82-G$5))</f>
        <v>9.3210946269554826E-3</v>
      </c>
    </row>
    <row r="83" spans="2:13" s="107" customFormat="1" ht="12.75" customHeight="1" x14ac:dyDescent="0.4">
      <c r="B83" s="109">
        <v>43937</v>
      </c>
      <c r="C83" s="5">
        <v>1.0879000000000001</v>
      </c>
      <c r="D83" s="6">
        <f>IF(OR(C83="",C82=""),"",LN(C83/C82))</f>
        <v>-1.1942493725673915E-3</v>
      </c>
      <c r="E83" s="6">
        <f>IF(D83="","",ABS(D83-$E$5)/$F$5)</f>
        <v>0.26405388222880888</v>
      </c>
      <c r="F83" s="6">
        <f>IF(D83="","",ABS(D83-$G$5)/$H$5)</f>
        <v>0.399355307692423</v>
      </c>
      <c r="G83" s="6">
        <f>IF(D83="","",ABS(D83-$E$5)/SQRT(0.9*(IF(G82="",$F$5^2,(ABS(D82-$E$5)/MAX(G82,0.0000000001))^2))+0.1*(D83-$E$5)^2))</f>
        <v>0.1777535305078988</v>
      </c>
      <c r="H83" s="6" t="str">
        <f>IF(E83="","",IF(E83&gt;$I$5,"OUTLIER",""))</f>
        <v/>
      </c>
      <c r="I83" s="6" t="str">
        <f>IF(F83="","",IF(F83&gt;$I$5,"OUTLIER",""))</f>
        <v/>
      </c>
      <c r="J83" s="6" t="str">
        <f>IF(G83="","",IF(G83&gt;$I$5,"OUTLIER",""))</f>
        <v/>
      </c>
      <c r="K83" s="6" t="str">
        <f>IF(C83="","MISSING","")</f>
        <v/>
      </c>
      <c r="L83" s="6" t="str">
        <f>IF(AND(C83&lt;&gt;"",C82&lt;&gt;"",C83=C82),"STALE","")</f>
        <v/>
      </c>
      <c r="M83" s="110">
        <f>IF(D83="","",ABS(D83-G$5))</f>
        <v>1.1942493725673915E-3</v>
      </c>
    </row>
    <row r="84" spans="2:13" s="107" customFormat="1" ht="12.75" customHeight="1" x14ac:dyDescent="0.4">
      <c r="B84" s="109">
        <v>43938</v>
      </c>
      <c r="C84" s="5">
        <v>1.0872999999999999</v>
      </c>
      <c r="D84" s="6">
        <f>IF(OR(C84="",C83=""),"",LN(C84/C83))</f>
        <v>-5.5167342333333218E-4</v>
      </c>
      <c r="E84" s="6">
        <f>IF(D84="","",ABS(D84-$E$5)/$F$5)</f>
        <v>0.13668176027289305</v>
      </c>
      <c r="F84" s="6">
        <f>IF(D84="","",ABS(D84-$G$5)/$H$5)</f>
        <v>0.18447881554870391</v>
      </c>
      <c r="G84" s="6">
        <f>IF(D84="","",ABS(D84-$E$5)/SQRT(0.9*(IF(G83="",$F$5^2,(ABS(D83-$E$5)/MAX(G83,0.0000000001))^2))+0.1*(D84-$E$5)^2))</f>
        <v>9.6941742646447782E-2</v>
      </c>
      <c r="H84" s="6" t="str">
        <f>IF(E84="","",IF(E84&gt;$I$5,"OUTLIER",""))</f>
        <v/>
      </c>
      <c r="I84" s="6" t="str">
        <f>IF(F84="","",IF(F84&gt;$I$5,"OUTLIER",""))</f>
        <v/>
      </c>
      <c r="J84" s="6" t="str">
        <f>IF(G84="","",IF(G84&gt;$I$5,"OUTLIER",""))</f>
        <v/>
      </c>
      <c r="K84" s="6" t="str">
        <f>IF(C84="","MISSING","")</f>
        <v/>
      </c>
      <c r="L84" s="6" t="str">
        <f>IF(AND(C84&lt;&gt;"",C83&lt;&gt;"",C84=C83),"STALE","")</f>
        <v/>
      </c>
      <c r="M84" s="110">
        <f>IF(D84="","",ABS(D84-G$5))</f>
        <v>5.5167342333333218E-4</v>
      </c>
    </row>
    <row r="85" spans="2:13" s="107" customFormat="1" ht="12.75" customHeight="1" x14ac:dyDescent="0.4">
      <c r="B85" s="109">
        <v>43941</v>
      </c>
      <c r="C85" s="5">
        <v>1.0872999999999999</v>
      </c>
      <c r="D85" s="6">
        <f>IF(OR(C85="",C84=""),"",LN(C85/C84))</f>
        <v>0</v>
      </c>
      <c r="E85" s="6">
        <f>IF(D85="","",ABS(D85-$E$5)/$F$5)</f>
        <v>2.7328438474265301E-2</v>
      </c>
      <c r="F85" s="6">
        <f>IF(D85="","",ABS(D85-$G$5)/$H$5)</f>
        <v>0</v>
      </c>
      <c r="G85" s="6">
        <f>IF(D85="","",ABS(D85-$E$5)/SQRT(0.9*(IF(G84="",$F$5^2,(ABS(D84-$E$5)/MAX(G84,0.0000000001))^2))+0.1*(D85-$E$5)^2))</f>
        <v>2.0430771062000256E-2</v>
      </c>
      <c r="H85" s="6" t="str">
        <f>IF(E85="","",IF(E85&gt;$I$5,"OUTLIER",""))</f>
        <v/>
      </c>
      <c r="I85" s="6" t="str">
        <f>IF(F85="","",IF(F85&gt;$I$5,"OUTLIER",""))</f>
        <v/>
      </c>
      <c r="J85" s="6" t="str">
        <f>IF(G85="","",IF(G85&gt;$I$5,"OUTLIER",""))</f>
        <v/>
      </c>
      <c r="K85" s="6" t="str">
        <f>IF(C85="","MISSING","")</f>
        <v/>
      </c>
      <c r="L85" s="6" t="str">
        <f>IF(AND(C85&lt;&gt;"",C84&lt;&gt;"",C85=C84),"STALE","")</f>
        <v>STALE</v>
      </c>
      <c r="M85" s="110">
        <f>IF(D85="","",ABS(D85-G$5))</f>
        <v>0</v>
      </c>
    </row>
    <row r="86" spans="2:13" s="107" customFormat="1" ht="12.75" customHeight="1" x14ac:dyDescent="0.4">
      <c r="B86" s="109">
        <v>43942</v>
      </c>
      <c r="C86" s="5">
        <v>1.0714999999999999</v>
      </c>
      <c r="D86" s="6">
        <f>IF(OR(C86="",C85=""),"",LN(C86/C85))</f>
        <v>-1.4638023090072059E-2</v>
      </c>
      <c r="E86" s="6">
        <f>IF(D86="","",ABS(D86-$E$5)/$F$5)</f>
        <v>2.9288937156132513</v>
      </c>
      <c r="F86" s="6">
        <f>IF(D86="","",ABS(D86-$G$5)/$H$5)</f>
        <v>4.8949342988368558</v>
      </c>
      <c r="G86" s="6">
        <f>IF(D86="","",ABS(D86-$E$5)/SQRT(0.9*(IF(G85="",$F$5^2,(ABS(D85-$E$5)/MAX(G85,0.0000000001))^2))+0.1*(D86-$E$5)^2))</f>
        <v>1.8643176594847199</v>
      </c>
      <c r="H86" s="6" t="str">
        <f>IF(E86="","",IF(E86&gt;$I$5,"OUTLIER",""))</f>
        <v/>
      </c>
      <c r="I86" s="6" t="str">
        <f>IF(F86="","",IF(F86&gt;$I$5,"OUTLIER",""))</f>
        <v>OUTLIER</v>
      </c>
      <c r="J86" s="6" t="str">
        <f>IF(G86="","",IF(G86&gt;$I$5,"OUTLIER",""))</f>
        <v/>
      </c>
      <c r="K86" s="6" t="str">
        <f>IF(C86="","MISSING","")</f>
        <v/>
      </c>
      <c r="L86" s="6" t="str">
        <f>IF(AND(C86&lt;&gt;"",C85&lt;&gt;"",C86=C85),"STALE","")</f>
        <v/>
      </c>
      <c r="M86" s="110">
        <f>IF(D86="","",ABS(D86-G$5))</f>
        <v>1.4638023090072059E-2</v>
      </c>
    </row>
    <row r="87" spans="2:13" s="107" customFormat="1" ht="12.75" customHeight="1" x14ac:dyDescent="0.4">
      <c r="B87" s="109">
        <v>43943</v>
      </c>
      <c r="C87" s="5">
        <v>1.0817000000000001</v>
      </c>
      <c r="D87" s="6">
        <f>IF(OR(C87="",C86=""),"",LN(C87/C86))</f>
        <v>9.4743417226123474E-3</v>
      </c>
      <c r="E87" s="6">
        <f>IF(D87="","",ABS(D87-$E$5)/$F$5)</f>
        <v>1.8506861538599939</v>
      </c>
      <c r="F87" s="6">
        <f>IF(D87="","",ABS(D87-$G$5)/$H$5)</f>
        <v>3.1682065243065511</v>
      </c>
      <c r="G87" s="6">
        <f>IF(D87="","",ABS(D87-$E$5)/SQRT(0.9*(IF(G86="",$F$5^2,(ABS(D86-$E$5)/MAX(G86,0.0000000001))^2))+0.1*(D87-$E$5)^2))</f>
        <v>1.1558173417588367</v>
      </c>
      <c r="H87" s="6" t="str">
        <f>IF(E87="","",IF(E87&gt;$I$5,"OUTLIER",""))</f>
        <v/>
      </c>
      <c r="I87" s="6" t="str">
        <f>IF(F87="","",IF(F87&gt;$I$5,"OUTLIER",""))</f>
        <v>OUTLIER</v>
      </c>
      <c r="J87" s="6" t="str">
        <f>IF(G87="","",IF(G87&gt;$I$5,"OUTLIER",""))</f>
        <v/>
      </c>
      <c r="K87" s="6" t="str">
        <f>IF(C87="","MISSING","")</f>
        <v/>
      </c>
      <c r="L87" s="6" t="str">
        <f>IF(AND(C87&lt;&gt;"",C86&lt;&gt;"",C87=C86),"STALE","")</f>
        <v/>
      </c>
      <c r="M87" s="110">
        <f>IF(D87="","",ABS(D87-G$5))</f>
        <v>9.4743417226123474E-3</v>
      </c>
    </row>
    <row r="88" spans="2:13" s="107" customFormat="1" ht="12.75" customHeight="1" x14ac:dyDescent="0.4">
      <c r="B88" s="109">
        <v>43944</v>
      </c>
      <c r="C88" s="5">
        <v>1.0832999999999999</v>
      </c>
      <c r="D88" s="6">
        <f>IF(OR(C88="",C87=""),"",LN(C88/C87))</f>
        <v>1.4780603152776885E-3</v>
      </c>
      <c r="E88" s="6">
        <f>IF(D88="","",ABS(D88-$E$5)/$F$5)</f>
        <v>0.26565432715858567</v>
      </c>
      <c r="F88" s="6">
        <f>IF(D88="","",ABS(D88-$G$5)/$H$5)</f>
        <v>0.49426128709343076</v>
      </c>
      <c r="G88" s="6">
        <f>IF(D88="","",ABS(D88-$E$5)/SQRT(0.9*(IF(G87="",$F$5^2,(ABS(D87-$E$5)/MAX(G87,0.0000000001))^2))+0.1*(D88-$E$5)^2))</f>
        <v>0.17461797422029343</v>
      </c>
      <c r="H88" s="6" t="str">
        <f>IF(E88="","",IF(E88&gt;$I$5,"OUTLIER",""))</f>
        <v/>
      </c>
      <c r="I88" s="6" t="str">
        <f>IF(F88="","",IF(F88&gt;$I$5,"OUTLIER",""))</f>
        <v/>
      </c>
      <c r="J88" s="6" t="str">
        <f>IF(G88="","",IF(G88&gt;$I$5,"OUTLIER",""))</f>
        <v/>
      </c>
      <c r="K88" s="6" t="str">
        <f>IF(C88="","MISSING","")</f>
        <v/>
      </c>
      <c r="L88" s="6" t="str">
        <f>IF(AND(C88&lt;&gt;"",C87&lt;&gt;"",C88=C87),"STALE","")</f>
        <v/>
      </c>
      <c r="M88" s="110">
        <f>IF(D88="","",ABS(D88-G$5))</f>
        <v>1.4780603152776885E-3</v>
      </c>
    </row>
    <row r="89" spans="2:13" s="107" customFormat="1" ht="12.75" customHeight="1" x14ac:dyDescent="0.4">
      <c r="B89" s="109">
        <v>43945</v>
      </c>
      <c r="C89" s="5">
        <v>1.0843</v>
      </c>
      <c r="D89" s="6">
        <f>IF(OR(C89="",C88=""),"",LN(C89/C88))</f>
        <v>9.2267952661466033E-4</v>
      </c>
      <c r="E89" s="6">
        <f>IF(D89="","",ABS(D89-$E$5)/$F$5)</f>
        <v>0.15556612726582442</v>
      </c>
      <c r="F89" s="6">
        <f>IF(D89="","",ABS(D89-$G$5)/$H$5)</f>
        <v>0.30854273380152325</v>
      </c>
      <c r="G89" s="6">
        <f>IF(D89="","",ABS(D89-$E$5)/SQRT(0.9*(IF(G88="",$F$5^2,(ABS(D88-$E$5)/MAX(G88,0.0000000001))^2))+0.1*(D89-$E$5)^2))</f>
        <v>0.10772430513185337</v>
      </c>
      <c r="H89" s="6" t="str">
        <f>IF(E89="","",IF(E89&gt;$I$5,"OUTLIER",""))</f>
        <v/>
      </c>
      <c r="I89" s="6" t="str">
        <f>IF(F89="","",IF(F89&gt;$I$5,"OUTLIER",""))</f>
        <v/>
      </c>
      <c r="J89" s="6" t="str">
        <f>IF(G89="","",IF(G89&gt;$I$5,"OUTLIER",""))</f>
        <v/>
      </c>
      <c r="K89" s="6" t="str">
        <f>IF(C89="","MISSING","")</f>
        <v/>
      </c>
      <c r="L89" s="6" t="str">
        <f>IF(AND(C89&lt;&gt;"",C88&lt;&gt;"",C89=C88),"STALE","")</f>
        <v/>
      </c>
      <c r="M89" s="110">
        <f>IF(D89="","",ABS(D89-G$5))</f>
        <v>9.2267952661466033E-4</v>
      </c>
    </row>
    <row r="90" spans="2:13" s="107" customFormat="1" ht="12.75" customHeight="1" x14ac:dyDescent="0.4">
      <c r="B90" s="109">
        <v>43948</v>
      </c>
      <c r="C90" s="5">
        <v>1.083</v>
      </c>
      <c r="D90" s="6">
        <f>IF(OR(C90="",C89=""),"",LN(C90/C89))</f>
        <v>-1.1996494771456818E-3</v>
      </c>
      <c r="E90" s="6">
        <f>IF(D90="","",ABS(D90-$E$5)/$F$5)</f>
        <v>0.26512429698638046</v>
      </c>
      <c r="F90" s="6">
        <f>IF(D90="","",ABS(D90-$G$5)/$H$5)</f>
        <v>0.40116109505557496</v>
      </c>
      <c r="G90" s="6">
        <f>IF(D90="","",ABS(D90-$E$5)/SQRT(0.9*(IF(G89="",$F$5^2,(ABS(D89-$E$5)/MAX(G89,0.0000000001))^2))+0.1*(D90-$E$5)^2))</f>
        <v>0.19315912748522646</v>
      </c>
      <c r="H90" s="6" t="str">
        <f>IF(E90="","",IF(E90&gt;$I$5,"OUTLIER",""))</f>
        <v/>
      </c>
      <c r="I90" s="6" t="str">
        <f>IF(F90="","",IF(F90&gt;$I$5,"OUTLIER",""))</f>
        <v/>
      </c>
      <c r="J90" s="6" t="str">
        <f>IF(G90="","",IF(G90&gt;$I$5,"OUTLIER",""))</f>
        <v/>
      </c>
      <c r="K90" s="6" t="str">
        <f>IF(C90="","MISSING","")</f>
        <v/>
      </c>
      <c r="L90" s="6" t="str">
        <f>IF(AND(C90&lt;&gt;"",C89&lt;&gt;"",C90=C89),"STALE","")</f>
        <v/>
      </c>
      <c r="M90" s="110">
        <f>IF(D90="","",ABS(D90-G$5))</f>
        <v>1.1996494771456818E-3</v>
      </c>
    </row>
    <row r="91" spans="2:13" s="107" customFormat="1" ht="12.75" customHeight="1" x14ac:dyDescent="0.4">
      <c r="B91" s="109">
        <v>43949</v>
      </c>
      <c r="C91" s="5">
        <v>1.0845</v>
      </c>
      <c r="D91" s="6">
        <f>IF(OR(C91="",C90=""),"",LN(C91/C90))</f>
        <v>1.3840832659385552E-3</v>
      </c>
      <c r="E91" s="6">
        <f>IF(D91="","",ABS(D91-$E$5)/$F$5)</f>
        <v>0.24702609153328828</v>
      </c>
      <c r="F91" s="6">
        <f>IF(D91="","",ABS(D91-$G$5)/$H$5)</f>
        <v>0.4628354941920928</v>
      </c>
      <c r="G91" s="6">
        <f>IF(D91="","",ABS(D91-$E$5)/SQRT(0.9*(IF(G90="",$F$5^2,(ABS(D90-$E$5)/MAX(G90,0.0000000001))^2))+0.1*(D91-$E$5)^2))</f>
        <v>0.18936825640005922</v>
      </c>
      <c r="H91" s="6" t="str">
        <f>IF(E91="","",IF(E91&gt;$I$5,"OUTLIER",""))</f>
        <v/>
      </c>
      <c r="I91" s="6" t="str">
        <f>IF(F91="","",IF(F91&gt;$I$5,"OUTLIER",""))</f>
        <v/>
      </c>
      <c r="J91" s="6" t="str">
        <f>IF(G91="","",IF(G91&gt;$I$5,"OUTLIER",""))</f>
        <v/>
      </c>
      <c r="K91" s="6" t="str">
        <f>IF(C91="","MISSING","")</f>
        <v/>
      </c>
      <c r="L91" s="6" t="str">
        <f>IF(AND(C91&lt;&gt;"",C90&lt;&gt;"",C91=C90),"STALE","")</f>
        <v/>
      </c>
      <c r="M91" s="110">
        <f>IF(D91="","",ABS(D91-G$5))</f>
        <v>1.3840832659385552E-3</v>
      </c>
    </row>
    <row r="92" spans="2:13" s="107" customFormat="1" ht="12.75" customHeight="1" x14ac:dyDescent="0.4">
      <c r="B92" s="109">
        <v>43950</v>
      </c>
      <c r="C92" s="5">
        <v>1.0886</v>
      </c>
      <c r="D92" s="6">
        <f>IF(OR(C92="",C91=""),"",LN(C92/C91))</f>
        <v>3.773415733170569E-3</v>
      </c>
      <c r="E92" s="6">
        <f>IF(D92="","",ABS(D92-$E$5)/$F$5)</f>
        <v>0.72064224036716107</v>
      </c>
      <c r="F92" s="6">
        <f>IF(D92="","",ABS(D92-$G$5)/$H$5)</f>
        <v>1.2618249050716801</v>
      </c>
      <c r="G92" s="6">
        <f>IF(D92="","",ABS(D92-$E$5)/SQRT(0.9*(IF(G91="",$F$5^2,(ABS(D91-$E$5)/MAX(G91,0.0000000001))^2))+0.1*(D92-$E$5)^2))</f>
        <v>0.57269248064802625</v>
      </c>
      <c r="H92" s="6" t="str">
        <f>IF(E92="","",IF(E92&gt;$I$5,"OUTLIER",""))</f>
        <v/>
      </c>
      <c r="I92" s="6" t="str">
        <f>IF(F92="","",IF(F92&gt;$I$5,"OUTLIER",""))</f>
        <v/>
      </c>
      <c r="J92" s="6" t="str">
        <f>IF(G92="","",IF(G92&gt;$I$5,"OUTLIER",""))</f>
        <v/>
      </c>
      <c r="K92" s="6" t="str">
        <f>IF(C92="","MISSING","")</f>
        <v/>
      </c>
      <c r="L92" s="6" t="str">
        <f>IF(AND(C92&lt;&gt;"",C91&lt;&gt;"",C92=C91),"STALE","")</f>
        <v/>
      </c>
      <c r="M92" s="110">
        <f>IF(D92="","",ABS(D92-G$5))</f>
        <v>3.773415733170569E-3</v>
      </c>
    </row>
    <row r="93" spans="2:13" s="107" customFormat="1" ht="12.75" customHeight="1" x14ac:dyDescent="0.4">
      <c r="B93" s="109">
        <v>43951</v>
      </c>
      <c r="C93" s="5">
        <v>1.0955999999999999</v>
      </c>
      <c r="D93" s="6">
        <f>IF(OR(C93="",C92=""),"",LN(C93/C92))</f>
        <v>6.4096913888233315E-3</v>
      </c>
      <c r="E93" s="6">
        <f>IF(D93="","",ABS(D93-$E$5)/$F$5)</f>
        <v>1.2432077436690974</v>
      </c>
      <c r="F93" s="6">
        <f>IF(D93="","",ABS(D93-$G$5)/$H$5)</f>
        <v>2.1433917702582415</v>
      </c>
      <c r="G93" s="6">
        <f>IF(D93="","",ABS(D93-$E$5)/SQRT(0.9*(IF(G92="",$F$5^2,(ABS(D92-$E$5)/MAX(G92,0.0000000001))^2))+0.1*(D93-$E$5)^2))</f>
        <v>0.9891570272086937</v>
      </c>
      <c r="H93" s="6" t="str">
        <f>IF(E93="","",IF(E93&gt;$I$5,"OUTLIER",""))</f>
        <v/>
      </c>
      <c r="I93" s="6" t="str">
        <f>IF(F93="","",IF(F93&gt;$I$5,"OUTLIER",""))</f>
        <v/>
      </c>
      <c r="J93" s="6" t="str">
        <f>IF(G93="","",IF(G93&gt;$I$5,"OUTLIER",""))</f>
        <v/>
      </c>
      <c r="K93" s="6" t="str">
        <f>IF(C93="","MISSING","")</f>
        <v/>
      </c>
      <c r="L93" s="6" t="str">
        <f>IF(AND(C93&lt;&gt;"",C92&lt;&gt;"",C93=C92),"STALE","")</f>
        <v/>
      </c>
      <c r="M93" s="110">
        <f>IF(D93="","",ABS(D93-G$5))</f>
        <v>6.4096913888233315E-3</v>
      </c>
    </row>
    <row r="94" spans="2:13" s="107" customFormat="1" ht="12.75" customHeight="1" x14ac:dyDescent="0.4">
      <c r="B94" s="109">
        <v>43952</v>
      </c>
      <c r="C94" s="5">
        <v>1.0974999999999999</v>
      </c>
      <c r="D94" s="6">
        <f>IF(OR(C94="",C93=""),"",LN(C94/C93))</f>
        <v>1.7327075604032826E-3</v>
      </c>
      <c r="E94" s="6">
        <f>IF(D94="","",ABS(D94-$E$5)/$F$5)</f>
        <v>0.31613078834661668</v>
      </c>
      <c r="F94" s="6">
        <f>IF(D94="","",ABS(D94-$G$5)/$H$5)</f>
        <v>0.57941496710880025</v>
      </c>
      <c r="G94" s="6">
        <f>IF(D94="","",ABS(D94-$E$5)/SQRT(0.9*(IF(G93="",$F$5^2,(ABS(D93-$E$5)/MAX(G93,0.0000000001))^2))+0.1*(D94-$E$5)^2))</f>
        <v>0.26420798768560155</v>
      </c>
      <c r="H94" s="6" t="str">
        <f>IF(E94="","",IF(E94&gt;$I$5,"OUTLIER",""))</f>
        <v/>
      </c>
      <c r="I94" s="6" t="str">
        <f>IF(F94="","",IF(F94&gt;$I$5,"OUTLIER",""))</f>
        <v/>
      </c>
      <c r="J94" s="6" t="str">
        <f>IF(G94="","",IF(G94&gt;$I$5,"OUTLIER",""))</f>
        <v/>
      </c>
      <c r="K94" s="6" t="str">
        <f>IF(C94="","MISSING","")</f>
        <v/>
      </c>
      <c r="L94" s="6" t="str">
        <f>IF(AND(C94&lt;&gt;"",C93&lt;&gt;"",C94=C93),"STALE","")</f>
        <v/>
      </c>
      <c r="M94" s="110">
        <f>IF(D94="","",ABS(D94-G$5))</f>
        <v>1.7327075604032826E-3</v>
      </c>
    </row>
    <row r="95" spans="2:13" s="107" customFormat="1" ht="12.75" customHeight="1" x14ac:dyDescent="0.4">
      <c r="B95" s="109">
        <v>43955</v>
      </c>
      <c r="C95" s="5">
        <v>1.0986</v>
      </c>
      <c r="D95" s="6">
        <f>IF(OR(C95="",C94=""),"",LN(C95/C94))</f>
        <v>1.0017759591937584E-3</v>
      </c>
      <c r="E95" s="6">
        <f>IF(D95="","",ABS(D95-$E$5)/$F$5)</f>
        <v>0.17124471042591874</v>
      </c>
      <c r="F95" s="6">
        <f>IF(D95="","",ABS(D95-$G$5)/$H$5)</f>
        <v>0.33499246942256183</v>
      </c>
      <c r="G95" s="6">
        <f>IF(D95="","",ABS(D95-$E$5)/SQRT(0.9*(IF(G94="",$F$5^2,(ABS(D94-$E$5)/MAX(G94,0.0000000001))^2))+0.1*(D95-$E$5)^2))</f>
        <v>0.15068895436258375</v>
      </c>
      <c r="H95" s="6" t="str">
        <f>IF(E95="","",IF(E95&gt;$I$5,"OUTLIER",""))</f>
        <v/>
      </c>
      <c r="I95" s="6" t="str">
        <f>IF(F95="","",IF(F95&gt;$I$5,"OUTLIER",""))</f>
        <v/>
      </c>
      <c r="J95" s="6" t="str">
        <f>IF(G95="","",IF(G95&gt;$I$5,"OUTLIER",""))</f>
        <v/>
      </c>
      <c r="K95" s="6" t="str">
        <f>IF(C95="","MISSING","")</f>
        <v/>
      </c>
      <c r="L95" s="6" t="str">
        <f>IF(AND(C95&lt;&gt;"",C94&lt;&gt;"",C95=C94),"STALE","")</f>
        <v/>
      </c>
      <c r="M95" s="110">
        <f>IF(D95="","",ABS(D95-G$5))</f>
        <v>1.0017759591937584E-3</v>
      </c>
    </row>
    <row r="96" spans="2:13" s="107" customFormat="1" ht="12.75" customHeight="1" x14ac:dyDescent="0.4">
      <c r="B96" s="109">
        <v>43956</v>
      </c>
      <c r="C96" s="5">
        <v>1.0852999999999999</v>
      </c>
      <c r="D96" s="6">
        <f>IF(OR(C96="",C95=""),"",LN(C96/C95))</f>
        <v>-1.2180195456550838E-2</v>
      </c>
      <c r="E96" s="6">
        <f>IF(D96="","",ABS(D96-$E$5)/$F$5)</f>
        <v>2.4417003784573148</v>
      </c>
      <c r="F96" s="6">
        <f>IF(D96="","",ABS(D96-$G$5)/$H$5)</f>
        <v>4.0730402008481894</v>
      </c>
      <c r="G96" s="6">
        <f>IF(D96="","",ABS(D96-$E$5)/SQRT(0.9*(IF(G95="",$F$5^2,(ABS(D95-$E$5)/MAX(G95,0.0000000001))^2))+0.1*(D96-$E$5)^2))</f>
        <v>1.8412968485909103</v>
      </c>
      <c r="H96" s="6" t="str">
        <f>IF(E96="","",IF(E96&gt;$I$5,"OUTLIER",""))</f>
        <v/>
      </c>
      <c r="I96" s="6" t="str">
        <f>IF(F96="","",IF(F96&gt;$I$5,"OUTLIER",""))</f>
        <v>OUTLIER</v>
      </c>
      <c r="J96" s="6" t="str">
        <f>IF(G96="","",IF(G96&gt;$I$5,"OUTLIER",""))</f>
        <v/>
      </c>
      <c r="K96" s="6" t="str">
        <f>IF(C96="","MISSING","")</f>
        <v/>
      </c>
      <c r="L96" s="6" t="str">
        <f>IF(AND(C96&lt;&gt;"",C95&lt;&gt;"",C96=C95),"STALE","")</f>
        <v/>
      </c>
      <c r="M96" s="110">
        <f>IF(D96="","",ABS(D96-G$5))</f>
        <v>1.2180195456550838E-2</v>
      </c>
    </row>
    <row r="97" spans="2:13" s="107" customFormat="1" ht="12.75" customHeight="1" x14ac:dyDescent="0.4">
      <c r="B97" s="109">
        <v>43957</v>
      </c>
      <c r="C97" s="5">
        <v>1.0805</v>
      </c>
      <c r="D97" s="6">
        <f>IF(OR(C97="",C96=""),"",LN(C97/C96))</f>
        <v>-4.4325495050285312E-3</v>
      </c>
      <c r="E97" s="6">
        <f>IF(D97="","",ABS(D97-$E$5)/$F$5)</f>
        <v>0.90595334935538829</v>
      </c>
      <c r="F97" s="6">
        <f>IF(D97="","",ABS(D97-$G$5)/$H$5)</f>
        <v>1.4822383097736784</v>
      </c>
      <c r="G97" s="6">
        <f>IF(D97="","",ABS(D97-$E$5)/SQRT(0.9*(IF(G96="",$F$5^2,(ABS(D96-$E$5)/MAX(G96,0.0000000001))^2))+0.1*(D97-$E$5)^2))</f>
        <v>0.70216157768845</v>
      </c>
      <c r="H97" s="6" t="str">
        <f>IF(E97="","",IF(E97&gt;$I$5,"OUTLIER",""))</f>
        <v/>
      </c>
      <c r="I97" s="6" t="str">
        <f>IF(F97="","",IF(F97&gt;$I$5,"OUTLIER",""))</f>
        <v/>
      </c>
      <c r="J97" s="6" t="str">
        <f>IF(G97="","",IF(G97&gt;$I$5,"OUTLIER",""))</f>
        <v/>
      </c>
      <c r="K97" s="6" t="str">
        <f>IF(C97="","MISSING","")</f>
        <v/>
      </c>
      <c r="L97" s="6" t="str">
        <f>IF(AND(C97&lt;&gt;"",C96&lt;&gt;"",C97=C96),"STALE","")</f>
        <v/>
      </c>
      <c r="M97" s="110">
        <f>IF(D97="","",ABS(D97-G$5))</f>
        <v>4.4325495050285312E-3</v>
      </c>
    </row>
    <row r="98" spans="2:13" s="107" customFormat="1" ht="12.75" customHeight="1" x14ac:dyDescent="0.4">
      <c r="B98" s="109">
        <v>43958</v>
      </c>
      <c r="C98" s="5">
        <v>1.0792999999999999</v>
      </c>
      <c r="D98" s="6">
        <f>IF(OR(C98="",C97=""),"",LN(C98/C97))</f>
        <v>-1.111214115640107E-3</v>
      </c>
      <c r="E98" s="6">
        <f>IF(D98="","",ABS(D98-$E$5)/$F$5)</f>
        <v>0.24759454090956129</v>
      </c>
      <c r="F98" s="6">
        <f>IF(D98="","",ABS(D98-$G$5)/$H$5)</f>
        <v>0.37158843475848402</v>
      </c>
      <c r="G98" s="6">
        <f>IF(D98="","",ABS(D98-$E$5)/SQRT(0.9*(IF(G97="",$F$5^2,(ABS(D97-$E$5)/MAX(G97,0.0000000001))^2))+0.1*(D98-$E$5)^2))</f>
        <v>0.20186654561047687</v>
      </c>
      <c r="H98" s="6" t="str">
        <f>IF(E98="","",IF(E98&gt;$I$5,"OUTLIER",""))</f>
        <v/>
      </c>
      <c r="I98" s="6" t="str">
        <f>IF(F98="","",IF(F98&gt;$I$5,"OUTLIER",""))</f>
        <v/>
      </c>
      <c r="J98" s="6" t="str">
        <f>IF(G98="","",IF(G98&gt;$I$5,"OUTLIER",""))</f>
        <v/>
      </c>
      <c r="K98" s="6" t="str">
        <f>IF(C98="","MISSING","")</f>
        <v/>
      </c>
      <c r="L98" s="6" t="str">
        <f>IF(AND(C98&lt;&gt;"",C97&lt;&gt;"",C98=C97),"STALE","")</f>
        <v/>
      </c>
      <c r="M98" s="110">
        <f>IF(D98="","",ABS(D98-G$5))</f>
        <v>1.111214115640107E-3</v>
      </c>
    </row>
    <row r="99" spans="2:13" s="107" customFormat="1" ht="12.75" customHeight="1" x14ac:dyDescent="0.4">
      <c r="B99" s="109">
        <v>43959</v>
      </c>
      <c r="C99" s="5">
        <v>1.0838000000000001</v>
      </c>
      <c r="D99" s="6">
        <f>IF(OR(C99="",C98=""),"",LN(C99/C98))</f>
        <v>4.1607013007132808E-3</v>
      </c>
      <c r="E99" s="6">
        <f>IF(D99="","",ABS(D99-$E$5)/$F$5)</f>
        <v>0.7974104178870578</v>
      </c>
      <c r="F99" s="6">
        <f>IF(D99="","",ABS(D99-$G$5)/$H$5)</f>
        <v>1.3913326532385117</v>
      </c>
      <c r="G99" s="6">
        <f>IF(D99="","",ABS(D99-$E$5)/SQRT(0.9*(IF(G98="",$F$5^2,(ABS(D98-$E$5)/MAX(G98,0.0000000001))^2))+0.1*(D99-$E$5)^2))</f>
        <v>0.66975813906422066</v>
      </c>
      <c r="H99" s="6" t="str">
        <f>IF(E99="","",IF(E99&gt;$I$5,"OUTLIER",""))</f>
        <v/>
      </c>
      <c r="I99" s="6" t="str">
        <f>IF(F99="","",IF(F99&gt;$I$5,"OUTLIER",""))</f>
        <v/>
      </c>
      <c r="J99" s="6" t="str">
        <f>IF(G99="","",IF(G99&gt;$I$5,"OUTLIER",""))</f>
        <v/>
      </c>
      <c r="K99" s="6" t="str">
        <f>IF(C99="","MISSING","")</f>
        <v/>
      </c>
      <c r="L99" s="6" t="str">
        <f>IF(AND(C99&lt;&gt;"",C98&lt;&gt;"",C99=C98),"STALE","")</f>
        <v/>
      </c>
      <c r="M99" s="110">
        <f>IF(D99="","",ABS(D99-G$5))</f>
        <v>4.1607013007132808E-3</v>
      </c>
    </row>
    <row r="100" spans="2:13" s="107" customFormat="1" ht="12.75" customHeight="1" x14ac:dyDescent="0.4">
      <c r="B100" s="109">
        <v>43962</v>
      </c>
      <c r="C100" s="5">
        <v>1.0833999999999999</v>
      </c>
      <c r="D100" s="6">
        <f>IF(OR(C100="",C99=""),"",LN(C100/C99))</f>
        <v>-3.6913990821547813E-4</v>
      </c>
      <c r="E100" s="6">
        <f>IF(D100="","",ABS(D100-$E$5)/$F$5)</f>
        <v>0.10049976314656646</v>
      </c>
      <c r="F100" s="6">
        <f>IF(D100="","",ABS(D100-$G$5)/$H$5)</f>
        <v>0.12343986525195035</v>
      </c>
      <c r="G100" s="6">
        <f>IF(D100="","",ABS(D100-$E$5)/SQRT(0.9*(IF(G99="",$F$5^2,(ABS(D99-$E$5)/MAX(G99,0.0000000001))^2))+0.1*(D100-$E$5)^2))</f>
        <v>8.894223348727176E-2</v>
      </c>
      <c r="H100" s="6" t="str">
        <f>IF(E100="","",IF(E100&gt;$I$5,"OUTLIER",""))</f>
        <v/>
      </c>
      <c r="I100" s="6" t="str">
        <f>IF(F100="","",IF(F100&gt;$I$5,"OUTLIER",""))</f>
        <v/>
      </c>
      <c r="J100" s="6" t="str">
        <f>IF(G100="","",IF(G100&gt;$I$5,"OUTLIER",""))</f>
        <v/>
      </c>
      <c r="K100" s="6" t="str">
        <f>IF(C100="","MISSING","")</f>
        <v/>
      </c>
      <c r="L100" s="6" t="str">
        <f>IF(AND(C100&lt;&gt;"",C99&lt;&gt;"",C100=C99),"STALE","")</f>
        <v/>
      </c>
      <c r="M100" s="110">
        <f>IF(D100="","",ABS(D100-G$5))</f>
        <v>3.6913990821547813E-4</v>
      </c>
    </row>
    <row r="101" spans="2:13" s="107" customFormat="1" ht="12.75" customHeight="1" x14ac:dyDescent="0.4">
      <c r="B101" s="109">
        <v>43963</v>
      </c>
      <c r="C101" s="5">
        <v>1.0803</v>
      </c>
      <c r="D101" s="6">
        <f>IF(OR(C101="",C100=""),"",LN(C101/C100))</f>
        <v>-2.8654639008591546E-3</v>
      </c>
      <c r="E101" s="6">
        <f>IF(D101="","",ABS(D101-$E$5)/$F$5)</f>
        <v>0.59532389158071508</v>
      </c>
      <c r="F101" s="6">
        <f>IF(D101="","",ABS(D101-$G$5)/$H$5)</f>
        <v>0.95820709149634764</v>
      </c>
      <c r="G101" s="6">
        <f>IF(D101="","",ABS(D101-$E$5)/SQRT(0.9*(IF(G100="",$F$5^2,(ABS(D100-$E$5)/MAX(G100,0.0000000001))^2))+0.1*(D101-$E$5)^2))</f>
        <v>0.5469893675580707</v>
      </c>
      <c r="H101" s="6" t="str">
        <f>IF(E101="","",IF(E101&gt;$I$5,"OUTLIER",""))</f>
        <v/>
      </c>
      <c r="I101" s="6" t="str">
        <f>IF(F101="","",IF(F101&gt;$I$5,"OUTLIER",""))</f>
        <v/>
      </c>
      <c r="J101" s="6" t="str">
        <f>IF(G101="","",IF(G101&gt;$I$5,"OUTLIER",""))</f>
        <v/>
      </c>
      <c r="K101" s="6" t="str">
        <f>IF(C101="","MISSING","")</f>
        <v/>
      </c>
      <c r="L101" s="6" t="str">
        <f>IF(AND(C101&lt;&gt;"",C100&lt;&gt;"",C101=C100),"STALE","")</f>
        <v/>
      </c>
      <c r="M101" s="110">
        <f>IF(D101="","",ABS(D101-G$5))</f>
        <v>2.8654639008591546E-3</v>
      </c>
    </row>
    <row r="102" spans="2:13" s="107" customFormat="1" ht="12.75" customHeight="1" x14ac:dyDescent="0.4">
      <c r="B102" s="109">
        <v>43964</v>
      </c>
      <c r="C102" s="5">
        <v>1.0789</v>
      </c>
      <c r="D102" s="6">
        <f>IF(OR(C102="",C101=""),"",LN(C102/C101))</f>
        <v>-1.29677676564492E-3</v>
      </c>
      <c r="E102" s="6">
        <f>IF(D102="","",ABS(D102-$E$5)/$F$5)</f>
        <v>0.28437697653456273</v>
      </c>
      <c r="F102" s="6">
        <f>IF(D102="","",ABS(D102-$G$5)/$H$5)</f>
        <v>0.43364032349390114</v>
      </c>
      <c r="G102" s="6">
        <f>IF(D102="","",ABS(D102-$E$5)/SQRT(0.9*(IF(G101="",$F$5^2,(ABS(D101-$E$5)/MAX(G101,0.0000000001))^2))+0.1*(D102-$E$5)^2))</f>
        <v>0.27438334470422276</v>
      </c>
      <c r="H102" s="6" t="str">
        <f>IF(E102="","",IF(E102&gt;$I$5,"OUTLIER",""))</f>
        <v/>
      </c>
      <c r="I102" s="6" t="str">
        <f>IF(F102="","",IF(F102&gt;$I$5,"OUTLIER",""))</f>
        <v/>
      </c>
      <c r="J102" s="6" t="str">
        <f>IF(G102="","",IF(G102&gt;$I$5,"OUTLIER",""))</f>
        <v/>
      </c>
      <c r="K102" s="6" t="str">
        <f>IF(C102="","MISSING","")</f>
        <v/>
      </c>
      <c r="L102" s="6" t="str">
        <f>IF(AND(C102&lt;&gt;"",C101&lt;&gt;"",C102=C101),"STALE","")</f>
        <v/>
      </c>
      <c r="M102" s="110">
        <f>IF(D102="","",ABS(D102-G$5))</f>
        <v>1.29677676564492E-3</v>
      </c>
    </row>
    <row r="103" spans="2:13" s="107" customFormat="1" ht="12.75" customHeight="1" x14ac:dyDescent="0.4">
      <c r="B103" s="109">
        <v>43965</v>
      </c>
      <c r="C103" s="5">
        <v>1.0777000000000001</v>
      </c>
      <c r="D103" s="6">
        <f>IF(OR(C103="",C102=""),"",LN(C103/C102))</f>
        <v>-1.112862954508229E-3</v>
      </c>
      <c r="E103" s="6">
        <f>IF(D103="","",ABS(D103-$E$5)/$F$5)</f>
        <v>0.24792137559057673</v>
      </c>
      <c r="F103" s="6">
        <f>IF(D103="","",ABS(D103-$G$5)/$H$5)</f>
        <v>0.37213980415305065</v>
      </c>
      <c r="G103" s="6">
        <f>IF(D103="","",ABS(D103-$E$5)/SQRT(0.9*(IF(G102="",$F$5^2,(ABS(D102-$E$5)/MAX(G102,0.0000000001))^2))+0.1*(D103-$E$5)^2))</f>
        <v>0.25135053069169977</v>
      </c>
      <c r="H103" s="6" t="str">
        <f>IF(E103="","",IF(E103&gt;$I$5,"OUTLIER",""))</f>
        <v/>
      </c>
      <c r="I103" s="6" t="str">
        <f>IF(F103="","",IF(F103&gt;$I$5,"OUTLIER",""))</f>
        <v/>
      </c>
      <c r="J103" s="6" t="str">
        <f>IF(G103="","",IF(G103&gt;$I$5,"OUTLIER",""))</f>
        <v/>
      </c>
      <c r="K103" s="6" t="str">
        <f>IF(C103="","MISSING","")</f>
        <v/>
      </c>
      <c r="L103" s="6" t="str">
        <f>IF(AND(C103&lt;&gt;"",C102&lt;&gt;"",C103=C102),"STALE","")</f>
        <v/>
      </c>
      <c r="M103" s="110">
        <f>IF(D103="","",ABS(D103-G$5))</f>
        <v>1.112862954508229E-3</v>
      </c>
    </row>
    <row r="104" spans="2:13" s="107" customFormat="1" ht="12.75" customHeight="1" x14ac:dyDescent="0.4">
      <c r="B104" s="109">
        <v>43966</v>
      </c>
      <c r="C104" s="5">
        <v>1.0820000000000001</v>
      </c>
      <c r="D104" s="6">
        <f>IF(OR(C104="",C103=""),"",LN(C104/C103))</f>
        <v>3.9820398036406841E-3</v>
      </c>
      <c r="E104" s="6">
        <f>IF(D104="","",ABS(D104-$E$5)/$F$5)</f>
        <v>0.76199593649994279</v>
      </c>
      <c r="F104" s="6">
        <f>IF(D104="","",ABS(D104-$G$5)/$H$5)</f>
        <v>1.3315885003210779</v>
      </c>
      <c r="G104" s="6">
        <f>IF(D104="","",ABS(D104-$E$5)/SQRT(0.9*(IF(G103="",$F$5^2,(ABS(D103-$E$5)/MAX(G103,0.0000000001))^2))+0.1*(D104-$E$5)^2))</f>
        <v>0.7885968048328873</v>
      </c>
      <c r="H104" s="6" t="str">
        <f>IF(E104="","",IF(E104&gt;$I$5,"OUTLIER",""))</f>
        <v/>
      </c>
      <c r="I104" s="6" t="str">
        <f>IF(F104="","",IF(F104&gt;$I$5,"OUTLIER",""))</f>
        <v/>
      </c>
      <c r="J104" s="6" t="str">
        <f>IF(G104="","",IF(G104&gt;$I$5,"OUTLIER",""))</f>
        <v/>
      </c>
      <c r="K104" s="6" t="str">
        <f>IF(C104="","MISSING","")</f>
        <v/>
      </c>
      <c r="L104" s="6" t="str">
        <f>IF(AND(C104&lt;&gt;"",C103&lt;&gt;"",C104=C103),"STALE","")</f>
        <v/>
      </c>
      <c r="M104" s="110">
        <f>IF(D104="","",ABS(D104-G$5))</f>
        <v>3.9820398036406841E-3</v>
      </c>
    </row>
    <row r="105" spans="2:13" s="107" customFormat="1" ht="12.75" customHeight="1" x14ac:dyDescent="0.4">
      <c r="B105" s="109">
        <v>43969</v>
      </c>
      <c r="C105" s="5">
        <v>1.0908</v>
      </c>
      <c r="D105" s="6">
        <f>IF(OR(C105="",C104=""),"",LN(C105/C104))</f>
        <v>8.1001915650064666E-3</v>
      </c>
      <c r="E105" s="6">
        <f>IF(D105="","",ABS(D105-$E$5)/$F$5)</f>
        <v>1.578300575674336</v>
      </c>
      <c r="F105" s="6">
        <f>IF(D105="","",ABS(D105-$G$5)/$H$5)</f>
        <v>2.7086926475468456</v>
      </c>
      <c r="G105" s="6">
        <f>IF(D105="","",ABS(D105-$E$5)/SQRT(0.9*(IF(G104="",$F$5^2,(ABS(D104-$E$5)/MAX(G104,0.0000000001))^2))+0.1*(D105-$E$5)^2))</f>
        <v>1.5121471472900259</v>
      </c>
      <c r="H105" s="6" t="str">
        <f>IF(E105="","",IF(E105&gt;$I$5,"OUTLIER",""))</f>
        <v/>
      </c>
      <c r="I105" s="6" t="str">
        <f>IF(F105="","",IF(F105&gt;$I$5,"OUTLIER",""))</f>
        <v/>
      </c>
      <c r="J105" s="6" t="str">
        <f>IF(G105="","",IF(G105&gt;$I$5,"OUTLIER",""))</f>
        <v/>
      </c>
      <c r="K105" s="6" t="str">
        <f>IF(C105="","MISSING","")</f>
        <v/>
      </c>
      <c r="L105" s="6" t="str">
        <f>IF(AND(C105&lt;&gt;"",C104&lt;&gt;"",C105=C104),"STALE","")</f>
        <v/>
      </c>
      <c r="M105" s="110">
        <f>IF(D105="","",ABS(D105-G$5))</f>
        <v>8.1001915650064666E-3</v>
      </c>
    </row>
    <row r="106" spans="2:13" s="107" customFormat="1" ht="12.75" customHeight="1" x14ac:dyDescent="0.4">
      <c r="B106" s="109">
        <v>43970</v>
      </c>
      <c r="C106" s="5">
        <v>1.0951</v>
      </c>
      <c r="D106" s="6">
        <f>IF(OR(C106="",C105=""),"",LN(C106/C105))</f>
        <v>3.9343113102799053E-3</v>
      </c>
      <c r="E106" s="6">
        <f>IF(D106="","",ABS(D106-$E$5)/$F$5)</f>
        <v>0.75253514126730514</v>
      </c>
      <c r="F106" s="6">
        <f>IF(D106="","",ABS(D106-$G$5)/$H$5)</f>
        <v>1.3156281593825574</v>
      </c>
      <c r="G106" s="6">
        <f>IF(D106="","",ABS(D106-$E$5)/SQRT(0.9*(IF(G105="",$F$5^2,(ABS(D105-$E$5)/MAX(G105,0.0000000001))^2))+0.1*(D106-$E$5)^2))</f>
        <v>0.73895246682460891</v>
      </c>
      <c r="H106" s="6" t="str">
        <f>IF(E106="","",IF(E106&gt;$I$5,"OUTLIER",""))</f>
        <v/>
      </c>
      <c r="I106" s="6" t="str">
        <f>IF(F106="","",IF(F106&gt;$I$5,"OUTLIER",""))</f>
        <v/>
      </c>
      <c r="J106" s="6" t="str">
        <f>IF(G106="","",IF(G106&gt;$I$5,"OUTLIER",""))</f>
        <v/>
      </c>
      <c r="K106" s="6" t="str">
        <f>IF(C106="","MISSING","")</f>
        <v/>
      </c>
      <c r="L106" s="6" t="str">
        <f>IF(AND(C106&lt;&gt;"",C105&lt;&gt;"",C106=C105),"STALE","")</f>
        <v/>
      </c>
      <c r="M106" s="110">
        <f>IF(D106="","",ABS(D106-G$5))</f>
        <v>3.9343113102799053E-3</v>
      </c>
    </row>
    <row r="107" spans="2:13" s="107" customFormat="1" ht="12.75" customHeight="1" x14ac:dyDescent="0.4">
      <c r="B107" s="109">
        <v>43971</v>
      </c>
      <c r="C107" s="5">
        <v>1.099</v>
      </c>
      <c r="D107" s="6">
        <f>IF(OR(C107="",C106=""),"",LN(C107/C106))</f>
        <v>3.5549921219079237E-3</v>
      </c>
      <c r="E107" s="6">
        <f>IF(D107="","",ABS(D107-$E$5)/$F$5)</f>
        <v>0.6773460683193907</v>
      </c>
      <c r="F107" s="6">
        <f>IF(D107="","",ABS(D107-$G$5)/$H$5)</f>
        <v>1.1887843571871457</v>
      </c>
      <c r="G107" s="6">
        <f>IF(D107="","",ABS(D107-$E$5)/SQRT(0.9*(IF(G106="",$F$5^2,(ABS(D106-$E$5)/MAX(G106,0.0000000001))^2))+0.1*(D107-$E$5)^2))</f>
        <v>0.68447796860684385</v>
      </c>
      <c r="H107" s="6" t="str">
        <f>IF(E107="","",IF(E107&gt;$I$5,"OUTLIER",""))</f>
        <v/>
      </c>
      <c r="I107" s="6" t="str">
        <f>IF(F107="","",IF(F107&gt;$I$5,"OUTLIER",""))</f>
        <v/>
      </c>
      <c r="J107" s="6" t="str">
        <f>IF(G107="","",IF(G107&gt;$I$5,"OUTLIER",""))</f>
        <v/>
      </c>
      <c r="K107" s="6" t="str">
        <f>IF(C107="","MISSING","")</f>
        <v/>
      </c>
      <c r="L107" s="6" t="str">
        <f>IF(AND(C107&lt;&gt;"",C106&lt;&gt;"",C107=C106),"STALE","")</f>
        <v/>
      </c>
      <c r="M107" s="110">
        <f>IF(D107="","",ABS(D107-G$5))</f>
        <v>3.5549921219079237E-3</v>
      </c>
    </row>
    <row r="108" spans="2:13" s="107" customFormat="1" ht="12.75" customHeight="1" x14ac:dyDescent="0.4">
      <c r="B108" s="109">
        <v>43972</v>
      </c>
      <c r="C108" s="5">
        <v>1.0965</v>
      </c>
      <c r="D108" s="6">
        <f>IF(OR(C108="",C107=""),"",LN(C108/C107))</f>
        <v>-2.2773865456784128E-3</v>
      </c>
      <c r="E108" s="6">
        <f>IF(D108="","",ABS(D108-$E$5)/$F$5)</f>
        <v>0.47875454177408272</v>
      </c>
      <c r="F108" s="6">
        <f>IF(D108="","",ABS(D108-$G$5)/$H$5)</f>
        <v>0.76155485242481424</v>
      </c>
      <c r="G108" s="6">
        <f>IF(D108="","",ABS(D108-$E$5)/SQRT(0.9*(IF(G107="",$F$5^2,(ABS(D107-$E$5)/MAX(G107,0.0000000001))^2))+0.1*(D108-$E$5)^2))</f>
        <v>0.50346057459335702</v>
      </c>
      <c r="H108" s="6" t="str">
        <f>IF(E108="","",IF(E108&gt;$I$5,"OUTLIER",""))</f>
        <v/>
      </c>
      <c r="I108" s="6" t="str">
        <f>IF(F108="","",IF(F108&gt;$I$5,"OUTLIER",""))</f>
        <v/>
      </c>
      <c r="J108" s="6" t="str">
        <f>IF(G108="","",IF(G108&gt;$I$5,"OUTLIER",""))</f>
        <v/>
      </c>
      <c r="K108" s="6" t="str">
        <f>IF(C108="","MISSING","")</f>
        <v/>
      </c>
      <c r="L108" s="6" t="str">
        <f>IF(AND(C108&lt;&gt;"",C107&lt;&gt;"",C108=C107),"STALE","")</f>
        <v/>
      </c>
      <c r="M108" s="110">
        <f>IF(D108="","",ABS(D108-G$5))</f>
        <v>2.2773865456784128E-3</v>
      </c>
    </row>
    <row r="109" spans="2:13" s="107" customFormat="1" ht="12.75" customHeight="1" x14ac:dyDescent="0.4">
      <c r="B109" s="109">
        <v>43973</v>
      </c>
      <c r="C109" s="5">
        <v>1.0961000000000001</v>
      </c>
      <c r="D109" s="6">
        <f>IF(OR(C109="",C108=""),"",LN(C109/C108))</f>
        <v>-3.6486363626512348E-4</v>
      </c>
      <c r="E109" s="6">
        <f>IF(D109="","",ABS(D109-$E$5)/$F$5)</f>
        <v>9.965211574702329E-2</v>
      </c>
      <c r="F109" s="6">
        <f>IF(D109="","",ABS(D109-$G$5)/$H$5)</f>
        <v>0.12200988593629113</v>
      </c>
      <c r="G109" s="6">
        <f>IF(D109="","",ABS(D109-$E$5)/SQRT(0.9*(IF(G108="",$F$5^2,(ABS(D108-$E$5)/MAX(G108,0.0000000001))^2))+0.1*(D109-$E$5)^2))</f>
        <v>0.11039592044510016</v>
      </c>
      <c r="H109" s="6" t="str">
        <f>IF(E109="","",IF(E109&gt;$I$5,"OUTLIER",""))</f>
        <v/>
      </c>
      <c r="I109" s="6" t="str">
        <f>IF(F109="","",IF(F109&gt;$I$5,"OUTLIER",""))</f>
        <v/>
      </c>
      <c r="J109" s="6" t="str">
        <f>IF(G109="","",IF(G109&gt;$I$5,"OUTLIER",""))</f>
        <v/>
      </c>
      <c r="K109" s="6" t="str">
        <f>IF(C109="","MISSING","")</f>
        <v/>
      </c>
      <c r="L109" s="6" t="str">
        <f>IF(AND(C109&lt;&gt;"",C108&lt;&gt;"",C109=C108),"STALE","")</f>
        <v/>
      </c>
      <c r="M109" s="110">
        <f>IF(D109="","",ABS(D109-G$5))</f>
        <v>3.6486363626512348E-4</v>
      </c>
    </row>
    <row r="110" spans="2:13" s="107" customFormat="1" ht="12.75" customHeight="1" x14ac:dyDescent="0.4">
      <c r="B110" s="109">
        <v>43977</v>
      </c>
      <c r="C110" s="5">
        <v>1.0986</v>
      </c>
      <c r="D110" s="6">
        <f>IF(OR(C110="",C109=""),"",LN(C110/C109))</f>
        <v>2.2782166868422289E-3</v>
      </c>
      <c r="E110" s="6">
        <f>IF(D110="","",ABS(D110-$E$5)/$F$5)</f>
        <v>0.42426221633371897</v>
      </c>
      <c r="F110" s="6">
        <f>IF(D110="","",ABS(D110-$G$5)/$H$5)</f>
        <v>0.76183245046046677</v>
      </c>
      <c r="G110" s="6">
        <f>IF(D110="","",ABS(D110-$E$5)/SQRT(0.9*(IF(G109="",$F$5^2,(ABS(D109-$E$5)/MAX(G109,0.0000000001))^2))+0.1*(D110-$E$5)^2))</f>
        <v>0.4894565328660101</v>
      </c>
      <c r="H110" s="6" t="str">
        <f>IF(E110="","",IF(E110&gt;$I$5,"OUTLIER",""))</f>
        <v/>
      </c>
      <c r="I110" s="6" t="str">
        <f>IF(F110="","",IF(F110&gt;$I$5,"OUTLIER",""))</f>
        <v/>
      </c>
      <c r="J110" s="6" t="str">
        <f>IF(G110="","",IF(G110&gt;$I$5,"OUTLIER",""))</f>
        <v/>
      </c>
      <c r="K110" s="6" t="str">
        <f>IF(C110="","MISSING","")</f>
        <v/>
      </c>
      <c r="L110" s="6" t="str">
        <f>IF(AND(C110&lt;&gt;"",C109&lt;&gt;"",C110=C109),"STALE","")</f>
        <v/>
      </c>
      <c r="M110" s="110">
        <f>IF(D110="","",ABS(D110-G$5))</f>
        <v>2.2782166868422289E-3</v>
      </c>
    </row>
    <row r="111" spans="2:13" s="107" customFormat="1" ht="12.75" customHeight="1" x14ac:dyDescent="0.4">
      <c r="B111" s="109">
        <v>43978</v>
      </c>
      <c r="C111" s="5">
        <v>1.1053999999999999</v>
      </c>
      <c r="D111" s="6">
        <f>IF(OR(C111="",C110=""),"",LN(C111/C110))</f>
        <v>6.1706184906425415E-3</v>
      </c>
      <c r="E111" s="6">
        <f>IF(D111="","",ABS(D111-$E$5)/$F$5)</f>
        <v>1.1958184469178958</v>
      </c>
      <c r="F111" s="6">
        <f>IF(D111="","",ABS(D111-$G$5)/$H$5)</f>
        <v>2.0634461299196105</v>
      </c>
      <c r="G111" s="6">
        <f>IF(D111="","",ABS(D111-$E$5)/SQRT(0.9*(IF(G110="",$F$5^2,(ABS(D110-$E$5)/MAX(G110,0.0000000001))^2))+0.1*(D111-$E$5)^2))</f>
        <v>1.3211968892472887</v>
      </c>
      <c r="H111" s="6" t="str">
        <f>IF(E111="","",IF(E111&gt;$I$5,"OUTLIER",""))</f>
        <v/>
      </c>
      <c r="I111" s="6" t="str">
        <f>IF(F111="","",IF(F111&gt;$I$5,"OUTLIER",""))</f>
        <v/>
      </c>
      <c r="J111" s="6" t="str">
        <f>IF(G111="","",IF(G111&gt;$I$5,"OUTLIER",""))</f>
        <v/>
      </c>
      <c r="K111" s="6" t="str">
        <f>IF(C111="","MISSING","")</f>
        <v/>
      </c>
      <c r="L111" s="6" t="str">
        <f>IF(AND(C111&lt;&gt;"",C110&lt;&gt;"",C111=C110),"STALE","")</f>
        <v/>
      </c>
      <c r="M111" s="110">
        <f>IF(D111="","",ABS(D111-G$5))</f>
        <v>6.1706184906425415E-3</v>
      </c>
    </row>
    <row r="112" spans="2:13" s="107" customFormat="1" ht="12.75" customHeight="1" x14ac:dyDescent="0.4">
      <c r="B112" s="109">
        <v>43979</v>
      </c>
      <c r="C112" s="5">
        <v>1.1103000000000001</v>
      </c>
      <c r="D112" s="6">
        <f>IF(OR(C112="",C111=""),"",LN(C112/C111))</f>
        <v>4.4229886610576289E-3</v>
      </c>
      <c r="E112" s="6">
        <f>IF(D112="","",ABS(D112-$E$5)/$F$5)</f>
        <v>0.84940131124230633</v>
      </c>
      <c r="F112" s="6">
        <f>IF(D112="","",ABS(D112-$G$5)/$H$5)</f>
        <v>1.4790411770194105</v>
      </c>
      <c r="G112" s="6">
        <f>IF(D112="","",ABS(D112-$E$5)/SQRT(0.9*(IF(G111="",$F$5^2,(ABS(D111-$E$5)/MAX(G111,0.0000000001))^2))+0.1*(D112-$E$5)^2))</f>
        <v>0.94410708167884283</v>
      </c>
      <c r="H112" s="6" t="str">
        <f>IF(E112="","",IF(E112&gt;$I$5,"OUTLIER",""))</f>
        <v/>
      </c>
      <c r="I112" s="6" t="str">
        <f>IF(F112="","",IF(F112&gt;$I$5,"OUTLIER",""))</f>
        <v/>
      </c>
      <c r="J112" s="6" t="str">
        <f>IF(G112="","",IF(G112&gt;$I$5,"OUTLIER",""))</f>
        <v/>
      </c>
      <c r="K112" s="6" t="str">
        <f>IF(C112="","MISSING","")</f>
        <v/>
      </c>
      <c r="L112" s="6" t="str">
        <f>IF(AND(C112&lt;&gt;"",C111&lt;&gt;"",C112=C111),"STALE","")</f>
        <v/>
      </c>
      <c r="M112" s="110">
        <f>IF(D112="","",ABS(D112-G$5))</f>
        <v>4.4229886610576289E-3</v>
      </c>
    </row>
    <row r="113" spans="2:13" s="107" customFormat="1" ht="12.75" customHeight="1" x14ac:dyDescent="0.4">
      <c r="B113" s="109">
        <v>43980</v>
      </c>
      <c r="C113" s="5">
        <v>1.1087</v>
      </c>
      <c r="D113" s="6">
        <f>IF(OR(C113="",C112=""),"",LN(C113/C112))</f>
        <v>-1.4420912819140912E-3</v>
      </c>
      <c r="E113" s="6">
        <f>IF(D113="","",ABS(D113-$E$5)/$F$5)</f>
        <v>0.31318138216204422</v>
      </c>
      <c r="F113" s="6">
        <f>IF(D113="","",ABS(D113-$G$5)/$H$5)</f>
        <v>0.48223329301089013</v>
      </c>
      <c r="G113" s="6">
        <f>IF(D113="","",ABS(D113-$E$5)/SQRT(0.9*(IF(G112="",$F$5^2,(ABS(D112-$E$5)/MAX(G112,0.0000000001))^2))+0.1*(D113-$E$5)^2))</f>
        <v>0.36448436241801208</v>
      </c>
      <c r="H113" s="6" t="str">
        <f>IF(E113="","",IF(E113&gt;$I$5,"OUTLIER",""))</f>
        <v/>
      </c>
      <c r="I113" s="6" t="str">
        <f>IF(F113="","",IF(F113&gt;$I$5,"OUTLIER",""))</f>
        <v/>
      </c>
      <c r="J113" s="6" t="str">
        <f>IF(G113="","",IF(G113&gt;$I$5,"OUTLIER",""))</f>
        <v/>
      </c>
      <c r="K113" s="6" t="str">
        <f>IF(C113="","MISSING","")</f>
        <v/>
      </c>
      <c r="L113" s="6" t="str">
        <f>IF(AND(C113&lt;&gt;"",C112&lt;&gt;"",C113=C112),"STALE","")</f>
        <v/>
      </c>
      <c r="M113" s="110">
        <f>IF(D113="","",ABS(D113-G$5))</f>
        <v>1.4420912819140912E-3</v>
      </c>
    </row>
    <row r="114" spans="2:13" s="107" customFormat="1" ht="12.75" customHeight="1" x14ac:dyDescent="0.4">
      <c r="B114" s="109">
        <v>43983</v>
      </c>
      <c r="C114" s="5">
        <v>1.1109</v>
      </c>
      <c r="D114" s="6">
        <f>IF(OR(C114="",C113=""),"",LN(C114/C113))</f>
        <v>1.9823398093706921E-3</v>
      </c>
      <c r="E114" s="6">
        <f>IF(D114="","",ABS(D114-$E$5)/$F$5)</f>
        <v>0.3656131713980007</v>
      </c>
      <c r="F114" s="6">
        <f>IF(D114="","",ABS(D114-$G$5)/$H$5)</f>
        <v>0.66289163947414897</v>
      </c>
      <c r="G114" s="6">
        <f>IF(D114="","",ABS(D114-$E$5)/SQRT(0.9*(IF(G113="",$F$5^2,(ABS(D113-$E$5)/MAX(G113,0.0000000001))^2))+0.1*(D114-$E$5)^2))</f>
        <v>0.44407723636215723</v>
      </c>
      <c r="H114" s="6" t="str">
        <f>IF(E114="","",IF(E114&gt;$I$5,"OUTLIER",""))</f>
        <v/>
      </c>
      <c r="I114" s="6" t="str">
        <f>IF(F114="","",IF(F114&gt;$I$5,"OUTLIER",""))</f>
        <v/>
      </c>
      <c r="J114" s="6" t="str">
        <f>IF(G114="","",IF(G114&gt;$I$5,"OUTLIER",""))</f>
        <v/>
      </c>
      <c r="K114" s="6" t="str">
        <f>IF(C114="","MISSING","")</f>
        <v/>
      </c>
      <c r="L114" s="6" t="str">
        <f>IF(AND(C114&lt;&gt;"",C113&lt;&gt;"",C114=C113),"STALE","")</f>
        <v/>
      </c>
      <c r="M114" s="110">
        <f>IF(D114="","",ABS(D114-G$5))</f>
        <v>1.9823398093706921E-3</v>
      </c>
    </row>
    <row r="115" spans="2:13" s="107" customFormat="1" ht="12.75" customHeight="1" x14ac:dyDescent="0.4">
      <c r="B115" s="109">
        <v>43984</v>
      </c>
      <c r="C115" s="5">
        <v>1.1224000000000001</v>
      </c>
      <c r="D115" s="6">
        <f>IF(OR(C115="",C114=""),"",LN(C115/C114))</f>
        <v>1.0298752200574473E-2</v>
      </c>
      <c r="E115" s="6">
        <f>IF(D115="","",ABS(D115-$E$5)/$F$5)</f>
        <v>2.0141017190797839</v>
      </c>
      <c r="F115" s="6">
        <f>IF(D115="","",ABS(D115-$G$5)/$H$5)</f>
        <v>3.4438882266830317</v>
      </c>
      <c r="G115" s="6">
        <f>IF(D115="","",ABS(D115-$E$5)/SQRT(0.9*(IF(G114="",$F$5^2,(ABS(D114-$E$5)/MAX(G114,0.0000000001))^2))+0.1*(D115-$E$5)^2))</f>
        <v>1.9984592449139305</v>
      </c>
      <c r="H115" s="6" t="str">
        <f>IF(E115="","",IF(E115&gt;$I$5,"OUTLIER",""))</f>
        <v/>
      </c>
      <c r="I115" s="6" t="str">
        <f>IF(F115="","",IF(F115&gt;$I$5,"OUTLIER",""))</f>
        <v>OUTLIER</v>
      </c>
      <c r="J115" s="6" t="str">
        <f>IF(G115="","",IF(G115&gt;$I$5,"OUTLIER",""))</f>
        <v/>
      </c>
      <c r="K115" s="6" t="str">
        <f>IF(C115="","MISSING","")</f>
        <v/>
      </c>
      <c r="L115" s="6" t="str">
        <f>IF(AND(C115&lt;&gt;"",C114&lt;&gt;"",C115=C114),"STALE","")</f>
        <v/>
      </c>
      <c r="M115" s="110">
        <f>IF(D115="","",ABS(D115-G$5))</f>
        <v>1.0298752200574473E-2</v>
      </c>
    </row>
    <row r="116" spans="2:13" s="107" customFormat="1" ht="12.75" customHeight="1" x14ac:dyDescent="0.4">
      <c r="B116" s="109">
        <v>43985</v>
      </c>
      <c r="C116" s="5">
        <v>1.1331</v>
      </c>
      <c r="D116" s="6">
        <f>IF(OR(C116="",C115=""),"",LN(C116/C115))</f>
        <v>9.4879895982695455E-3</v>
      </c>
      <c r="E116" s="6">
        <f>IF(D116="","",ABS(D116-$E$5)/$F$5)</f>
        <v>1.8533914510077008</v>
      </c>
      <c r="F116" s="6">
        <f>IF(D116="","",ABS(D116-$G$5)/$H$5)</f>
        <v>3.172770354698784</v>
      </c>
      <c r="G116" s="6">
        <f>IF(D116="","",ABS(D116-$E$5)/SQRT(0.9*(IF(G115="",$F$5^2,(ABS(D115-$E$5)/MAX(G115,0.0000000001))^2))+0.1*(D116-$E$5)^2))</f>
        <v>1.6526741039197912</v>
      </c>
      <c r="H116" s="6" t="str">
        <f>IF(E116="","",IF(E116&gt;$I$5,"OUTLIER",""))</f>
        <v/>
      </c>
      <c r="I116" s="6" t="str">
        <f>IF(F116="","",IF(F116&gt;$I$5,"OUTLIER",""))</f>
        <v>OUTLIER</v>
      </c>
      <c r="J116" s="6" t="str">
        <f>IF(G116="","",IF(G116&gt;$I$5,"OUTLIER",""))</f>
        <v/>
      </c>
      <c r="K116" s="6" t="str">
        <f>IF(C116="","MISSING","")</f>
        <v/>
      </c>
      <c r="L116" s="6" t="str">
        <f>IF(AND(C116&lt;&gt;"",C115&lt;&gt;"",C116=C115),"STALE","")</f>
        <v/>
      </c>
      <c r="M116" s="110">
        <f>IF(D116="","",ABS(D116-G$5))</f>
        <v>9.4879895982695455E-3</v>
      </c>
    </row>
    <row r="117" spans="2:13" s="107" customFormat="1" ht="12.75" customHeight="1" x14ac:dyDescent="0.4">
      <c r="B117" s="109">
        <v>43986</v>
      </c>
      <c r="C117" s="5">
        <v>1.1285000000000001</v>
      </c>
      <c r="D117" s="6">
        <f>IF(OR(C117="",C116=""),"",LN(C117/C116))</f>
        <v>-4.0679221289304296E-3</v>
      </c>
      <c r="E117" s="6">
        <f>IF(D117="","",ABS(D117-$E$5)/$F$5)</f>
        <v>0.83367650383667136</v>
      </c>
      <c r="F117" s="6">
        <f>IF(D117="","",ABS(D117-$G$5)/$H$5)</f>
        <v>1.360307428904389</v>
      </c>
      <c r="G117" s="6">
        <f>IF(D117="","",ABS(D117-$E$5)/SQRT(0.9*(IF(G116="",$F$5^2,(ABS(D116-$E$5)/MAX(G116,0.0000000001))^2))+0.1*(D117-$E$5)^2))</f>
        <v>0.76059965978264599</v>
      </c>
      <c r="H117" s="6" t="str">
        <f>IF(E117="","",IF(E117&gt;$I$5,"OUTLIER",""))</f>
        <v/>
      </c>
      <c r="I117" s="6" t="str">
        <f>IF(F117="","",IF(F117&gt;$I$5,"OUTLIER",""))</f>
        <v/>
      </c>
      <c r="J117" s="6" t="str">
        <f>IF(G117="","",IF(G117&gt;$I$5,"OUTLIER",""))</f>
        <v/>
      </c>
      <c r="K117" s="6" t="str">
        <f>IF(C117="","MISSING","")</f>
        <v/>
      </c>
      <c r="L117" s="6" t="str">
        <f>IF(AND(C117&lt;&gt;"",C116&lt;&gt;"",C117=C116),"STALE","")</f>
        <v/>
      </c>
      <c r="M117" s="110">
        <f>IF(D117="","",ABS(D117-G$5))</f>
        <v>4.0679221289304296E-3</v>
      </c>
    </row>
    <row r="118" spans="2:13" s="107" customFormat="1" ht="12.75" customHeight="1" x14ac:dyDescent="0.4">
      <c r="B118" s="109">
        <v>43987</v>
      </c>
      <c r="C118" s="5">
        <v>1.1291</v>
      </c>
      <c r="D118" s="6">
        <f>IF(OR(C118="",C117=""),"",LN(C118/C117))</f>
        <v>5.315379288859843E-4</v>
      </c>
      <c r="E118" s="6">
        <f>IF(D118="","",ABS(D118-$E$5)/$F$5)</f>
        <v>7.8033603138032176E-2</v>
      </c>
      <c r="F118" s="6">
        <f>IF(D118="","",ABS(D118-$G$5)/$H$5)</f>
        <v>0.17774553457299552</v>
      </c>
      <c r="G118" s="6">
        <f>IF(D118="","",ABS(D118-$E$5)/SQRT(0.9*(IF(G117="",$F$5^2,(ABS(D117-$E$5)/MAX(G117,0.0000000001))^2))+0.1*(D118-$E$5)^2))</f>
        <v>7.5023395332097467E-2</v>
      </c>
      <c r="H118" s="6" t="str">
        <f>IF(E118="","",IF(E118&gt;$I$5,"OUTLIER",""))</f>
        <v/>
      </c>
      <c r="I118" s="6" t="str">
        <f>IF(F118="","",IF(F118&gt;$I$5,"OUTLIER",""))</f>
        <v/>
      </c>
      <c r="J118" s="6" t="str">
        <f>IF(G118="","",IF(G118&gt;$I$5,"OUTLIER",""))</f>
        <v/>
      </c>
      <c r="K118" s="6" t="str">
        <f>IF(C118="","MISSING","")</f>
        <v/>
      </c>
      <c r="L118" s="6" t="str">
        <f>IF(AND(C118&lt;&gt;"",C117&lt;&gt;"",C118=C117),"STALE","")</f>
        <v/>
      </c>
      <c r="M118" s="110">
        <f>IF(D118="","",ABS(D118-G$5))</f>
        <v>5.315379288859843E-4</v>
      </c>
    </row>
    <row r="119" spans="2:13" s="107" customFormat="1" ht="12.75" customHeight="1" x14ac:dyDescent="0.4">
      <c r="B119" s="109">
        <v>43990</v>
      </c>
      <c r="C119" s="5">
        <v>1.1284000000000001</v>
      </c>
      <c r="D119" s="6">
        <f>IF(OR(C119="",C118=""),"",LN(C119/C118))</f>
        <v>-6.2015505863514942E-4</v>
      </c>
      <c r="E119" s="6">
        <f>IF(D119="","",ABS(D119-$E$5)/$F$5)</f>
        <v>0.15025626646753179</v>
      </c>
      <c r="F119" s="6">
        <f>IF(D119="","",ABS(D119-$G$5)/$H$5)</f>
        <v>0.20737897791466256</v>
      </c>
      <c r="G119" s="6">
        <f>IF(D119="","",ABS(D119-$E$5)/SQRT(0.9*(IF(G118="",$F$5^2,(ABS(D118-$E$5)/MAX(G118,0.0000000001))^2))+0.1*(D119-$E$5)^2))</f>
        <v>0.15209798734050053</v>
      </c>
      <c r="H119" s="6" t="str">
        <f>IF(E119="","",IF(E119&gt;$I$5,"OUTLIER",""))</f>
        <v/>
      </c>
      <c r="I119" s="6" t="str">
        <f>IF(F119="","",IF(F119&gt;$I$5,"OUTLIER",""))</f>
        <v/>
      </c>
      <c r="J119" s="6" t="str">
        <f>IF(G119="","",IF(G119&gt;$I$5,"OUTLIER",""))</f>
        <v/>
      </c>
      <c r="K119" s="6" t="str">
        <f>IF(C119="","MISSING","")</f>
        <v/>
      </c>
      <c r="L119" s="6" t="str">
        <f>IF(AND(C119&lt;&gt;"",C118&lt;&gt;"",C119=C118),"STALE","")</f>
        <v/>
      </c>
      <c r="M119" s="110">
        <f>IF(D119="","",ABS(D119-G$5))</f>
        <v>6.2015505863514942E-4</v>
      </c>
    </row>
    <row r="120" spans="2:13" s="107" customFormat="1" ht="12.75" customHeight="1" x14ac:dyDescent="0.4">
      <c r="B120" s="109">
        <v>43991</v>
      </c>
      <c r="C120" s="5">
        <v>1.1337999999999999</v>
      </c>
      <c r="D120" s="6">
        <f>IF(OR(C120="",C119=""),"",LN(C120/C119))</f>
        <v>4.7741227623619474E-3</v>
      </c>
      <c r="E120" s="6">
        <f>IF(D120="","",ABS(D120-$E$5)/$F$5)</f>
        <v>0.91900350476904147</v>
      </c>
      <c r="F120" s="6">
        <f>IF(D120="","",ABS(D120-$G$5)/$H$5)</f>
        <v>1.5964599258073866</v>
      </c>
      <c r="G120" s="6">
        <f>IF(D120="","",ABS(D120-$E$5)/SQRT(0.9*(IF(G119="",$F$5^2,(ABS(D119-$E$5)/MAX(G119,0.0000000001))^2))+0.1*(D120-$E$5)^2))</f>
        <v>0.93659261171863362</v>
      </c>
      <c r="H120" s="6" t="str">
        <f>IF(E120="","",IF(E120&gt;$I$5,"OUTLIER",""))</f>
        <v/>
      </c>
      <c r="I120" s="6" t="str">
        <f>IF(F120="","",IF(F120&gt;$I$5,"OUTLIER",""))</f>
        <v/>
      </c>
      <c r="J120" s="6" t="str">
        <f>IF(G120="","",IF(G120&gt;$I$5,"OUTLIER",""))</f>
        <v/>
      </c>
      <c r="K120" s="6" t="str">
        <f>IF(C120="","MISSING","")</f>
        <v/>
      </c>
      <c r="L120" s="6" t="str">
        <f>IF(AND(C120&lt;&gt;"",C119&lt;&gt;"",C120=C119),"STALE","")</f>
        <v/>
      </c>
      <c r="M120" s="110">
        <f>IF(D120="","",ABS(D120-G$5))</f>
        <v>4.7741227623619474E-3</v>
      </c>
    </row>
    <row r="121" spans="2:13" s="107" customFormat="1" ht="12.75" customHeight="1" x14ac:dyDescent="0.4">
      <c r="B121" s="109">
        <v>43992</v>
      </c>
      <c r="C121" s="5">
        <v>1.1389</v>
      </c>
      <c r="D121" s="6">
        <f>IF(OR(C121="",C120=""),"",LN(C121/C120))</f>
        <v>4.4880613901022142E-3</v>
      </c>
      <c r="E121" s="6">
        <f>IF(D121="","",ABS(D121-$E$5)/$F$5)</f>
        <v>0.86230010023332093</v>
      </c>
      <c r="F121" s="6">
        <f>IF(D121="","",ABS(D121-$G$5)/$H$5)</f>
        <v>1.5008014059355197</v>
      </c>
      <c r="G121" s="6">
        <f>IF(D121="","",ABS(D121-$E$5)/SQRT(0.9*(IF(G120="",$F$5^2,(ABS(D120-$E$5)/MAX(G120,0.0000000001))^2))+0.1*(D121-$E$5)^2))</f>
        <v>0.88898346191581912</v>
      </c>
      <c r="H121" s="6" t="str">
        <f>IF(E121="","",IF(E121&gt;$I$5,"OUTLIER",""))</f>
        <v/>
      </c>
      <c r="I121" s="6" t="str">
        <f>IF(F121="","",IF(F121&gt;$I$5,"OUTLIER",""))</f>
        <v/>
      </c>
      <c r="J121" s="6" t="str">
        <f>IF(G121="","",IF(G121&gt;$I$5,"OUTLIER",""))</f>
        <v/>
      </c>
      <c r="K121" s="6" t="str">
        <f>IF(C121="","MISSING","")</f>
        <v/>
      </c>
      <c r="L121" s="6" t="str">
        <f>IF(AND(C121&lt;&gt;"",C120&lt;&gt;"",C121=C120),"STALE","")</f>
        <v/>
      </c>
      <c r="M121" s="110">
        <f>IF(D121="","",ABS(D121-G$5))</f>
        <v>4.4880613901022142E-3</v>
      </c>
    </row>
    <row r="122" spans="2:13" s="107" customFormat="1" ht="12.75" customHeight="1" x14ac:dyDescent="0.4">
      <c r="B122" s="109">
        <v>43993</v>
      </c>
      <c r="C122" s="5">
        <v>1.1312</v>
      </c>
      <c r="D122" s="6">
        <f>IF(OR(C122="",C121=""),"",LN(C122/C121))</f>
        <v>-6.7838681379971842E-3</v>
      </c>
      <c r="E122" s="6">
        <f>IF(D122="","",ABS(D122-$E$5)/$F$5)</f>
        <v>1.3720343535272546</v>
      </c>
      <c r="F122" s="6">
        <f>IF(D122="","",ABS(D122-$G$5)/$H$5)</f>
        <v>2.2685159480306205</v>
      </c>
      <c r="G122" s="6">
        <f>IF(D122="","",ABS(D122-$E$5)/SQRT(0.9*(IF(G121="",$F$5^2,(ABS(D121-$E$5)/MAX(G121,0.0000000001))^2))+0.1*(D122-$E$5)^2))</f>
        <v>1.3486162511269262</v>
      </c>
      <c r="H122" s="6" t="str">
        <f>IF(E122="","",IF(E122&gt;$I$5,"OUTLIER",""))</f>
        <v/>
      </c>
      <c r="I122" s="6" t="str">
        <f>IF(F122="","",IF(F122&gt;$I$5,"OUTLIER",""))</f>
        <v/>
      </c>
      <c r="J122" s="6" t="str">
        <f>IF(G122="","",IF(G122&gt;$I$5,"OUTLIER",""))</f>
        <v/>
      </c>
      <c r="K122" s="6" t="str">
        <f>IF(C122="","MISSING","")</f>
        <v/>
      </c>
      <c r="L122" s="6" t="str">
        <f>IF(AND(C122&lt;&gt;"",C121&lt;&gt;"",C122=C121),"STALE","")</f>
        <v/>
      </c>
      <c r="M122" s="110">
        <f>IF(D122="","",ABS(D122-G$5))</f>
        <v>6.7838681379971842E-3</v>
      </c>
    </row>
    <row r="123" spans="2:13" s="107" customFormat="1" ht="12.75" customHeight="1" x14ac:dyDescent="0.4">
      <c r="B123" s="109">
        <v>43994</v>
      </c>
      <c r="C123" s="5">
        <v>1.1263000000000001</v>
      </c>
      <c r="D123" s="6">
        <f>IF(OR(C123="",C122=""),"",LN(C123/C122))</f>
        <v>-4.3410920886574273E-3</v>
      </c>
      <c r="E123" s="6">
        <f>IF(D123="","",ABS(D123-$E$5)/$F$5)</f>
        <v>0.88782455818964545</v>
      </c>
      <c r="F123" s="6">
        <f>IF(D123="","",ABS(D123-$G$5)/$H$5)</f>
        <v>1.4516550785871154</v>
      </c>
      <c r="G123" s="6">
        <f>IF(D123="","",ABS(D123-$E$5)/SQRT(0.9*(IF(G122="",$F$5^2,(ABS(D122-$E$5)/MAX(G122,0.0000000001))^2))+0.1*(D123-$E$5)^2))</f>
        <v>0.88326507925722253</v>
      </c>
      <c r="H123" s="6" t="str">
        <f>IF(E123="","",IF(E123&gt;$I$5,"OUTLIER",""))</f>
        <v/>
      </c>
      <c r="I123" s="6" t="str">
        <f>IF(F123="","",IF(F123&gt;$I$5,"OUTLIER",""))</f>
        <v/>
      </c>
      <c r="J123" s="6" t="str">
        <f>IF(G123="","",IF(G123&gt;$I$5,"OUTLIER",""))</f>
        <v/>
      </c>
      <c r="K123" s="6" t="str">
        <f>IF(C123="","MISSING","")</f>
        <v/>
      </c>
      <c r="L123" s="6" t="str">
        <f>IF(AND(C123&lt;&gt;"",C122&lt;&gt;"",C123=C122),"STALE","")</f>
        <v/>
      </c>
      <c r="M123" s="110">
        <f>IF(D123="","",ABS(D123-G$5))</f>
        <v>4.3410920886574273E-3</v>
      </c>
    </row>
    <row r="124" spans="2:13" s="107" customFormat="1" ht="12.75" customHeight="1" x14ac:dyDescent="0.4">
      <c r="B124" s="109">
        <v>43997</v>
      </c>
      <c r="C124" s="5">
        <v>1.1248</v>
      </c>
      <c r="D124" s="6">
        <f>IF(OR(C124="",C123=""),"",LN(C124/C123))</f>
        <v>-1.33268199725046E-3</v>
      </c>
      <c r="E124" s="6">
        <f>IF(D124="","",ABS(D124-$E$5)/$F$5)</f>
        <v>0.29149415162393166</v>
      </c>
      <c r="F124" s="6">
        <f>IF(D124="","",ABS(D124-$G$5)/$H$5)</f>
        <v>0.4456469823584332</v>
      </c>
      <c r="G124" s="6">
        <f>IF(D124="","",ABS(D124-$E$5)/SQRT(0.9*(IF(G123="",$F$5^2,(ABS(D123-$E$5)/MAX(G123,0.0000000001))^2))+0.1*(D124-$E$5)^2))</f>
        <v>0.30426558898326256</v>
      </c>
      <c r="H124" s="6" t="str">
        <f>IF(E124="","",IF(E124&gt;$I$5,"OUTLIER",""))</f>
        <v/>
      </c>
      <c r="I124" s="6" t="str">
        <f>IF(F124="","",IF(F124&gt;$I$5,"OUTLIER",""))</f>
        <v/>
      </c>
      <c r="J124" s="6" t="str">
        <f>IF(G124="","",IF(G124&gt;$I$5,"OUTLIER",""))</f>
        <v/>
      </c>
      <c r="K124" s="6" t="str">
        <f>IF(C124="","MISSING","")</f>
        <v/>
      </c>
      <c r="L124" s="6" t="str">
        <f>IF(AND(C124&lt;&gt;"",C123&lt;&gt;"",C124=C123),"STALE","")</f>
        <v/>
      </c>
      <c r="M124" s="110">
        <f>IF(D124="","",ABS(D124-G$5))</f>
        <v>1.33268199725046E-3</v>
      </c>
    </row>
    <row r="125" spans="2:13" s="107" customFormat="1" ht="12.75" customHeight="1" x14ac:dyDescent="0.4">
      <c r="B125" s="109">
        <v>43998</v>
      </c>
      <c r="C125" s="5">
        <v>1.1258999999999999</v>
      </c>
      <c r="D125" s="6">
        <f>IF(OR(C125="",C124=""),"",LN(C125/C124))</f>
        <v>9.7747375268436056E-4</v>
      </c>
      <c r="E125" s="6">
        <f>IF(D125="","",ABS(D125-$E$5)/$F$5)</f>
        <v>0.16642749992340528</v>
      </c>
      <c r="F125" s="6">
        <f>IF(D125="","",ABS(D125-$G$5)/$H$5)</f>
        <v>0.32686584580349209</v>
      </c>
      <c r="G125" s="6">
        <f>IF(D125="","",ABS(D125-$E$5)/SQRT(0.9*(IF(G124="",$F$5^2,(ABS(D124-$E$5)/MAX(G124,0.0000000001))^2))+0.1*(D125-$E$5)^2))</f>
        <v>0.18280998663143141</v>
      </c>
      <c r="H125" s="6" t="str">
        <f>IF(E125="","",IF(E125&gt;$I$5,"OUTLIER",""))</f>
        <v/>
      </c>
      <c r="I125" s="6" t="str">
        <f>IF(F125="","",IF(F125&gt;$I$5,"OUTLIER",""))</f>
        <v/>
      </c>
      <c r="J125" s="6" t="str">
        <f>IF(G125="","",IF(G125&gt;$I$5,"OUTLIER",""))</f>
        <v/>
      </c>
      <c r="K125" s="6" t="str">
        <f>IF(C125="","MISSING","")</f>
        <v/>
      </c>
      <c r="L125" s="6" t="str">
        <f>IF(AND(C125&lt;&gt;"",C124&lt;&gt;"",C125=C124),"STALE","")</f>
        <v/>
      </c>
      <c r="M125" s="110">
        <f>IF(D125="","",ABS(D125-G$5))</f>
        <v>9.7747375268436056E-4</v>
      </c>
    </row>
    <row r="126" spans="2:13" s="107" customFormat="1" ht="12.75" customHeight="1" x14ac:dyDescent="0.4">
      <c r="B126" s="109">
        <v>43999</v>
      </c>
      <c r="C126" s="5">
        <v>1.1216999999999999</v>
      </c>
      <c r="D126" s="6">
        <f>IF(OR(C126="",C125=""),"",LN(C126/C125))</f>
        <v>-3.737324157907139E-3</v>
      </c>
      <c r="E126" s="6">
        <f>IF(D126="","",ABS(D126-$E$5)/$F$5)</f>
        <v>0.76814500497844296</v>
      </c>
      <c r="F126" s="6">
        <f>IF(D126="","",ABS(D126-$G$5)/$H$5)</f>
        <v>1.2497559331504762</v>
      </c>
      <c r="G126" s="6">
        <f>IF(D126="","",ABS(D126-$E$5)/SQRT(0.9*(IF(G125="",$F$5^2,(ABS(D125-$E$5)/MAX(G125,0.0000000001))^2))+0.1*(D126-$E$5)^2))</f>
        <v>0.85618045860315417</v>
      </c>
      <c r="H126" s="6" t="str">
        <f>IF(E126="","",IF(E126&gt;$I$5,"OUTLIER",""))</f>
        <v/>
      </c>
      <c r="I126" s="6" t="str">
        <f>IF(F126="","",IF(F126&gt;$I$5,"OUTLIER",""))</f>
        <v/>
      </c>
      <c r="J126" s="6" t="str">
        <f>IF(G126="","",IF(G126&gt;$I$5,"OUTLIER",""))</f>
        <v/>
      </c>
      <c r="K126" s="6" t="str">
        <f>IF(C126="","MISSING","")</f>
        <v/>
      </c>
      <c r="L126" s="6" t="str">
        <f>IF(AND(C126&lt;&gt;"",C125&lt;&gt;"",C126=C125),"STALE","")</f>
        <v/>
      </c>
      <c r="M126" s="110">
        <f>IF(D126="","",ABS(D126-G$5))</f>
        <v>3.737324157907139E-3</v>
      </c>
    </row>
    <row r="127" spans="2:13" s="107" customFormat="1" ht="12.75" customHeight="1" x14ac:dyDescent="0.4">
      <c r="B127" s="109">
        <v>44000</v>
      </c>
      <c r="C127" s="5">
        <v>1.1209</v>
      </c>
      <c r="D127" s="6">
        <f>IF(OR(C127="",C126=""),"",LN(C127/C126))</f>
        <v>-7.1345762412793588E-4</v>
      </c>
      <c r="E127" s="6">
        <f>IF(D127="","",ABS(D127-$E$5)/$F$5)</f>
        <v>0.16875080515188925</v>
      </c>
      <c r="F127" s="6">
        <f>IF(D127="","",ABS(D127-$G$5)/$H$5)</f>
        <v>0.23857922436801504</v>
      </c>
      <c r="G127" s="6">
        <f>IF(D127="","",ABS(D127-$E$5)/SQRT(0.9*(IF(G126="",$F$5^2,(ABS(D126-$E$5)/MAX(G126,0.0000000001))^2))+0.1*(D127-$E$5)^2))</f>
        <v>0.19787675780497024</v>
      </c>
      <c r="H127" s="6" t="str">
        <f>IF(E127="","",IF(E127&gt;$I$5,"OUTLIER",""))</f>
        <v/>
      </c>
      <c r="I127" s="6" t="str">
        <f>IF(F127="","",IF(F127&gt;$I$5,"OUTLIER",""))</f>
        <v/>
      </c>
      <c r="J127" s="6" t="str">
        <f>IF(G127="","",IF(G127&gt;$I$5,"OUTLIER",""))</f>
        <v/>
      </c>
      <c r="K127" s="6" t="str">
        <f>IF(C127="","MISSING","")</f>
        <v/>
      </c>
      <c r="L127" s="6" t="str">
        <f>IF(AND(C127&lt;&gt;"",C126&lt;&gt;"",C127=C126),"STALE","")</f>
        <v/>
      </c>
      <c r="M127" s="110">
        <f>IF(D127="","",ABS(D127-G$5))</f>
        <v>7.1345762412793588E-4</v>
      </c>
    </row>
    <row r="128" spans="2:13" s="107" customFormat="1" ht="12.75" customHeight="1" x14ac:dyDescent="0.4">
      <c r="B128" s="109">
        <v>44001</v>
      </c>
      <c r="C128" s="5"/>
      <c r="D128" s="6" t="str">
        <f>IF(OR(C128="",C127=""),"",LN(C128/C127))</f>
        <v/>
      </c>
      <c r="E128" s="6" t="str">
        <f>IF(D128="","",ABS(D128-$E$5)/$F$5)</f>
        <v/>
      </c>
      <c r="F128" s="6" t="str">
        <f>IF(D128="","",ABS(D128-$G$5)/$H$5)</f>
        <v/>
      </c>
      <c r="G128" s="6" t="str">
        <f>IF(D128="","",ABS(D128-$E$5)/SQRT(0.9*(IF(G127="",$F$5^2,(ABS(D127-$E$5)/MAX(G127,0.0000000001))^2))+0.1*(D128-$E$5)^2))</f>
        <v/>
      </c>
      <c r="H128" s="6" t="str">
        <f>IF(E128="","",IF(E128&gt;$I$5,"OUTLIER",""))</f>
        <v/>
      </c>
      <c r="I128" s="6" t="str">
        <f>IF(F128="","",IF(F128&gt;$I$5,"OUTLIER",""))</f>
        <v/>
      </c>
      <c r="J128" s="6" t="str">
        <f>IF(G128="","",IF(G128&gt;$I$5,"OUTLIER",""))</f>
        <v/>
      </c>
      <c r="K128" s="6" t="str">
        <f>IF(C128="","MISSING","")</f>
        <v>MISSING</v>
      </c>
      <c r="L128" s="6" t="str">
        <f>IF(AND(C128&lt;&gt;"",C127&lt;&gt;"",C128=C127),"STALE","")</f>
        <v/>
      </c>
      <c r="M128" s="110" t="str">
        <f>IF(D128="","",ABS(D128-G$5))</f>
        <v/>
      </c>
    </row>
    <row r="129" spans="2:13" s="107" customFormat="1" ht="12.75" customHeight="1" x14ac:dyDescent="0.4">
      <c r="B129" s="109">
        <v>44004</v>
      </c>
      <c r="C129" s="5">
        <v>1.1197999999999999</v>
      </c>
      <c r="D129" s="6" t="str">
        <f>IF(OR(C129="",C128=""),"",LN(C129/C128))</f>
        <v/>
      </c>
      <c r="E129" s="6" t="str">
        <f>IF(D129="","",ABS(D129-$E$5)/$F$5)</f>
        <v/>
      </c>
      <c r="F129" s="6" t="str">
        <f>IF(D129="","",ABS(D129-$G$5)/$H$5)</f>
        <v/>
      </c>
      <c r="G129" s="6" t="str">
        <f>IF(D129="","",ABS(D129-$E$5)/SQRT(0.9*(IF(G128="",$F$5^2,(ABS(D128-$E$5)/MAX(G128,0.0000000001))^2))+0.1*(D129-$E$5)^2))</f>
        <v/>
      </c>
      <c r="H129" s="6" t="str">
        <f>IF(E129="","",IF(E129&gt;$I$5,"OUTLIER",""))</f>
        <v/>
      </c>
      <c r="I129" s="6" t="str">
        <f>IF(F129="","",IF(F129&gt;$I$5,"OUTLIER",""))</f>
        <v/>
      </c>
      <c r="J129" s="6" t="str">
        <f>IF(G129="","",IF(G129&gt;$I$5,"OUTLIER",""))</f>
        <v/>
      </c>
      <c r="K129" s="6" t="str">
        <f>IF(C129="","MISSING","")</f>
        <v/>
      </c>
      <c r="L129" s="6" t="str">
        <f>IF(AND(C129&lt;&gt;"",C128&lt;&gt;"",C129=C128),"STALE","")</f>
        <v/>
      </c>
      <c r="M129" s="110" t="str">
        <f>IF(D129="","",ABS(D129-G$5))</f>
        <v/>
      </c>
    </row>
    <row r="130" spans="2:13" s="107" customFormat="1" ht="12.75" customHeight="1" x14ac:dyDescent="0.4">
      <c r="B130" s="109">
        <v>44005</v>
      </c>
      <c r="C130" s="5">
        <v>1.1255999999999999</v>
      </c>
      <c r="D130" s="6">
        <f>IF(OR(C130="",C129=""),"",LN(C130/C129))</f>
        <v>5.1661288853865062E-3</v>
      </c>
      <c r="E130" s="6">
        <f>IF(D130="","",ABS(D130-$E$5)/$F$5)</f>
        <v>0.9967073960660412</v>
      </c>
      <c r="F130" s="6">
        <f>IF(D130="","",ABS(D130-$G$5)/$H$5)</f>
        <v>1.7275462210768886</v>
      </c>
      <c r="G130" s="6">
        <f>IF(D130="","",ABS(D130-$E$5)/SQRT(0.9*(IF(G129="",$F$5^2,(ABS(D129-$E$5)/MAX(G129,0.0000000001))^2))+0.1*(D130-$E$5)^2))</f>
        <v>0.99703519369662608</v>
      </c>
      <c r="H130" s="6" t="str">
        <f>IF(E130="","",IF(E130&gt;$I$5,"OUTLIER",""))</f>
        <v/>
      </c>
      <c r="I130" s="6" t="str">
        <f>IF(F130="","",IF(F130&gt;$I$5,"OUTLIER",""))</f>
        <v/>
      </c>
      <c r="J130" s="6" t="str">
        <f>IF(G130="","",IF(G130&gt;$I$5,"OUTLIER",""))</f>
        <v/>
      </c>
      <c r="K130" s="6" t="str">
        <f>IF(C130="","MISSING","")</f>
        <v/>
      </c>
      <c r="L130" s="6" t="str">
        <f>IF(AND(C130&lt;&gt;"",C129&lt;&gt;"",C130=C129),"STALE","")</f>
        <v/>
      </c>
      <c r="M130" s="110">
        <f>IF(D130="","",ABS(D130-G$5))</f>
        <v>5.1661288853865062E-3</v>
      </c>
    </row>
    <row r="131" spans="2:13" s="107" customFormat="1" ht="12.75" customHeight="1" x14ac:dyDescent="0.4">
      <c r="B131" s="109">
        <v>44006</v>
      </c>
      <c r="C131" s="5">
        <v>1.1188</v>
      </c>
      <c r="D131" s="6">
        <f>IF(OR(C131="",C130=""),"",LN(C131/C130))</f>
        <v>-6.0595444723745883E-3</v>
      </c>
      <c r="E131" s="6">
        <f>IF(D131="","",ABS(D131-$E$5)/$F$5)</f>
        <v>1.2284581079749457</v>
      </c>
      <c r="F131" s="6">
        <f>IF(D131="","",ABS(D131-$G$5)/$H$5)</f>
        <v>2.0263031346951945</v>
      </c>
      <c r="G131" s="6">
        <f>IF(D131="","",ABS(D131-$E$5)/SQRT(0.9*(IF(G130="",$F$5^2,(ABS(D130-$E$5)/MAX(G130,0.0000000001))^2))+0.1*(D131-$E$5)^2))</f>
        <v>1.1986701507352986</v>
      </c>
      <c r="H131" s="6" t="str">
        <f>IF(E131="","",IF(E131&gt;$I$5,"OUTLIER",""))</f>
        <v/>
      </c>
      <c r="I131" s="6" t="str">
        <f>IF(F131="","",IF(F131&gt;$I$5,"OUTLIER",""))</f>
        <v/>
      </c>
      <c r="J131" s="6" t="str">
        <f>IF(G131="","",IF(G131&gt;$I$5,"OUTLIER",""))</f>
        <v/>
      </c>
      <c r="K131" s="6" t="str">
        <f>IF(C131="","MISSING","")</f>
        <v/>
      </c>
      <c r="L131" s="6" t="str">
        <f>IF(AND(C131&lt;&gt;"",C130&lt;&gt;"",C131=C130),"STALE","")</f>
        <v/>
      </c>
      <c r="M131" s="110">
        <f>IF(D131="","",ABS(D131-G$5))</f>
        <v>6.0595444723745883E-3</v>
      </c>
    </row>
    <row r="132" spans="2:13" s="107" customFormat="1" ht="12.75" customHeight="1" x14ac:dyDescent="0.4">
      <c r="B132" s="109">
        <v>44007</v>
      </c>
      <c r="C132" s="5">
        <v>1.1241000000000001</v>
      </c>
      <c r="D132" s="6">
        <f>IF(OR(C132="",C131=""),"",LN(C132/C131))</f>
        <v>4.7260331399468407E-3</v>
      </c>
      <c r="E132" s="6">
        <f>IF(D132="","",ABS(D132-$E$5)/$F$5)</f>
        <v>0.90947112613213155</v>
      </c>
      <c r="F132" s="6">
        <f>IF(D132="","",ABS(D132-$G$5)/$H$5)</f>
        <v>1.5803788238218683</v>
      </c>
      <c r="G132" s="6">
        <f>IF(D132="","",ABS(D132-$E$5)/SQRT(0.9*(IF(G131="",$F$5^2,(ABS(D131-$E$5)/MAX(G131,0.0000000001))^2))+0.1*(D132-$E$5)^2))</f>
        <v>0.89699935019527532</v>
      </c>
      <c r="H132" s="6" t="str">
        <f>IF(E132="","",IF(E132&gt;$I$5,"OUTLIER",""))</f>
        <v/>
      </c>
      <c r="I132" s="6" t="str">
        <f>IF(F132="","",IF(F132&gt;$I$5,"OUTLIER",""))</f>
        <v/>
      </c>
      <c r="J132" s="6" t="str">
        <f>IF(G132="","",IF(G132&gt;$I$5,"OUTLIER",""))</f>
        <v/>
      </c>
      <c r="K132" s="6" t="str">
        <f>IF(C132="","MISSING","")</f>
        <v/>
      </c>
      <c r="L132" s="6" t="str">
        <f>IF(AND(C132&lt;&gt;"",C131&lt;&gt;"",C132=C131),"STALE","")</f>
        <v/>
      </c>
      <c r="M132" s="110">
        <f>IF(D132="","",ABS(D132-G$5))</f>
        <v>4.7260331399468407E-3</v>
      </c>
    </row>
    <row r="133" spans="2:13" s="107" customFormat="1" ht="12.75" customHeight="1" x14ac:dyDescent="0.4">
      <c r="B133" s="109">
        <v>44008</v>
      </c>
      <c r="C133" s="5">
        <v>1.119</v>
      </c>
      <c r="D133" s="6">
        <f>IF(OR(C133="",C132=""),"",LN(C133/C132))</f>
        <v>-4.5472861558262332E-3</v>
      </c>
      <c r="E133" s="6">
        <f>IF(D133="","",ABS(D133-$E$5)/$F$5)</f>
        <v>0.92869657635546243</v>
      </c>
      <c r="F133" s="6">
        <f>IF(D133="","",ABS(D133-$G$5)/$H$5)</f>
        <v>1.5206060841560163</v>
      </c>
      <c r="G133" s="6">
        <f>IF(D133="","",ABS(D133-$E$5)/SQRT(0.9*(IF(G132="",$F$5^2,(ABS(D132-$E$5)/MAX(G132,0.0000000001))^2))+0.1*(D133-$E$5)^2))</f>
        <v>0.92342560273465923</v>
      </c>
      <c r="H133" s="6" t="str">
        <f>IF(E133="","",IF(E133&gt;$I$5,"OUTLIER",""))</f>
        <v/>
      </c>
      <c r="I133" s="6" t="str">
        <f>IF(F133="","",IF(F133&gt;$I$5,"OUTLIER",""))</f>
        <v/>
      </c>
      <c r="J133" s="6" t="str">
        <f>IF(G133="","",IF(G133&gt;$I$5,"OUTLIER",""))</f>
        <v/>
      </c>
      <c r="K133" s="6" t="str">
        <f>IF(C133="","MISSING","")</f>
        <v/>
      </c>
      <c r="L133" s="6" t="str">
        <f>IF(AND(C133&lt;&gt;"",C132&lt;&gt;"",C133=C132),"STALE","")</f>
        <v/>
      </c>
      <c r="M133" s="110">
        <f>IF(D133="","",ABS(D133-G$5))</f>
        <v>4.5472861558262332E-3</v>
      </c>
    </row>
    <row r="134" spans="2:13" s="107" customFormat="1" ht="12.75" customHeight="1" x14ac:dyDescent="0.4">
      <c r="B134" s="109">
        <v>44011</v>
      </c>
      <c r="C134" s="5">
        <v>1.1209</v>
      </c>
      <c r="D134" s="6">
        <f>IF(OR(C134="",C133=""),"",LN(C134/C133))</f>
        <v>1.6965047151243902E-3</v>
      </c>
      <c r="E134" s="6">
        <f>IF(D134="","",ABS(D134-$E$5)/$F$5)</f>
        <v>0.30895461994269374</v>
      </c>
      <c r="F134" s="6">
        <f>IF(D134="","",ABS(D134-$G$5)/$H$5)</f>
        <v>0.56730878665118611</v>
      </c>
      <c r="G134" s="6">
        <f>IF(D134="","",ABS(D134-$E$5)/SQRT(0.9*(IF(G133="",$F$5^2,(ABS(D133-$E$5)/MAX(G133,0.0000000001))^2))+0.1*(D134-$E$5)^2))</f>
        <v>0.32213387081682182</v>
      </c>
      <c r="H134" s="6" t="str">
        <f>IF(E134="","",IF(E134&gt;$I$5,"OUTLIER",""))</f>
        <v/>
      </c>
      <c r="I134" s="6" t="str">
        <f>IF(F134="","",IF(F134&gt;$I$5,"OUTLIER",""))</f>
        <v/>
      </c>
      <c r="J134" s="6" t="str">
        <f>IF(G134="","",IF(G134&gt;$I$5,"OUTLIER",""))</f>
        <v/>
      </c>
      <c r="K134" s="6" t="str">
        <f>IF(C134="","MISSING","")</f>
        <v/>
      </c>
      <c r="L134" s="6" t="str">
        <f>IF(AND(C134&lt;&gt;"",C133&lt;&gt;"",C134=C133),"STALE","")</f>
        <v/>
      </c>
      <c r="M134" s="110">
        <f>IF(D134="","",ABS(D134-G$5))</f>
        <v>1.6965047151243902E-3</v>
      </c>
    </row>
    <row r="135" spans="2:13" s="107" customFormat="1" ht="12.75" customHeight="1" x14ac:dyDescent="0.4">
      <c r="B135" s="109">
        <v>44012</v>
      </c>
      <c r="C135" s="5">
        <v>1.1235999999999999</v>
      </c>
      <c r="D135" s="6">
        <f>IF(OR(C135="",C134=""),"",LN(C135/C134))</f>
        <v>2.4058822030389054E-3</v>
      </c>
      <c r="E135" s="6">
        <f>IF(D135="","",ABS(D135-$E$5)/$F$5)</f>
        <v>0.44956821746549325</v>
      </c>
      <c r="F135" s="6">
        <f>IF(D135="","",ABS(D135-$G$5)/$H$5)</f>
        <v>0.80452361921765081</v>
      </c>
      <c r="G135" s="6">
        <f>IF(D135="","",ABS(D135-$E$5)/SQRT(0.9*(IF(G134="",$F$5^2,(ABS(D134-$E$5)/MAX(G134,0.0000000001))^2))+0.1*(D135-$E$5)^2))</f>
        <v>0.48817818982903849</v>
      </c>
      <c r="H135" s="6" t="str">
        <f>IF(E135="","",IF(E135&gt;$I$5,"OUTLIER",""))</f>
        <v/>
      </c>
      <c r="I135" s="6" t="str">
        <f>IF(F135="","",IF(F135&gt;$I$5,"OUTLIER",""))</f>
        <v/>
      </c>
      <c r="J135" s="6" t="str">
        <f>IF(G135="","",IF(G135&gt;$I$5,"OUTLIER",""))</f>
        <v/>
      </c>
      <c r="K135" s="6" t="str">
        <f>IF(C135="","MISSING","")</f>
        <v/>
      </c>
      <c r="L135" s="6" t="str">
        <f>IF(AND(C135&lt;&gt;"",C134&lt;&gt;"",C135=C134),"STALE","")</f>
        <v/>
      </c>
      <c r="M135" s="110">
        <f>IF(D135="","",ABS(D135-G$5))</f>
        <v>2.4058822030389054E-3</v>
      </c>
    </row>
    <row r="136" spans="2:13" s="107" customFormat="1" ht="12.75" customHeight="1" x14ac:dyDescent="0.4">
      <c r="B136" s="109">
        <v>44013</v>
      </c>
      <c r="C136" s="5">
        <v>1.1193</v>
      </c>
      <c r="D136" s="6">
        <f>IF(OR(C136="",C135=""),"",LN(C136/C135))</f>
        <v>-3.8343263348667384E-3</v>
      </c>
      <c r="E136" s="6">
        <f>IF(D136="","",ABS(D136-$E$5)/$F$5)</f>
        <v>0.78737288477757761</v>
      </c>
      <c r="F136" s="6">
        <f>IF(D136="","",ABS(D136-$G$5)/$H$5)</f>
        <v>1.282193324466208</v>
      </c>
      <c r="G136" s="6">
        <f>IF(D136="","",ABS(D136-$E$5)/SQRT(0.9*(IF(G135="",$F$5^2,(ABS(D135-$E$5)/MAX(G135,0.0000000001))^2))+0.1*(D136-$E$5)^2))</f>
        <v>0.86673063917561366</v>
      </c>
      <c r="H136" s="6" t="str">
        <f>IF(E136="","",IF(E136&gt;$I$5,"OUTLIER",""))</f>
        <v/>
      </c>
      <c r="I136" s="6" t="str">
        <f>IF(F136="","",IF(F136&gt;$I$5,"OUTLIER",""))</f>
        <v/>
      </c>
      <c r="J136" s="6" t="str">
        <f>IF(G136="","",IF(G136&gt;$I$5,"OUTLIER",""))</f>
        <v/>
      </c>
      <c r="K136" s="6" t="str">
        <f>IF(C136="","MISSING","")</f>
        <v/>
      </c>
      <c r="L136" s="6" t="str">
        <f>IF(AND(C136&lt;&gt;"",C135&lt;&gt;"",C136=C135),"STALE","")</f>
        <v/>
      </c>
      <c r="M136" s="110">
        <f>IF(D136="","",ABS(D136-G$5))</f>
        <v>3.8343263348667384E-3</v>
      </c>
    </row>
    <row r="137" spans="2:13" s="107" customFormat="1" ht="12.75" customHeight="1" x14ac:dyDescent="0.4">
      <c r="B137" s="109">
        <v>44014</v>
      </c>
      <c r="C137" s="5">
        <v>1.1243000000000001</v>
      </c>
      <c r="D137" s="6">
        <f>IF(OR(C137="",C136=""),"",LN(C137/C136))</f>
        <v>4.4571298604922397E-3</v>
      </c>
      <c r="E137" s="6">
        <f>IF(D137="","",ABS(D137-$E$5)/$F$5)</f>
        <v>0.85616881790558874</v>
      </c>
      <c r="F137" s="6">
        <f>IF(D137="","",ABS(D137-$G$5)/$H$5)</f>
        <v>1.4904579460112051</v>
      </c>
      <c r="G137" s="6">
        <f>IF(D137="","",ABS(D137-$E$5)/SQRT(0.9*(IF(G136="",$F$5^2,(ABS(D136-$E$5)/MAX(G136,0.0000000001))^2))+0.1*(D137-$E$5)^2))</f>
        <v>0.94777180979943043</v>
      </c>
      <c r="H137" s="6" t="str">
        <f>IF(E137="","",IF(E137&gt;$I$5,"OUTLIER",""))</f>
        <v/>
      </c>
      <c r="I137" s="6" t="str">
        <f>IF(F137="","",IF(F137&gt;$I$5,"OUTLIER",""))</f>
        <v/>
      </c>
      <c r="J137" s="6" t="str">
        <f>IF(G137="","",IF(G137&gt;$I$5,"OUTLIER",""))</f>
        <v/>
      </c>
      <c r="K137" s="6" t="str">
        <f>IF(C137="","MISSING","")</f>
        <v/>
      </c>
      <c r="L137" s="6" t="str">
        <f>IF(AND(C137&lt;&gt;"",C136&lt;&gt;"",C137=C136),"STALE","")</f>
        <v/>
      </c>
      <c r="M137" s="110">
        <f>IF(D137="","",ABS(D137-G$5))</f>
        <v>4.4571298604922397E-3</v>
      </c>
    </row>
    <row r="138" spans="2:13" s="107" customFormat="1" ht="12.75" customHeight="1" x14ac:dyDescent="0.4">
      <c r="B138" s="109">
        <v>44018</v>
      </c>
      <c r="C138" s="5">
        <v>1.1287</v>
      </c>
      <c r="D138" s="6">
        <f>IF(OR(C138="",C137=""),"",LN(C138/C137))</f>
        <v>3.905908205866707E-3</v>
      </c>
      <c r="E138" s="6">
        <f>IF(D138="","",ABS(D138-$E$5)/$F$5)</f>
        <v>0.74690504620452414</v>
      </c>
      <c r="F138" s="6">
        <f>IF(D138="","",ABS(D138-$G$5)/$H$5)</f>
        <v>1.306130201281924</v>
      </c>
      <c r="G138" s="6">
        <f>IF(D138="","",ABS(D138-$E$5)/SQRT(0.9*(IF(G137="",$F$5^2,(ABS(D137-$E$5)/MAX(G137,0.0000000001))^2))+0.1*(D138-$E$5)^2))</f>
        <v>0.84021559040060023</v>
      </c>
      <c r="H138" s="6" t="str">
        <f>IF(E138="","",IF(E138&gt;$I$5,"OUTLIER",""))</f>
        <v/>
      </c>
      <c r="I138" s="6" t="str">
        <f>IF(F138="","",IF(F138&gt;$I$5,"OUTLIER",""))</f>
        <v/>
      </c>
      <c r="J138" s="6" t="str">
        <f>IF(G138="","",IF(G138&gt;$I$5,"OUTLIER",""))</f>
        <v/>
      </c>
      <c r="K138" s="6" t="str">
        <f>IF(C138="","MISSING","")</f>
        <v/>
      </c>
      <c r="L138" s="6" t="str">
        <f>IF(AND(C138&lt;&gt;"",C137&lt;&gt;"",C138=C137),"STALE","")</f>
        <v/>
      </c>
      <c r="M138" s="110">
        <f>IF(D138="","",ABS(D138-G$5))</f>
        <v>3.905908205866707E-3</v>
      </c>
    </row>
    <row r="139" spans="2:13" s="107" customFormat="1" ht="12.75" customHeight="1" x14ac:dyDescent="0.4">
      <c r="B139" s="109">
        <v>44019</v>
      </c>
      <c r="C139" s="5">
        <v>1.1281000000000001</v>
      </c>
      <c r="D139" s="6">
        <f>IF(OR(C139="",C138=""),"",LN(C139/C138))</f>
        <v>-5.3172635070598438E-4</v>
      </c>
      <c r="E139" s="6">
        <f>IF(D139="","",ABS(D139-$E$5)/$F$5)</f>
        <v>0.13272782927005589</v>
      </c>
      <c r="F139" s="6">
        <f>IF(D139="","",ABS(D139-$G$5)/$H$5)</f>
        <v>0.17780854256414927</v>
      </c>
      <c r="G139" s="6">
        <f>IF(D139="","",ABS(D139-$E$5)/SQRT(0.9*(IF(G138="",$F$5^2,(ABS(D138-$E$5)/MAX(G138,0.0000000001))^2))+0.1*(D139-$E$5)^2))</f>
        <v>0.15719142926858753</v>
      </c>
      <c r="H139" s="6" t="str">
        <f>IF(E139="","",IF(E139&gt;$I$5,"OUTLIER",""))</f>
        <v/>
      </c>
      <c r="I139" s="6" t="str">
        <f>IF(F139="","",IF(F139&gt;$I$5,"OUTLIER",""))</f>
        <v/>
      </c>
      <c r="J139" s="6" t="str">
        <f>IF(G139="","",IF(G139&gt;$I$5,"OUTLIER",""))</f>
        <v/>
      </c>
      <c r="K139" s="6" t="str">
        <f>IF(C139="","MISSING","")</f>
        <v/>
      </c>
      <c r="L139" s="6" t="str">
        <f>IF(AND(C139&lt;&gt;"",C138&lt;&gt;"",C139=C138),"STALE","")</f>
        <v/>
      </c>
      <c r="M139" s="110">
        <f>IF(D139="","",ABS(D139-G$5))</f>
        <v>5.3172635070598438E-4</v>
      </c>
    </row>
    <row r="140" spans="2:13" s="107" customFormat="1" ht="12.75" customHeight="1" x14ac:dyDescent="0.4">
      <c r="B140" s="109">
        <v>44020</v>
      </c>
      <c r="C140" s="5">
        <v>1.1287</v>
      </c>
      <c r="D140" s="6">
        <f>IF(OR(C140="",C139=""),"",LN(C140/C139))</f>
        <v>5.3172635070603154E-4</v>
      </c>
      <c r="E140" s="6">
        <f>IF(D140="","",ABS(D140-$E$5)/$F$5)</f>
        <v>7.8070952321534645E-2</v>
      </c>
      <c r="F140" s="6">
        <f>IF(D140="","",ABS(D140-$G$5)/$H$5)</f>
        <v>0.17780854256416506</v>
      </c>
      <c r="G140" s="6">
        <f>IF(D140="","",ABS(D140-$E$5)/SQRT(0.9*(IF(G139="",$F$5^2,(ABS(D139-$E$5)/MAX(G139,0.0000000001))^2))+0.1*(D140-$E$5)^2))</f>
        <v>9.7415693541876763E-2</v>
      </c>
      <c r="H140" s="6" t="str">
        <f>IF(E140="","",IF(E140&gt;$I$5,"OUTLIER",""))</f>
        <v/>
      </c>
      <c r="I140" s="6" t="str">
        <f>IF(F140="","",IF(F140&gt;$I$5,"OUTLIER",""))</f>
        <v/>
      </c>
      <c r="J140" s="6" t="str">
        <f>IF(G140="","",IF(G140&gt;$I$5,"OUTLIER",""))</f>
        <v/>
      </c>
      <c r="K140" s="6" t="str">
        <f>IF(C140="","MISSING","")</f>
        <v/>
      </c>
      <c r="L140" s="6" t="str">
        <f>IF(AND(C140&lt;&gt;"",C139&lt;&gt;"",C140=C139),"STALE","")</f>
        <v/>
      </c>
      <c r="M140" s="110">
        <f>IF(D140="","",ABS(D140-G$5))</f>
        <v>5.3172635070603154E-4</v>
      </c>
    </row>
    <row r="141" spans="2:13" s="107" customFormat="1" ht="12.75" customHeight="1" x14ac:dyDescent="0.4">
      <c r="B141" s="109">
        <v>44021</v>
      </c>
      <c r="C141" s="5">
        <v>1.1263000000000001</v>
      </c>
      <c r="D141" s="6">
        <f>IF(OR(C141="",C140=""),"",LN(C141/C140))</f>
        <v>-2.1286039079297559E-3</v>
      </c>
      <c r="E141" s="6">
        <f>IF(D141="","",ABS(D141-$E$5)/$F$5)</f>
        <v>0.44926268123552099</v>
      </c>
      <c r="F141" s="6">
        <f>IF(D141="","",ABS(D141-$G$5)/$H$5)</f>
        <v>0.7118021479710781</v>
      </c>
      <c r="G141" s="6">
        <f>IF(D141="","",ABS(D141-$E$5)/SQRT(0.9*(IF(G140="",$F$5^2,(ABS(D140-$E$5)/MAX(G140,0.0000000001))^2))+0.1*(D141-$E$5)^2))</f>
        <v>0.58085238465878175</v>
      </c>
      <c r="H141" s="6" t="str">
        <f>IF(E141="","",IF(E141&gt;$I$5,"OUTLIER",""))</f>
        <v/>
      </c>
      <c r="I141" s="6" t="str">
        <f>IF(F141="","",IF(F141&gt;$I$5,"OUTLIER",""))</f>
        <v/>
      </c>
      <c r="J141" s="6" t="str">
        <f>IF(G141="","",IF(G141&gt;$I$5,"OUTLIER",""))</f>
        <v/>
      </c>
      <c r="K141" s="6" t="str">
        <f>IF(C141="","MISSING","")</f>
        <v/>
      </c>
      <c r="L141" s="6" t="str">
        <f>IF(AND(C141&lt;&gt;"",C140&lt;&gt;"",C141=C140),"STALE","")</f>
        <v/>
      </c>
      <c r="M141" s="110">
        <f>IF(D141="","",ABS(D141-G$5))</f>
        <v>2.1286039079297559E-3</v>
      </c>
    </row>
    <row r="142" spans="2:13" s="107" customFormat="1" ht="12.75" customHeight="1" x14ac:dyDescent="0.4">
      <c r="B142" s="109">
        <v>44022</v>
      </c>
      <c r="C142" s="5">
        <v>1.1254</v>
      </c>
      <c r="D142" s="6">
        <f>IF(OR(C142="",C141=""),"",LN(C142/C141))</f>
        <v>-7.9939605447236549E-4</v>
      </c>
      <c r="E142" s="6">
        <f>IF(D142="","",ABS(D142-$E$5)/$F$5)</f>
        <v>0.18578561674665608</v>
      </c>
      <c r="F142" s="6">
        <f>IF(D142="","",ABS(D142-$G$5)/$H$5)</f>
        <v>0.2673169144025701</v>
      </c>
      <c r="G142" s="6">
        <f>IF(D142="","",ABS(D142-$E$5)/SQRT(0.9*(IF(G141="",$F$5^2,(ABS(D141-$E$5)/MAX(G141,0.0000000001))^2))+0.1*(D142-$E$5)^2))</f>
        <v>0.25238795253637025</v>
      </c>
      <c r="H142" s="6" t="str">
        <f>IF(E142="","",IF(E142&gt;$I$5,"OUTLIER",""))</f>
        <v/>
      </c>
      <c r="I142" s="6" t="str">
        <f>IF(F142="","",IF(F142&gt;$I$5,"OUTLIER",""))</f>
        <v/>
      </c>
      <c r="J142" s="6" t="str">
        <f>IF(G142="","",IF(G142&gt;$I$5,"OUTLIER",""))</f>
        <v/>
      </c>
      <c r="K142" s="6" t="str">
        <f>IF(C142="","MISSING","")</f>
        <v/>
      </c>
      <c r="L142" s="6" t="str">
        <f>IF(AND(C142&lt;&gt;"",C141&lt;&gt;"",C142=C141),"STALE","")</f>
        <v/>
      </c>
      <c r="M142" s="110">
        <f>IF(D142="","",ABS(D142-G$5))</f>
        <v>7.9939605447236549E-4</v>
      </c>
    </row>
    <row r="143" spans="2:13" s="107" customFormat="1" ht="12.75" customHeight="1" x14ac:dyDescent="0.4">
      <c r="B143" s="109">
        <v>44025</v>
      </c>
      <c r="C143" s="5">
        <v>1.1349</v>
      </c>
      <c r="D143" s="6">
        <f>IF(OR(C143="",C142=""),"",LN(C143/C142))</f>
        <v>8.4060133079146039E-3</v>
      </c>
      <c r="E143" s="6">
        <f>IF(D143="","",ABS(D143-$E$5)/$F$5)</f>
        <v>1.6389209029382146</v>
      </c>
      <c r="F143" s="6">
        <f>IF(D143="","",ABS(D143-$G$5)/$H$5)</f>
        <v>2.8109590075245396</v>
      </c>
      <c r="G143" s="6">
        <f>IF(D143="","",ABS(D143-$E$5)/SQRT(0.9*(IF(G142="",$F$5^2,(ABS(D142-$E$5)/MAX(G142,0.0000000001))^2))+0.1*(D143-$E$5)^2))</f>
        <v>1.8845891544014697</v>
      </c>
      <c r="H143" s="6" t="str">
        <f>IF(E143="","",IF(E143&gt;$I$5,"OUTLIER",""))</f>
        <v/>
      </c>
      <c r="I143" s="6" t="str">
        <f>IF(F143="","",IF(F143&gt;$I$5,"OUTLIER",""))</f>
        <v/>
      </c>
      <c r="J143" s="6" t="str">
        <f>IF(G143="","",IF(G143&gt;$I$5,"OUTLIER",""))</f>
        <v/>
      </c>
      <c r="K143" s="6" t="str">
        <f>IF(C143="","MISSING","")</f>
        <v/>
      </c>
      <c r="L143" s="6" t="str">
        <f>IF(AND(C143&lt;&gt;"",C142&lt;&gt;"",C143=C142),"STALE","")</f>
        <v/>
      </c>
      <c r="M143" s="110">
        <f>IF(D143="","",ABS(D143-G$5))</f>
        <v>8.4060133079146039E-3</v>
      </c>
    </row>
    <row r="144" spans="2:13" s="107" customFormat="1" ht="12.75" customHeight="1" x14ac:dyDescent="0.4">
      <c r="B144" s="109">
        <v>44026</v>
      </c>
      <c r="C144" s="5">
        <v>1.1418999999999999</v>
      </c>
      <c r="D144" s="6">
        <f>IF(OR(C144="",C143=""),"",LN(C144/C143))</f>
        <v>6.1490004005090764E-3</v>
      </c>
      <c r="E144" s="6">
        <f>IF(D144="","",ABS(D144-$E$5)/$F$5)</f>
        <v>1.1915332849596623</v>
      </c>
      <c r="F144" s="6">
        <f>IF(D144="","",ABS(D144-$G$5)/$H$5)</f>
        <v>2.0562170710351895</v>
      </c>
      <c r="G144" s="6">
        <f>IF(D144="","",ABS(D144-$E$5)/SQRT(0.9*(IF(G143="",$F$5^2,(ABS(D143-$E$5)/MAX(G143,0.0000000001))^2))+0.1*(D144-$E$5)^2))</f>
        <v>1.3137255857563364</v>
      </c>
      <c r="H144" s="6" t="str">
        <f>IF(E144="","",IF(E144&gt;$I$5,"OUTLIER",""))</f>
        <v/>
      </c>
      <c r="I144" s="6" t="str">
        <f>IF(F144="","",IF(F144&gt;$I$5,"OUTLIER",""))</f>
        <v/>
      </c>
      <c r="J144" s="6" t="str">
        <f>IF(G144="","",IF(G144&gt;$I$5,"OUTLIER",""))</f>
        <v/>
      </c>
      <c r="K144" s="6" t="str">
        <f>IF(C144="","MISSING","")</f>
        <v/>
      </c>
      <c r="L144" s="6" t="str">
        <f>IF(AND(C144&lt;&gt;"",C143&lt;&gt;"",C144=C143),"STALE","")</f>
        <v/>
      </c>
      <c r="M144" s="110">
        <f>IF(D144="","",ABS(D144-G$5))</f>
        <v>6.1490004005090764E-3</v>
      </c>
    </row>
    <row r="145" spans="2:13" s="107" customFormat="1" ht="12.75" customHeight="1" x14ac:dyDescent="0.4">
      <c r="B145" s="109">
        <v>44027</v>
      </c>
      <c r="C145" s="5">
        <v>1.1417999999999999</v>
      </c>
      <c r="D145" s="6">
        <f>IF(OR(C145="",C144=""),"",LN(C145/C144))</f>
        <v>-8.7577177443564933E-5</v>
      </c>
      <c r="E145" s="6">
        <f>IF(D145="","",ABS(D145-$E$5)/$F$5)</f>
        <v>4.4688084348333712E-2</v>
      </c>
      <c r="F145" s="6">
        <f>IF(D145="","",ABS(D145-$G$5)/$H$5)</f>
        <v>2.9285684755790142E-2</v>
      </c>
      <c r="G145" s="6">
        <f>IF(D145="","",ABS(D145-$E$5)/SQRT(0.9*(IF(G144="",$F$5^2,(ABS(D144-$E$5)/MAX(G144,0.0000000001))^2))+0.1*(D145-$E$5)^2))</f>
        <v>5.1929052496911723E-2</v>
      </c>
      <c r="H145" s="6" t="str">
        <f>IF(E145="","",IF(E145&gt;$I$5,"OUTLIER",""))</f>
        <v/>
      </c>
      <c r="I145" s="6" t="str">
        <f>IF(F145="","",IF(F145&gt;$I$5,"OUTLIER",""))</f>
        <v/>
      </c>
      <c r="J145" s="6" t="str">
        <f>IF(G145="","",IF(G145&gt;$I$5,"OUTLIER",""))</f>
        <v/>
      </c>
      <c r="K145" s="6" t="str">
        <f>IF(C145="","MISSING","")</f>
        <v/>
      </c>
      <c r="L145" s="6" t="str">
        <f>IF(AND(C145&lt;&gt;"",C144&lt;&gt;"",C145=C144),"STALE","")</f>
        <v/>
      </c>
      <c r="M145" s="110">
        <f>IF(D145="","",ABS(D145-G$5))</f>
        <v>8.7577177443564933E-5</v>
      </c>
    </row>
    <row r="146" spans="2:13" s="107" customFormat="1" ht="12.75" customHeight="1" x14ac:dyDescent="0.4">
      <c r="B146" s="109">
        <v>44028</v>
      </c>
      <c r="C146" s="5">
        <v>1.1416999999999999</v>
      </c>
      <c r="D146" s="6">
        <f>IF(OR(C146="",C145=""),"",LN(C146/C145))</f>
        <v>-8.758484787725653E-5</v>
      </c>
      <c r="E146" s="6">
        <f>IF(D146="","",ABS(D146-$E$5)/$F$5)</f>
        <v>4.4689604790262467E-2</v>
      </c>
      <c r="F146" s="6">
        <f>IF(D146="","",ABS(D146-$G$5)/$H$5)</f>
        <v>2.9288249738010277E-2</v>
      </c>
      <c r="G146" s="6">
        <f>IF(D146="","",ABS(D146-$E$5)/SQRT(0.9*(IF(G145="",$F$5^2,(ABS(D145-$E$5)/MAX(G145,0.0000000001))^2))+0.1*(D146-$E$5)^2))</f>
        <v>5.4731690477342713E-2</v>
      </c>
      <c r="H146" s="6" t="str">
        <f>IF(E146="","",IF(E146&gt;$I$5,"OUTLIER",""))</f>
        <v/>
      </c>
      <c r="I146" s="6" t="str">
        <f>IF(F146="","",IF(F146&gt;$I$5,"OUTLIER",""))</f>
        <v/>
      </c>
      <c r="J146" s="6" t="str">
        <f>IF(G146="","",IF(G146&gt;$I$5,"OUTLIER",""))</f>
        <v/>
      </c>
      <c r="K146" s="6" t="str">
        <f>IF(C146="","MISSING","")</f>
        <v/>
      </c>
      <c r="L146" s="6" t="str">
        <f>IF(AND(C146&lt;&gt;"",C145&lt;&gt;"",C146=C145),"STALE","")</f>
        <v/>
      </c>
      <c r="M146" s="110">
        <f>IF(D146="","",ABS(D146-G$5))</f>
        <v>8.758484787725653E-5</v>
      </c>
    </row>
    <row r="147" spans="2:13" s="107" customFormat="1" ht="12.75" customHeight="1" x14ac:dyDescent="0.4">
      <c r="B147" s="109">
        <v>44029</v>
      </c>
      <c r="C147" s="5">
        <v>1.1457999999999999</v>
      </c>
      <c r="D147" s="6">
        <f>IF(OR(C147="",C146=""),"",LN(C147/C146))</f>
        <v>3.584703292195826E-3</v>
      </c>
      <c r="E147" s="6">
        <f>IF(D147="","",ABS(D147-$E$5)/$F$5)</f>
        <v>0.68323544966003158</v>
      </c>
      <c r="F147" s="6">
        <f>IF(D147="","",ABS(D147-$G$5)/$H$5)</f>
        <v>1.1987197306734378</v>
      </c>
      <c r="G147" s="6">
        <f>IF(D147="","",ABS(D147-$E$5)/SQRT(0.9*(IF(G146="",$F$5^2,(ABS(D146-$E$5)/MAX(G146,0.0000000001))^2))+0.1*(D147-$E$5)^2))</f>
        <v>0.8495970496333789</v>
      </c>
      <c r="H147" s="6" t="str">
        <f>IF(E147="","",IF(E147&gt;$I$5,"OUTLIER",""))</f>
        <v/>
      </c>
      <c r="I147" s="6" t="str">
        <f>IF(F147="","",IF(F147&gt;$I$5,"OUTLIER",""))</f>
        <v/>
      </c>
      <c r="J147" s="6" t="str">
        <f>IF(G147="","",IF(G147&gt;$I$5,"OUTLIER",""))</f>
        <v/>
      </c>
      <c r="K147" s="6" t="str">
        <f>IF(C147="","MISSING","")</f>
        <v/>
      </c>
      <c r="L147" s="6" t="str">
        <f>IF(AND(C147&lt;&gt;"",C146&lt;&gt;"",C147=C146),"STALE","")</f>
        <v/>
      </c>
      <c r="M147" s="110">
        <f>IF(D147="","",ABS(D147-G$5))</f>
        <v>3.584703292195826E-3</v>
      </c>
    </row>
    <row r="148" spans="2:13" s="107" customFormat="1" ht="12.75" customHeight="1" x14ac:dyDescent="0.4">
      <c r="B148" s="109">
        <v>44032</v>
      </c>
      <c r="C148" s="5">
        <v>1.1454</v>
      </c>
      <c r="D148" s="6">
        <f>IF(OR(C148="",C147=""),"",LN(C148/C147))</f>
        <v>-3.4916201472041312E-4</v>
      </c>
      <c r="E148" s="6">
        <f>IF(D148="","",ABS(D148-$E$5)/$F$5)</f>
        <v>9.6539722796925492E-2</v>
      </c>
      <c r="F148" s="6">
        <f>IF(D148="","",ABS(D148-$G$5)/$H$5)</f>
        <v>0.11675928581265244</v>
      </c>
      <c r="G148" s="6">
        <f>IF(D148="","",ABS(D148-$E$5)/SQRT(0.9*(IF(G147="",$F$5^2,(ABS(D147-$E$5)/MAX(G147,0.0000000001))^2))+0.1*(D148-$E$5)^2))</f>
        <v>0.12643868524266894</v>
      </c>
      <c r="H148" s="6" t="str">
        <f>IF(E148="","",IF(E148&gt;$I$5,"OUTLIER",""))</f>
        <v/>
      </c>
      <c r="I148" s="6" t="str">
        <f>IF(F148="","",IF(F148&gt;$I$5,"OUTLIER",""))</f>
        <v/>
      </c>
      <c r="J148" s="6" t="str">
        <f>IF(G148="","",IF(G148&gt;$I$5,"OUTLIER",""))</f>
        <v/>
      </c>
      <c r="K148" s="6" t="str">
        <f>IF(C148="","MISSING","")</f>
        <v/>
      </c>
      <c r="L148" s="6" t="str">
        <f>IF(AND(C148&lt;&gt;"",C147&lt;&gt;"",C148=C147),"STALE","")</f>
        <v/>
      </c>
      <c r="M148" s="110">
        <f>IF(D148="","",ABS(D148-G$5))</f>
        <v>3.4916201472041312E-4</v>
      </c>
    </row>
    <row r="149" spans="2:13" s="107" customFormat="1" ht="12.75" customHeight="1" x14ac:dyDescent="0.4">
      <c r="B149" s="109">
        <v>44033</v>
      </c>
      <c r="C149" s="5">
        <v>1.1576</v>
      </c>
      <c r="D149" s="6">
        <f>IF(OR(C149="",C148=""),"",LN(C149/C148))</f>
        <v>1.0594975357517057E-2</v>
      </c>
      <c r="E149" s="6">
        <f>IF(D149="","",ABS(D149-$E$5)/$F$5)</f>
        <v>2.0728194039188002</v>
      </c>
      <c r="F149" s="6">
        <f>IF(D149="","",ABS(D149-$G$5)/$H$5)</f>
        <v>3.5429448330366187</v>
      </c>
      <c r="G149" s="6">
        <f>IF(D149="","",ABS(D149-$E$5)/SQRT(0.9*(IF(G148="",$F$5^2,(ABS(D148-$E$5)/MAX(G148,0.0000000001))^2))+0.1*(D149-$E$5)^2))</f>
        <v>2.1218286481615007</v>
      </c>
      <c r="H149" s="6" t="str">
        <f>IF(E149="","",IF(E149&gt;$I$5,"OUTLIER",""))</f>
        <v/>
      </c>
      <c r="I149" s="6" t="str">
        <f>IF(F149="","",IF(F149&gt;$I$5,"OUTLIER",""))</f>
        <v>OUTLIER</v>
      </c>
      <c r="J149" s="6" t="str">
        <f>IF(G149="","",IF(G149&gt;$I$5,"OUTLIER",""))</f>
        <v/>
      </c>
      <c r="K149" s="6" t="str">
        <f>IF(C149="","MISSING","")</f>
        <v/>
      </c>
      <c r="L149" s="6" t="str">
        <f>IF(AND(C149&lt;&gt;"",C148&lt;&gt;"",C149=C148),"STALE","")</f>
        <v/>
      </c>
      <c r="M149" s="110">
        <f>IF(D149="","",ABS(D149-G$5))</f>
        <v>1.0594975357517057E-2</v>
      </c>
    </row>
    <row r="150" spans="2:13" s="107" customFormat="1" ht="12.75" customHeight="1" x14ac:dyDescent="0.4">
      <c r="B150" s="109">
        <v>44034</v>
      </c>
      <c r="C150" s="5">
        <v>1.1604000000000001</v>
      </c>
      <c r="D150" s="6">
        <f>IF(OR(C150="",C149=""),"",LN(C150/C149))</f>
        <v>2.4158769299750314E-3</v>
      </c>
      <c r="E150" s="6">
        <f>IF(D150="","",ABS(D150-$E$5)/$F$5)</f>
        <v>0.45154938339574907</v>
      </c>
      <c r="F150" s="6">
        <f>IF(D150="","",ABS(D150-$G$5)/$H$5)</f>
        <v>0.80786584182422216</v>
      </c>
      <c r="G150" s="6">
        <f>IF(D150="","",ABS(D150-$E$5)/SQRT(0.9*(IF(G149="",$F$5^2,(ABS(D149-$E$5)/MAX(G149,0.0000000001))^2))+0.1*(D150-$E$5)^2))</f>
        <v>0.48154644402357827</v>
      </c>
      <c r="H150" s="6" t="str">
        <f>IF(E150="","",IF(E150&gt;$I$5,"OUTLIER",""))</f>
        <v/>
      </c>
      <c r="I150" s="6" t="str">
        <f>IF(F150="","",IF(F150&gt;$I$5,"OUTLIER",""))</f>
        <v/>
      </c>
      <c r="J150" s="6" t="str">
        <f>IF(G150="","",IF(G150&gt;$I$5,"OUTLIER",""))</f>
        <v/>
      </c>
      <c r="K150" s="6" t="str">
        <f>IF(C150="","MISSING","")</f>
        <v/>
      </c>
      <c r="L150" s="6" t="str">
        <f>IF(AND(C150&lt;&gt;"",C149&lt;&gt;"",C150=C149),"STALE","")</f>
        <v/>
      </c>
      <c r="M150" s="110">
        <f>IF(D150="","",ABS(D150-G$5))</f>
        <v>2.4158769299750314E-3</v>
      </c>
    </row>
    <row r="151" spans="2:13" s="107" customFormat="1" ht="12.75" customHeight="1" x14ac:dyDescent="0.4">
      <c r="B151" s="109">
        <v>44035</v>
      </c>
      <c r="C151" s="5">
        <v>1.1581999999999999</v>
      </c>
      <c r="D151" s="6">
        <f>IF(OR(C151="",C150=""),"",LN(C151/C150))</f>
        <v>-1.8976974555596779E-3</v>
      </c>
      <c r="E151" s="6">
        <f>IF(D151="","",ABS(D151-$E$5)/$F$5)</f>
        <v>0.40349214648901055</v>
      </c>
      <c r="F151" s="6">
        <f>IF(D151="","",ABS(D151-$G$5)/$H$5)</f>
        <v>0.63458735560641677</v>
      </c>
      <c r="G151" s="6">
        <f>IF(D151="","",ABS(D151-$E$5)/SQRT(0.9*(IF(G150="",$F$5^2,(ABS(D150-$E$5)/MAX(G150,0.0000000001))^2))+0.1*(D151-$E$5)^2))</f>
        <v>0.44897769098392731</v>
      </c>
      <c r="H151" s="6" t="str">
        <f>IF(E151="","",IF(E151&gt;$I$5,"OUTLIER",""))</f>
        <v/>
      </c>
      <c r="I151" s="6" t="str">
        <f>IF(F151="","",IF(F151&gt;$I$5,"OUTLIER",""))</f>
        <v/>
      </c>
      <c r="J151" s="6" t="str">
        <f>IF(G151="","",IF(G151&gt;$I$5,"OUTLIER",""))</f>
        <v/>
      </c>
      <c r="K151" s="6" t="str">
        <f>IF(C151="","MISSING","")</f>
        <v/>
      </c>
      <c r="L151" s="6" t="str">
        <f>IF(AND(C151&lt;&gt;"",C150&lt;&gt;"",C151=C150),"STALE","")</f>
        <v/>
      </c>
      <c r="M151" s="110">
        <f>IF(D151="","",ABS(D151-G$5))</f>
        <v>1.8976974555596779E-3</v>
      </c>
    </row>
    <row r="152" spans="2:13" s="107" customFormat="1" ht="12.75" customHeight="1" x14ac:dyDescent="0.4">
      <c r="B152" s="109">
        <v>44036</v>
      </c>
      <c r="C152" s="5">
        <v>1.1686000000000001</v>
      </c>
      <c r="D152" s="6">
        <f>IF(OR(C152="",C151=""),"",LN(C152/C151))</f>
        <v>8.9393753286472876E-3</v>
      </c>
      <c r="E152" s="6">
        <f>IF(D152="","",ABS(D152-$E$5)/$F$5)</f>
        <v>1.7446445180725736</v>
      </c>
      <c r="F152" s="6">
        <f>IF(D152="","",ABS(D152-$G$5)/$H$5)</f>
        <v>2.9893145158412366</v>
      </c>
      <c r="G152" s="6">
        <f>IF(D152="","",ABS(D152-$E$5)/SQRT(0.9*(IF(G151="",$F$5^2,(ABS(D151-$E$5)/MAX(G151,0.0000000001))^2))+0.1*(D152-$E$5)^2))</f>
        <v>1.7179995109986095</v>
      </c>
      <c r="H152" s="6" t="str">
        <f>IF(E152="","",IF(E152&gt;$I$5,"OUTLIER",""))</f>
        <v/>
      </c>
      <c r="I152" s="6" t="str">
        <f>IF(F152="","",IF(F152&gt;$I$5,"OUTLIER",""))</f>
        <v/>
      </c>
      <c r="J152" s="6" t="str">
        <f>IF(G152="","",IF(G152&gt;$I$5,"OUTLIER",""))</f>
        <v/>
      </c>
      <c r="K152" s="6" t="str">
        <f>IF(C152="","MISSING","")</f>
        <v/>
      </c>
      <c r="L152" s="6" t="str">
        <f>IF(AND(C152&lt;&gt;"",C151&lt;&gt;"",C152=C151),"STALE","")</f>
        <v/>
      </c>
      <c r="M152" s="110">
        <f>IF(D152="","",ABS(D152-G$5))</f>
        <v>8.9393753286472876E-3</v>
      </c>
    </row>
    <row r="153" spans="2:13" s="107" customFormat="1" ht="12.75" customHeight="1" x14ac:dyDescent="0.4">
      <c r="B153" s="109">
        <v>44039</v>
      </c>
      <c r="C153" s="5">
        <v>1.1716</v>
      </c>
      <c r="D153" s="6">
        <f>IF(OR(C153="",C152=""),"",LN(C153/C152))</f>
        <v>2.5638848332416851E-3</v>
      </c>
      <c r="E153" s="6">
        <f>IF(D153="","",ABS(D153-$E$5)/$F$5)</f>
        <v>0.48088767520046255</v>
      </c>
      <c r="F153" s="6">
        <f>IF(D153="","",ABS(D153-$G$5)/$H$5)</f>
        <v>0.85735947615864538</v>
      </c>
      <c r="G153" s="6">
        <f>IF(D153="","",ABS(D153-$E$5)/SQRT(0.9*(IF(G152="",$F$5^2,(ABS(D152-$E$5)/MAX(G152,0.0000000001))^2))+0.1*(D153-$E$5)^2))</f>
        <v>0.49305385381583045</v>
      </c>
      <c r="H153" s="6" t="str">
        <f>IF(E153="","",IF(E153&gt;$I$5,"OUTLIER",""))</f>
        <v/>
      </c>
      <c r="I153" s="6" t="str">
        <f>IF(F153="","",IF(F153&gt;$I$5,"OUTLIER",""))</f>
        <v/>
      </c>
      <c r="J153" s="6" t="str">
        <f>IF(G153="","",IF(G153&gt;$I$5,"OUTLIER",""))</f>
        <v/>
      </c>
      <c r="K153" s="6" t="str">
        <f>IF(C153="","MISSING","")</f>
        <v/>
      </c>
      <c r="L153" s="6" t="str">
        <f>IF(AND(C153&lt;&gt;"",C152&lt;&gt;"",C153=C152),"STALE","")</f>
        <v/>
      </c>
      <c r="M153" s="110">
        <f>IF(D153="","",ABS(D153-G$5))</f>
        <v>2.5638848332416851E-3</v>
      </c>
    </row>
    <row r="154" spans="2:13" s="107" customFormat="1" ht="12.75" customHeight="1" x14ac:dyDescent="0.4">
      <c r="B154" s="109">
        <v>44040</v>
      </c>
      <c r="C154" s="5">
        <v>1.1744000000000001</v>
      </c>
      <c r="D154" s="6">
        <f>IF(OR(C154="",C153=""),"",LN(C154/C153))</f>
        <v>2.3870429066728538E-3</v>
      </c>
      <c r="E154" s="6">
        <f>IF(D154="","",ABS(D154-$E$5)/$F$5)</f>
        <v>0.44583387110976569</v>
      </c>
      <c r="F154" s="6">
        <f>IF(D154="","",ABS(D154-$G$5)/$H$5)</f>
        <v>0.79822378505420544</v>
      </c>
      <c r="G154" s="6">
        <f>IF(D154="","",ABS(D154-$E$5)/SQRT(0.9*(IF(G153="",$F$5^2,(ABS(D153-$E$5)/MAX(G153,0.0000000001))^2))+0.1*(D154-$E$5)^2))</f>
        <v>0.47634175767632136</v>
      </c>
      <c r="H154" s="6" t="str">
        <f>IF(E154="","",IF(E154&gt;$I$5,"OUTLIER",""))</f>
        <v/>
      </c>
      <c r="I154" s="6" t="str">
        <f>IF(F154="","",IF(F154&gt;$I$5,"OUTLIER",""))</f>
        <v/>
      </c>
      <c r="J154" s="6" t="str">
        <f>IF(G154="","",IF(G154&gt;$I$5,"OUTLIER",""))</f>
        <v/>
      </c>
      <c r="K154" s="6" t="str">
        <f>IF(C154="","MISSING","")</f>
        <v/>
      </c>
      <c r="L154" s="6" t="str">
        <f>IF(AND(C154&lt;&gt;"",C153&lt;&gt;"",C154=C153),"STALE","")</f>
        <v/>
      </c>
      <c r="M154" s="110">
        <f>IF(D154="","",ABS(D154-G$5))</f>
        <v>2.3870429066728538E-3</v>
      </c>
    </row>
    <row r="155" spans="2:13" s="107" customFormat="1" ht="12.75" customHeight="1" x14ac:dyDescent="0.4">
      <c r="B155" s="109">
        <v>44041</v>
      </c>
      <c r="C155" s="5">
        <v>1.1759999999999999</v>
      </c>
      <c r="D155" s="6">
        <f>IF(OR(C155="",C154=""),"",LN(C155/C154))</f>
        <v>1.361470598320949E-3</v>
      </c>
      <c r="E155" s="6">
        <f>IF(D155="","",ABS(D155-$E$5)/$F$5)</f>
        <v>0.24254378331591489</v>
      </c>
      <c r="F155" s="6">
        <f>IF(D155="","",ABS(D155-$G$5)/$H$5)</f>
        <v>0.45527384999816545</v>
      </c>
      <c r="G155" s="6">
        <f>IF(D155="","",ABS(D155-$E$5)/SQRT(0.9*(IF(G154="",$F$5^2,(ABS(D154-$E$5)/MAX(G154,0.0000000001))^2))+0.1*(D155-$E$5)^2))</f>
        <v>0.27214493012938917</v>
      </c>
      <c r="H155" s="6" t="str">
        <f>IF(E155="","",IF(E155&gt;$I$5,"OUTLIER",""))</f>
        <v/>
      </c>
      <c r="I155" s="6" t="str">
        <f>IF(F155="","",IF(F155&gt;$I$5,"OUTLIER",""))</f>
        <v/>
      </c>
      <c r="J155" s="6" t="str">
        <f>IF(G155="","",IF(G155&gt;$I$5,"OUTLIER",""))</f>
        <v/>
      </c>
      <c r="K155" s="6" t="str">
        <f>IF(C155="","MISSING","")</f>
        <v/>
      </c>
      <c r="L155" s="6" t="str">
        <f>IF(AND(C155&lt;&gt;"",C154&lt;&gt;"",C155=C154),"STALE","")</f>
        <v/>
      </c>
      <c r="M155" s="110">
        <f>IF(D155="","",ABS(D155-G$5))</f>
        <v>1.361470598320949E-3</v>
      </c>
    </row>
    <row r="156" spans="2:13" s="107" customFormat="1" ht="12.75" customHeight="1" x14ac:dyDescent="0.4">
      <c r="B156" s="109">
        <v>44042</v>
      </c>
      <c r="C156" s="5">
        <v>1.1842999999999999</v>
      </c>
      <c r="D156" s="6">
        <f>IF(OR(C156="",C155=""),"",LN(C156/C155))</f>
        <v>7.0330332688771811E-3</v>
      </c>
      <c r="E156" s="6">
        <f>IF(D156="","",ABS(D156-$E$5)/$F$5)</f>
        <v>1.3667672669613837</v>
      </c>
      <c r="F156" s="6">
        <f>IF(D156="","",ABS(D156-$G$5)/$H$5)</f>
        <v>2.3518364167656283</v>
      </c>
      <c r="G156" s="6">
        <f>IF(D156="","",ABS(D156-$E$5)/SQRT(0.9*(IF(G155="",$F$5^2,(ABS(D155-$E$5)/MAX(G155,0.0000000001))^2))+0.1*(D156-$E$5)^2))</f>
        <v>1.4393664540519302</v>
      </c>
      <c r="H156" s="6" t="str">
        <f>IF(E156="","",IF(E156&gt;$I$5,"OUTLIER",""))</f>
        <v/>
      </c>
      <c r="I156" s="6" t="str">
        <f>IF(F156="","",IF(F156&gt;$I$5,"OUTLIER",""))</f>
        <v/>
      </c>
      <c r="J156" s="6" t="str">
        <f>IF(G156="","",IF(G156&gt;$I$5,"OUTLIER",""))</f>
        <v/>
      </c>
      <c r="K156" s="6" t="str">
        <f>IF(C156="","MISSING","")</f>
        <v/>
      </c>
      <c r="L156" s="6" t="str">
        <f>IF(AND(C156&lt;&gt;"",C155&lt;&gt;"",C156=C155),"STALE","")</f>
        <v/>
      </c>
      <c r="M156" s="110">
        <f>IF(D156="","",ABS(D156-G$5))</f>
        <v>7.0330332688771811E-3</v>
      </c>
    </row>
    <row r="157" spans="2:13" s="107" customFormat="1" ht="12.75" customHeight="1" x14ac:dyDescent="0.4">
      <c r="B157" s="109">
        <v>44043</v>
      </c>
      <c r="C157" s="5">
        <v>1.1909000000000001</v>
      </c>
      <c r="D157" s="6">
        <f>IF(OR(C157="",C156=""),"",LN(C157/C156))</f>
        <v>5.5574410465009947E-3</v>
      </c>
      <c r="E157" s="6">
        <f>IF(D157="","",ABS(D157-$E$5)/$F$5)</f>
        <v>1.0742737294585669</v>
      </c>
      <c r="F157" s="6">
        <f>IF(D157="","",ABS(D157-$G$5)/$H$5)</f>
        <v>1.8584004564613372</v>
      </c>
      <c r="G157" s="6">
        <f>IF(D157="","",ABS(D157-$E$5)/SQRT(0.9*(IF(G156="",$F$5^2,(ABS(D156-$E$5)/MAX(G156,0.0000000001))^2))+0.1*(D157-$E$5)^2))</f>
        <v>1.1158269641164968</v>
      </c>
      <c r="H157" s="6" t="str">
        <f>IF(E157="","",IF(E157&gt;$I$5,"OUTLIER",""))</f>
        <v/>
      </c>
      <c r="I157" s="6" t="str">
        <f>IF(F157="","",IF(F157&gt;$I$5,"OUTLIER",""))</f>
        <v/>
      </c>
      <c r="J157" s="6" t="str">
        <f>IF(G157="","",IF(G157&gt;$I$5,"OUTLIER",""))</f>
        <v/>
      </c>
      <c r="K157" s="6" t="str">
        <f>IF(C157="","MISSING","")</f>
        <v/>
      </c>
      <c r="L157" s="6" t="str">
        <f>IF(AND(C157&lt;&gt;"",C156&lt;&gt;"",C157=C156),"STALE","")</f>
        <v/>
      </c>
      <c r="M157" s="110">
        <f>IF(D157="","",ABS(D157-G$5))</f>
        <v>5.5574410465009947E-3</v>
      </c>
    </row>
    <row r="158" spans="2:13" s="107" customFormat="1" ht="12.75" customHeight="1" x14ac:dyDescent="0.4">
      <c r="B158" s="109">
        <v>44046</v>
      </c>
      <c r="C158" s="5">
        <v>1.1774</v>
      </c>
      <c r="D158" s="6">
        <f>IF(OR(C158="",C157=""),"",LN(C158/C157))</f>
        <v>-1.1400706179789197E-2</v>
      </c>
      <c r="E158" s="6">
        <f>IF(D158="","",ABS(D158-$E$5)/$F$5)</f>
        <v>2.2871891438844076</v>
      </c>
      <c r="F158" s="6">
        <f>IF(D158="","",ABS(D158-$G$5)/$H$5)</f>
        <v>3.8123800848668239</v>
      </c>
      <c r="G158" s="6">
        <f>IF(D158="","",ABS(D158-$E$5)/SQRT(0.9*(IF(G157="",$F$5^2,(ABS(D157-$E$5)/MAX(G157,0.0000000001))^2))+0.1*(D158-$E$5)^2))</f>
        <v>1.9631694557175712</v>
      </c>
      <c r="H158" s="6" t="str">
        <f>IF(E158="","",IF(E158&gt;$I$5,"OUTLIER",""))</f>
        <v/>
      </c>
      <c r="I158" s="6" t="str">
        <f>IF(F158="","",IF(F158&gt;$I$5,"OUTLIER",""))</f>
        <v>OUTLIER</v>
      </c>
      <c r="J158" s="6" t="str">
        <f>IF(G158="","",IF(G158&gt;$I$5,"OUTLIER",""))</f>
        <v/>
      </c>
      <c r="K158" s="6" t="str">
        <f>IF(C158="","MISSING","")</f>
        <v/>
      </c>
      <c r="L158" s="6" t="str">
        <f>IF(AND(C158&lt;&gt;"",C157&lt;&gt;"",C158=C157),"STALE","")</f>
        <v/>
      </c>
      <c r="M158" s="110">
        <f>IF(D158="","",ABS(D158-G$5))</f>
        <v>1.1400706179789197E-2</v>
      </c>
    </row>
    <row r="159" spans="2:13" s="107" customFormat="1" ht="12.75" customHeight="1" x14ac:dyDescent="0.4">
      <c r="B159" s="109">
        <v>44047</v>
      </c>
      <c r="C159" s="5">
        <v>1.1778999999999999</v>
      </c>
      <c r="D159" s="6">
        <f>IF(OR(C159="",C158=""),"",LN(C159/C158))</f>
        <v>4.245743705776803E-4</v>
      </c>
      <c r="E159" s="6">
        <f>IF(D159="","",ABS(D159-$E$5)/$F$5)</f>
        <v>5.6831167208203463E-2</v>
      </c>
      <c r="F159" s="6">
        <f>IF(D159="","",ABS(D159-$G$5)/$H$5)</f>
        <v>0.14197707136814786</v>
      </c>
      <c r="G159" s="6">
        <f>IF(D159="","",ABS(D159-$E$5)/SQRT(0.9*(IF(G158="",$F$5^2,(ABS(D158-$E$5)/MAX(G158,0.0000000001))^2))+0.1*(D159-$E$5)^2))</f>
        <v>5.1411896535263006E-2</v>
      </c>
      <c r="H159" s="6" t="str">
        <f>IF(E159="","",IF(E159&gt;$I$5,"OUTLIER",""))</f>
        <v/>
      </c>
      <c r="I159" s="6" t="str">
        <f>IF(F159="","",IF(F159&gt;$I$5,"OUTLIER",""))</f>
        <v/>
      </c>
      <c r="J159" s="6" t="str">
        <f>IF(G159="","",IF(G159&gt;$I$5,"OUTLIER",""))</f>
        <v/>
      </c>
      <c r="K159" s="6" t="str">
        <f>IF(C159="","MISSING","")</f>
        <v/>
      </c>
      <c r="L159" s="6" t="str">
        <f>IF(AND(C159&lt;&gt;"",C158&lt;&gt;"",C159=C158),"STALE","")</f>
        <v/>
      </c>
      <c r="M159" s="110">
        <f>IF(D159="","",ABS(D159-G$5))</f>
        <v>4.245743705776803E-4</v>
      </c>
    </row>
    <row r="160" spans="2:13" s="107" customFormat="1" ht="12.75" customHeight="1" x14ac:dyDescent="0.4">
      <c r="B160" s="109">
        <v>44048</v>
      </c>
      <c r="C160" s="5">
        <v>1.1870000000000001</v>
      </c>
      <c r="D160" s="6">
        <f>IF(OR(C160="",C159=""),"",LN(C160/C159))</f>
        <v>7.6959236449292614E-3</v>
      </c>
      <c r="E160" s="6">
        <f>IF(D160="","",ABS(D160-$E$5)/$F$5)</f>
        <v>1.4981661372778843</v>
      </c>
      <c r="F160" s="6">
        <f>IF(D160="","",ABS(D160-$G$5)/$H$5)</f>
        <v>2.5735060246177239</v>
      </c>
      <c r="G160" s="6">
        <f>IF(D160="","",ABS(D160-$E$5)/SQRT(0.9*(IF(G159="",$F$5^2,(ABS(D159-$E$5)/MAX(G159,0.0000000001))^2))+0.1*(D160-$E$5)^2))</f>
        <v>1.3019234942574731</v>
      </c>
      <c r="H160" s="6" t="str">
        <f>IF(E160="","",IF(E160&gt;$I$5,"OUTLIER",""))</f>
        <v/>
      </c>
      <c r="I160" s="6" t="str">
        <f>IF(F160="","",IF(F160&gt;$I$5,"OUTLIER",""))</f>
        <v/>
      </c>
      <c r="J160" s="6" t="str">
        <f>IF(G160="","",IF(G160&gt;$I$5,"OUTLIER",""))</f>
        <v/>
      </c>
      <c r="K160" s="6" t="str">
        <f>IF(C160="","MISSING","")</f>
        <v/>
      </c>
      <c r="L160" s="6" t="str">
        <f>IF(AND(C160&lt;&gt;"",C159&lt;&gt;"",C160=C159),"STALE","")</f>
        <v/>
      </c>
      <c r="M160" s="110">
        <f>IF(D160="","",ABS(D160-G$5))</f>
        <v>7.6959236449292614E-3</v>
      </c>
    </row>
    <row r="161" spans="2:13" s="107" customFormat="1" ht="12.75" customHeight="1" x14ac:dyDescent="0.4">
      <c r="B161" s="109">
        <v>44049</v>
      </c>
      <c r="C161" s="5">
        <v>1.1887000000000001</v>
      </c>
      <c r="D161" s="6">
        <f>IF(OR(C161="",C160=""),"",LN(C161/C160))</f>
        <v>1.4311573769105626E-3</v>
      </c>
      <c r="E161" s="6">
        <f>IF(D161="","",ABS(D161-$E$5)/$F$5)</f>
        <v>0.2563571743583456</v>
      </c>
      <c r="F161" s="6">
        <f>IF(D161="","",ABS(D161-$G$5)/$H$5)</f>
        <v>0.47857701058172142</v>
      </c>
      <c r="G161" s="6">
        <f>IF(D161="","",ABS(D161-$E$5)/SQRT(0.9*(IF(G160="",$F$5^2,(ABS(D160-$E$5)/MAX(G160,0.0000000001))^2))+0.1*(D161-$E$5)^2))</f>
        <v>0.23418310425145134</v>
      </c>
      <c r="H161" s="6" t="str">
        <f>IF(E161="","",IF(E161&gt;$I$5,"OUTLIER",""))</f>
        <v/>
      </c>
      <c r="I161" s="6" t="str">
        <f>IF(F161="","",IF(F161&gt;$I$5,"OUTLIER",""))</f>
        <v/>
      </c>
      <c r="J161" s="6" t="str">
        <f>IF(G161="","",IF(G161&gt;$I$5,"OUTLIER",""))</f>
        <v/>
      </c>
      <c r="K161" s="6" t="str">
        <f>IF(C161="","MISSING","")</f>
        <v/>
      </c>
      <c r="L161" s="6" t="str">
        <f>IF(AND(C161&lt;&gt;"",C160&lt;&gt;"",C161=C160),"STALE","")</f>
        <v/>
      </c>
      <c r="M161" s="110">
        <f>IF(D161="","",ABS(D161-G$5))</f>
        <v>1.4311573769105626E-3</v>
      </c>
    </row>
    <row r="162" spans="2:13" s="107" customFormat="1" ht="12.75" customHeight="1" x14ac:dyDescent="0.4">
      <c r="B162" s="109">
        <v>44050</v>
      </c>
      <c r="C162" s="5">
        <v>1.1798999999999999</v>
      </c>
      <c r="D162" s="6">
        <f>IF(OR(C162="",C161=""),"",LN(C162/C161))</f>
        <v>-7.4305838807052658E-3</v>
      </c>
      <c r="E162" s="6">
        <f>IF(D162="","",ABS(D162-$E$5)/$F$5)</f>
        <v>1.5002270699667861</v>
      </c>
      <c r="F162" s="6">
        <f>IF(D162="","",ABS(D162-$G$5)/$H$5)</f>
        <v>2.4847767812797885</v>
      </c>
      <c r="G162" s="6">
        <f>IF(D162="","",ABS(D162-$E$5)/SQRT(0.9*(IF(G161="",$F$5^2,(ABS(D161-$E$5)/MAX(G161,0.0000000001))^2))+0.1*(D162-$E$5)^2))</f>
        <v>1.3139814166909574</v>
      </c>
      <c r="H162" s="6" t="str">
        <f>IF(E162="","",IF(E162&gt;$I$5,"OUTLIER",""))</f>
        <v/>
      </c>
      <c r="I162" s="6" t="str">
        <f>IF(F162="","",IF(F162&gt;$I$5,"OUTLIER",""))</f>
        <v/>
      </c>
      <c r="J162" s="6" t="str">
        <f>IF(G162="","",IF(G162&gt;$I$5,"OUTLIER",""))</f>
        <v/>
      </c>
      <c r="K162" s="6" t="str">
        <f>IF(C162="","MISSING","")</f>
        <v/>
      </c>
      <c r="L162" s="6" t="str">
        <f>IF(AND(C162&lt;&gt;"",C161&lt;&gt;"",C162=C161),"STALE","")</f>
        <v/>
      </c>
      <c r="M162" s="110">
        <f>IF(D162="","",ABS(D162-G$5))</f>
        <v>7.4305838807052658E-3</v>
      </c>
    </row>
    <row r="163" spans="2:13" s="107" customFormat="1" ht="12.75" customHeight="1" x14ac:dyDescent="0.4">
      <c r="B163" s="109">
        <v>44053</v>
      </c>
      <c r="C163" s="5">
        <v>1.1763999999999999</v>
      </c>
      <c r="D163" s="6">
        <f>IF(OR(C163="",C162=""),"",LN(C163/C162))</f>
        <v>-2.9707614260336686E-3</v>
      </c>
      <c r="E163" s="6">
        <f>IF(D163="","",ABS(D163-$E$5)/$F$5)</f>
        <v>0.61619608456299391</v>
      </c>
      <c r="F163" s="6">
        <f>IF(D163="","",ABS(D163-$G$5)/$H$5)</f>
        <v>0.99341843556841314</v>
      </c>
      <c r="G163" s="6">
        <f>IF(D163="","",ABS(D163-$E$5)/SQRT(0.9*(IF(G162="",$F$5^2,(ABS(D162-$E$5)/MAX(G162,0.0000000001))^2))+0.1*(D163-$E$5)^2))</f>
        <v>0.55990393117360582</v>
      </c>
      <c r="H163" s="6" t="str">
        <f>IF(E163="","",IF(E163&gt;$I$5,"OUTLIER",""))</f>
        <v/>
      </c>
      <c r="I163" s="6" t="str">
        <f>IF(F163="","",IF(F163&gt;$I$5,"OUTLIER",""))</f>
        <v/>
      </c>
      <c r="J163" s="6" t="str">
        <f>IF(G163="","",IF(G163&gt;$I$5,"OUTLIER",""))</f>
        <v/>
      </c>
      <c r="K163" s="6" t="str">
        <f>IF(C163="","MISSING","")</f>
        <v/>
      </c>
      <c r="L163" s="6" t="str">
        <f>IF(AND(C163&lt;&gt;"",C162&lt;&gt;"",C163=C162),"STALE","")</f>
        <v/>
      </c>
      <c r="M163" s="110">
        <f>IF(D163="","",ABS(D163-G$5))</f>
        <v>2.9707614260336686E-3</v>
      </c>
    </row>
    <row r="164" spans="2:13" s="107" customFormat="1" ht="12.75" customHeight="1" x14ac:dyDescent="0.4">
      <c r="B164" s="109">
        <v>44054</v>
      </c>
      <c r="C164" s="5">
        <v>1.1763999999999999</v>
      </c>
      <c r="D164" s="6">
        <f>IF(OR(C164="",C163=""),"",LN(C164/C163))</f>
        <v>0</v>
      </c>
      <c r="E164" s="6">
        <f>IF(D164="","",ABS(D164-$E$5)/$F$5)</f>
        <v>2.7328438474265301E-2</v>
      </c>
      <c r="F164" s="6">
        <f>IF(D164="","",ABS(D164-$G$5)/$H$5)</f>
        <v>0</v>
      </c>
      <c r="G164" s="6">
        <f>IF(D164="","",ABS(D164-$E$5)/SQRT(0.9*(IF(G163="",$F$5^2,(ABS(D163-$E$5)/MAX(G163,0.0000000001))^2))+0.1*(D164-$E$5)^2))</f>
        <v>2.6174191032115039E-2</v>
      </c>
      <c r="H164" s="6" t="str">
        <f>IF(E164="","",IF(E164&gt;$I$5,"OUTLIER",""))</f>
        <v/>
      </c>
      <c r="I164" s="6" t="str">
        <f>IF(F164="","",IF(F164&gt;$I$5,"OUTLIER",""))</f>
        <v/>
      </c>
      <c r="J164" s="6" t="str">
        <f>IF(G164="","",IF(G164&gt;$I$5,"OUTLIER",""))</f>
        <v/>
      </c>
      <c r="K164" s="6" t="str">
        <f>IF(C164="","MISSING","")</f>
        <v/>
      </c>
      <c r="L164" s="6" t="str">
        <f>IF(AND(C164&lt;&gt;"",C163&lt;&gt;"",C164=C163),"STALE","")</f>
        <v>STALE</v>
      </c>
      <c r="M164" s="110">
        <f>IF(D164="","",ABS(D164-G$5))</f>
        <v>0</v>
      </c>
    </row>
    <row r="165" spans="2:13" s="107" customFormat="1" ht="12.75" customHeight="1" x14ac:dyDescent="0.4">
      <c r="B165" s="109">
        <v>44055</v>
      </c>
      <c r="C165" s="5">
        <v>1.1775</v>
      </c>
      <c r="D165" s="6">
        <f>IF(OR(C165="",C164=""),"",LN(C165/C164))</f>
        <v>9.346192107329551E-4</v>
      </c>
      <c r="E165" s="6">
        <f>IF(D165="","",ABS(D165-$E$5)/$F$5)</f>
        <v>0.15793282477985882</v>
      </c>
      <c r="F165" s="6">
        <f>IF(D165="","",ABS(D165-$G$5)/$H$5)</f>
        <v>0.31253534734969818</v>
      </c>
      <c r="G165" s="6">
        <f>IF(D165="","",ABS(D165-$E$5)/SQRT(0.9*(IF(G164="",$F$5^2,(ABS(D164-$E$5)/MAX(G164,0.0000000001))^2))+0.1*(D165-$E$5)^2))</f>
        <v>0.15924223188739073</v>
      </c>
      <c r="H165" s="6" t="str">
        <f>IF(E165="","",IF(E165&gt;$I$5,"OUTLIER",""))</f>
        <v/>
      </c>
      <c r="I165" s="6" t="str">
        <f>IF(F165="","",IF(F165&gt;$I$5,"OUTLIER",""))</f>
        <v/>
      </c>
      <c r="J165" s="6" t="str">
        <f>IF(G165="","",IF(G165&gt;$I$5,"OUTLIER",""))</f>
        <v/>
      </c>
      <c r="K165" s="6" t="str">
        <f>IF(C165="","MISSING","")</f>
        <v/>
      </c>
      <c r="L165" s="6" t="str">
        <f>IF(AND(C165&lt;&gt;"",C164&lt;&gt;"",C165=C164),"STALE","")</f>
        <v/>
      </c>
      <c r="M165" s="110">
        <f>IF(D165="","",ABS(D165-G$5))</f>
        <v>9.346192107329551E-4</v>
      </c>
    </row>
    <row r="166" spans="2:13" s="107" customFormat="1" ht="12.75" customHeight="1" x14ac:dyDescent="0.4">
      <c r="B166" s="109">
        <v>44056</v>
      </c>
      <c r="C166" s="5">
        <v>1.1842999999999999</v>
      </c>
      <c r="D166" s="6">
        <f>IF(OR(C166="",C165=""),"",LN(C166/C165))</f>
        <v>5.758335836876469E-3</v>
      </c>
      <c r="E166" s="6">
        <f>IF(D166="","",ABS(D166-$E$5)/$F$5)</f>
        <v>1.1140953190628993</v>
      </c>
      <c r="F166" s="6">
        <f>IF(D166="","",ABS(D166-$G$5)/$H$5)</f>
        <v>1.9255793913363271</v>
      </c>
      <c r="G166" s="6">
        <f>IF(D166="","",ABS(D166-$E$5)/SQRT(0.9*(IF(G165="",$F$5^2,(ABS(D165-$E$5)/MAX(G165,0.0000000001))^2))+0.1*(D166-$E$5)^2))</f>
        <v>1.108906266995376</v>
      </c>
      <c r="H166" s="6" t="str">
        <f>IF(E166="","",IF(E166&gt;$I$5,"OUTLIER",""))</f>
        <v/>
      </c>
      <c r="I166" s="6" t="str">
        <f>IF(F166="","",IF(F166&gt;$I$5,"OUTLIER",""))</f>
        <v/>
      </c>
      <c r="J166" s="6" t="str">
        <f>IF(G166="","",IF(G166&gt;$I$5,"OUTLIER",""))</f>
        <v/>
      </c>
      <c r="K166" s="6" t="str">
        <f>IF(C166="","MISSING","")</f>
        <v/>
      </c>
      <c r="L166" s="6" t="str">
        <f>IF(AND(C166&lt;&gt;"",C165&lt;&gt;"",C166=C165),"STALE","")</f>
        <v/>
      </c>
      <c r="M166" s="110">
        <f>IF(D166="","",ABS(D166-G$5))</f>
        <v>5.758335836876469E-3</v>
      </c>
    </row>
    <row r="167" spans="2:13" s="107" customFormat="1" ht="12.75" customHeight="1" x14ac:dyDescent="0.4">
      <c r="B167" s="109">
        <v>44057</v>
      </c>
      <c r="C167" s="5">
        <v>1.1836</v>
      </c>
      <c r="D167" s="6">
        <f>IF(OR(C167="",C166=""),"",LN(C167/C166))</f>
        <v>-5.9124120139474599E-4</v>
      </c>
      <c r="E167" s="6">
        <f>IF(D167="","",ABS(D167-$E$5)/$F$5)</f>
        <v>0.14452492940919578</v>
      </c>
      <c r="F167" s="6">
        <f>IF(D167="","",ABS(D167-$G$5)/$H$5)</f>
        <v>0.19771022478817557</v>
      </c>
      <c r="G167" s="6">
        <f>IF(D167="","",ABS(D167-$E$5)/SQRT(0.9*(IF(G166="",$F$5^2,(ABS(D166-$E$5)/MAX(G166,0.0000000001))^2))+0.1*(D167-$E$5)^2))</f>
        <v>0.15145907314332011</v>
      </c>
      <c r="H167" s="6" t="str">
        <f>IF(E167="","",IF(E167&gt;$I$5,"OUTLIER",""))</f>
        <v/>
      </c>
      <c r="I167" s="6" t="str">
        <f>IF(F167="","",IF(F167&gt;$I$5,"OUTLIER",""))</f>
        <v/>
      </c>
      <c r="J167" s="6" t="str">
        <f>IF(G167="","",IF(G167&gt;$I$5,"OUTLIER",""))</f>
        <v/>
      </c>
      <c r="K167" s="6" t="str">
        <f>IF(C167="","MISSING","")</f>
        <v/>
      </c>
      <c r="L167" s="6" t="str">
        <f>IF(AND(C167&lt;&gt;"",C166&lt;&gt;"",C167=C166),"STALE","")</f>
        <v/>
      </c>
      <c r="M167" s="110">
        <f>IF(D167="","",ABS(D167-G$5))</f>
        <v>5.9124120139474599E-4</v>
      </c>
    </row>
    <row r="168" spans="2:13" s="107" customFormat="1" ht="12.75" customHeight="1" x14ac:dyDescent="0.4">
      <c r="B168" s="109">
        <v>44060</v>
      </c>
      <c r="C168" s="5">
        <v>1.1886000000000001</v>
      </c>
      <c r="D168" s="6">
        <f>IF(OR(C168="",C167=""),"",LN(C168/C167))</f>
        <v>4.215502406505851E-3</v>
      </c>
      <c r="E168" s="6">
        <f>IF(D168="","",ABS(D168-$E$5)/$F$5)</f>
        <v>0.80827315425098556</v>
      </c>
      <c r="F168" s="6">
        <f>IF(D168="","",ABS(D168-$G$5)/$H$5)</f>
        <v>1.4096580658101159</v>
      </c>
      <c r="G168" s="6">
        <f>IF(D168="","",ABS(D168-$E$5)/SQRT(0.9*(IF(G167="",$F$5^2,(ABS(D167-$E$5)/MAX(G167,0.0000000001))^2))+0.1*(D168-$E$5)^2))</f>
        <v>0.85927747745987415</v>
      </c>
      <c r="H168" s="6" t="str">
        <f>IF(E168="","",IF(E168&gt;$I$5,"OUTLIER",""))</f>
        <v/>
      </c>
      <c r="I168" s="6" t="str">
        <f>IF(F168="","",IF(F168&gt;$I$5,"OUTLIER",""))</f>
        <v/>
      </c>
      <c r="J168" s="6" t="str">
        <f>IF(G168="","",IF(G168&gt;$I$5,"OUTLIER",""))</f>
        <v/>
      </c>
      <c r="K168" s="6" t="str">
        <f>IF(C168="","MISSING","")</f>
        <v/>
      </c>
      <c r="L168" s="6" t="str">
        <f>IF(AND(C168&lt;&gt;"",C167&lt;&gt;"",C168=C167),"STALE","")</f>
        <v/>
      </c>
      <c r="M168" s="110">
        <f>IF(D168="","",ABS(D168-G$5))</f>
        <v>4.215502406505851E-3</v>
      </c>
    </row>
    <row r="169" spans="2:13" s="107" customFormat="1" ht="12.75" customHeight="1" x14ac:dyDescent="0.4">
      <c r="B169" s="109">
        <v>44061</v>
      </c>
      <c r="C169" s="5">
        <v>1.1870000000000001</v>
      </c>
      <c r="D169" s="6">
        <f>IF(OR(C169="",C168=""),"",LN(C169/C168))</f>
        <v>-1.347028322892235E-3</v>
      </c>
      <c r="E169" s="6">
        <f>IF(D169="","",ABS(D169-$E$5)/$F$5)</f>
        <v>0.29433789630725132</v>
      </c>
      <c r="F169" s="6">
        <f>IF(D169="","",ABS(D169-$G$5)/$H$5)</f>
        <v>0.45044437344151156</v>
      </c>
      <c r="G169" s="6">
        <f>IF(D169="","",ABS(D169-$E$5)/SQRT(0.9*(IF(G168="",$F$5^2,(ABS(D168-$E$5)/MAX(G168,0.0000000001))^2))+0.1*(D169-$E$5)^2))</f>
        <v>0.3280579390362337</v>
      </c>
      <c r="H169" s="6" t="str">
        <f>IF(E169="","",IF(E169&gt;$I$5,"OUTLIER",""))</f>
        <v/>
      </c>
      <c r="I169" s="6" t="str">
        <f>IF(F169="","",IF(F169&gt;$I$5,"OUTLIER",""))</f>
        <v/>
      </c>
      <c r="J169" s="6" t="str">
        <f>IF(G169="","",IF(G169&gt;$I$5,"OUTLIER",""))</f>
        <v/>
      </c>
      <c r="K169" s="6" t="str">
        <f>IF(C169="","MISSING","")</f>
        <v/>
      </c>
      <c r="L169" s="6" t="str">
        <f>IF(AND(C169&lt;&gt;"",C168&lt;&gt;"",C169=C168),"STALE","")</f>
        <v/>
      </c>
      <c r="M169" s="110">
        <f>IF(D169="","",ABS(D169-G$5))</f>
        <v>1.347028322892235E-3</v>
      </c>
    </row>
    <row r="170" spans="2:13" s="107" customFormat="1" ht="12.75" customHeight="1" x14ac:dyDescent="0.4">
      <c r="B170" s="109">
        <v>44062</v>
      </c>
      <c r="C170" s="5">
        <v>1.1801999999999999</v>
      </c>
      <c r="D170" s="6">
        <f>IF(OR(C170="",C169=""),"",LN(C170/C169))</f>
        <v>-5.745199986599764E-3</v>
      </c>
      <c r="E170" s="6">
        <f>IF(D170="","",ABS(D170-$E$5)/$F$5)</f>
        <v>1.1661483931062113</v>
      </c>
      <c r="F170" s="6">
        <f>IF(D170="","",ABS(D170-$G$5)/$H$5)</f>
        <v>1.9211867815099744</v>
      </c>
      <c r="G170" s="6">
        <f>IF(D170="","",ABS(D170-$E$5)/SQRT(0.9*(IF(G169="",$F$5^2,(ABS(D169-$E$5)/MAX(G169,0.0000000001))^2))+0.1*(D170-$E$5)^2))</f>
        <v>1.2571375468347081</v>
      </c>
      <c r="H170" s="6" t="str">
        <f>IF(E170="","",IF(E170&gt;$I$5,"OUTLIER",""))</f>
        <v/>
      </c>
      <c r="I170" s="6" t="str">
        <f>IF(F170="","",IF(F170&gt;$I$5,"OUTLIER",""))</f>
        <v/>
      </c>
      <c r="J170" s="6" t="str">
        <f>IF(G170="","",IF(G170&gt;$I$5,"OUTLIER",""))</f>
        <v/>
      </c>
      <c r="K170" s="6" t="str">
        <f>IF(C170="","MISSING","")</f>
        <v/>
      </c>
      <c r="L170" s="6" t="str">
        <f>IF(AND(C170&lt;&gt;"",C169&lt;&gt;"",C170=C169),"STALE","")</f>
        <v/>
      </c>
      <c r="M170" s="110">
        <f>IF(D170="","",ABS(D170-G$5))</f>
        <v>5.745199986599764E-3</v>
      </c>
    </row>
    <row r="171" spans="2:13" s="107" customFormat="1" ht="12.75" customHeight="1" x14ac:dyDescent="0.4">
      <c r="B171" s="109">
        <v>44063</v>
      </c>
      <c r="C171" s="5">
        <v>1.1841999999999999</v>
      </c>
      <c r="D171" s="6">
        <f>IF(OR(C171="",C170=""),"",LN(C171/C170))</f>
        <v>3.3835254746072516E-3</v>
      </c>
      <c r="E171" s="6">
        <f>IF(D171="","",ABS(D171-$E$5)/$F$5)</f>
        <v>0.64335775808557905</v>
      </c>
      <c r="F171" s="6">
        <f>IF(D171="","",ABS(D171-$G$5)/$H$5)</f>
        <v>1.1314461518971244</v>
      </c>
      <c r="G171" s="6">
        <f>IF(D171="","",ABS(D171-$E$5)/SQRT(0.9*(IF(G170="",$F$5^2,(ABS(D170-$E$5)/MAX(G170,0.0000000001))^2))+0.1*(D171-$E$5)^2))</f>
        <v>0.71228531836209563</v>
      </c>
      <c r="H171" s="6" t="str">
        <f>IF(E171="","",IF(E171&gt;$I$5,"OUTLIER",""))</f>
        <v/>
      </c>
      <c r="I171" s="6" t="str">
        <f>IF(F171="","",IF(F171&gt;$I$5,"OUTLIER",""))</f>
        <v/>
      </c>
      <c r="J171" s="6" t="str">
        <f>IF(G171="","",IF(G171&gt;$I$5,"OUTLIER",""))</f>
        <v/>
      </c>
      <c r="K171" s="6" t="str">
        <f>IF(C171="","MISSING","")</f>
        <v/>
      </c>
      <c r="L171" s="6" t="str">
        <f>IF(AND(C171&lt;&gt;"",C170&lt;&gt;"",C171=C170),"STALE","")</f>
        <v/>
      </c>
      <c r="M171" s="110">
        <f>IF(D171="","",ABS(D171-G$5))</f>
        <v>3.3835254746072516E-3</v>
      </c>
    </row>
    <row r="172" spans="2:13" s="107" customFormat="1" ht="12.75" customHeight="1" x14ac:dyDescent="0.4">
      <c r="B172" s="109">
        <v>44064</v>
      </c>
      <c r="C172" s="5">
        <v>1.1811</v>
      </c>
      <c r="D172" s="6">
        <f>IF(OR(C172="",C171=""),"",LN(C172/C171))</f>
        <v>-2.6212334798740816E-3</v>
      </c>
      <c r="E172" s="6">
        <f>IF(D172="","",ABS(D172-$E$5)/$F$5)</f>
        <v>0.54691226490197642</v>
      </c>
      <c r="F172" s="6">
        <f>IF(D172="","",ABS(D172-$G$5)/$H$5)</f>
        <v>0.87653678279803604</v>
      </c>
      <c r="G172" s="6">
        <f>IF(D172="","",ABS(D172-$E$5)/SQRT(0.9*(IF(G171="",$F$5^2,(ABS(D171-$E$5)/MAX(G171,0.0000000001))^2))+0.1*(D172-$E$5)^2))</f>
        <v>0.62564392296768601</v>
      </c>
      <c r="H172" s="6" t="str">
        <f>IF(E172="","",IF(E172&gt;$I$5,"OUTLIER",""))</f>
        <v/>
      </c>
      <c r="I172" s="6" t="str">
        <f>IF(F172="","",IF(F172&gt;$I$5,"OUTLIER",""))</f>
        <v/>
      </c>
      <c r="J172" s="6" t="str">
        <f>IF(G172="","",IF(G172&gt;$I$5,"OUTLIER",""))</f>
        <v/>
      </c>
      <c r="K172" s="6" t="str">
        <f>IF(C172="","MISSING","")</f>
        <v/>
      </c>
      <c r="L172" s="6" t="str">
        <f>IF(AND(C172&lt;&gt;"",C171&lt;&gt;"",C172=C171),"STALE","")</f>
        <v/>
      </c>
      <c r="M172" s="110">
        <f>IF(D172="","",ABS(D172-G$5))</f>
        <v>2.6212334798740816E-3</v>
      </c>
    </row>
    <row r="173" spans="2:13" s="107" customFormat="1" ht="12.75" customHeight="1" x14ac:dyDescent="0.4">
      <c r="B173" s="109">
        <v>44067</v>
      </c>
      <c r="C173" s="5">
        <v>1.1826000000000001</v>
      </c>
      <c r="D173" s="6">
        <f>IF(OR(C173="",C172=""),"",LN(C173/C172))</f>
        <v>1.269196768928113E-3</v>
      </c>
      <c r="E173" s="6">
        <f>IF(D173="","",ABS(D173-$E$5)/$F$5)</f>
        <v>0.22425316184965366</v>
      </c>
      <c r="F173" s="6">
        <f>IF(D173="","",ABS(D173-$G$5)/$H$5)</f>
        <v>0.42441761144732232</v>
      </c>
      <c r="G173" s="6">
        <f>IF(D173="","",ABS(D173-$E$5)/SQRT(0.9*(IF(G172="",$F$5^2,(ABS(D172-$E$5)/MAX(G172,0.0000000001))^2))+0.1*(D173-$E$5)^2))</f>
        <v>0.26942929847844826</v>
      </c>
      <c r="H173" s="6" t="str">
        <f>IF(E173="","",IF(E173&gt;$I$5,"OUTLIER",""))</f>
        <v/>
      </c>
      <c r="I173" s="6" t="str">
        <f>IF(F173="","",IF(F173&gt;$I$5,"OUTLIER",""))</f>
        <v/>
      </c>
      <c r="J173" s="6" t="str">
        <f>IF(G173="","",IF(G173&gt;$I$5,"OUTLIER",""))</f>
        <v/>
      </c>
      <c r="K173" s="6" t="str">
        <f>IF(C173="","MISSING","")</f>
        <v/>
      </c>
      <c r="L173" s="6" t="str">
        <f>IF(AND(C173&lt;&gt;"",C172&lt;&gt;"",C173=C172),"STALE","")</f>
        <v/>
      </c>
      <c r="M173" s="110">
        <f>IF(D173="","",ABS(D173-G$5))</f>
        <v>1.269196768928113E-3</v>
      </c>
    </row>
    <row r="174" spans="2:13" s="107" customFormat="1" ht="12.75" customHeight="1" x14ac:dyDescent="0.4">
      <c r="B174" s="109">
        <v>44068</v>
      </c>
      <c r="C174" s="5">
        <v>1.1781999999999999</v>
      </c>
      <c r="D174" s="6">
        <f>IF(OR(C174="",C173=""),"",LN(C174/C173))</f>
        <v>-3.7275542991426669E-3</v>
      </c>
      <c r="E174" s="6">
        <f>IF(D174="","",ABS(D174-$E$5)/$F$5)</f>
        <v>0.76620841266818962</v>
      </c>
      <c r="F174" s="6">
        <f>IF(D174="","",ABS(D174-$G$5)/$H$5)</f>
        <v>1.246488906143705</v>
      </c>
      <c r="G174" s="6">
        <f>IF(D174="","",ABS(D174-$E$5)/SQRT(0.9*(IF(G173="",$F$5^2,(ABS(D173-$E$5)/MAX(G173,0.0000000001))^2))+0.1*(D174-$E$5)^2))</f>
        <v>0.92766592217907007</v>
      </c>
      <c r="H174" s="6" t="str">
        <f>IF(E174="","",IF(E174&gt;$I$5,"OUTLIER",""))</f>
        <v/>
      </c>
      <c r="I174" s="6" t="str">
        <f>IF(F174="","",IF(F174&gt;$I$5,"OUTLIER",""))</f>
        <v/>
      </c>
      <c r="J174" s="6" t="str">
        <f>IF(G174="","",IF(G174&gt;$I$5,"OUTLIER",""))</f>
        <v/>
      </c>
      <c r="K174" s="6" t="str">
        <f>IF(C174="","MISSING","")</f>
        <v/>
      </c>
      <c r="L174" s="6" t="str">
        <f>IF(AND(C174&lt;&gt;"",C173&lt;&gt;"",C174=C173),"STALE","")</f>
        <v/>
      </c>
      <c r="M174" s="110">
        <f>IF(D174="","",ABS(D174-G$5))</f>
        <v>3.7275542991426669E-3</v>
      </c>
    </row>
    <row r="175" spans="2:13" s="107" customFormat="1" ht="12.75" customHeight="1" x14ac:dyDescent="0.4">
      <c r="B175" s="109">
        <v>44069</v>
      </c>
      <c r="C175" s="5">
        <v>1.1793</v>
      </c>
      <c r="D175" s="6">
        <f>IF(OR(C175="",C174=""),"",LN(C175/C174))</f>
        <v>9.3319200833739198E-4</v>
      </c>
      <c r="E175" s="6">
        <f>IF(D175="","",ABS(D175-$E$5)/$F$5)</f>
        <v>0.15764992312784379</v>
      </c>
      <c r="F175" s="6">
        <f>IF(D175="","",ABS(D175-$G$5)/$H$5)</f>
        <v>0.31205809287930714</v>
      </c>
      <c r="G175" s="6">
        <f>IF(D175="","",ABS(D175-$E$5)/SQRT(0.9*(IF(G174="",$F$5^2,(ABS(D174-$E$5)/MAX(G174,0.0000000001))^2))+0.1*(D175-$E$5)^2))</f>
        <v>0.20078902471262183</v>
      </c>
      <c r="H175" s="6" t="str">
        <f>IF(E175="","",IF(E175&gt;$I$5,"OUTLIER",""))</f>
        <v/>
      </c>
      <c r="I175" s="6" t="str">
        <f>IF(F175="","",IF(F175&gt;$I$5,"OUTLIER",""))</f>
        <v/>
      </c>
      <c r="J175" s="6" t="str">
        <f>IF(G175="","",IF(G175&gt;$I$5,"OUTLIER",""))</f>
        <v/>
      </c>
      <c r="K175" s="6" t="str">
        <f>IF(C175="","MISSING","")</f>
        <v/>
      </c>
      <c r="L175" s="6" t="str">
        <f>IF(AND(C175&lt;&gt;"",C174&lt;&gt;"",C175=C174),"STALE","")</f>
        <v/>
      </c>
      <c r="M175" s="110">
        <f>IF(D175="","",ABS(D175-G$5))</f>
        <v>9.3319200833739198E-4</v>
      </c>
    </row>
    <row r="176" spans="2:13" s="107" customFormat="1" ht="12.75" customHeight="1" x14ac:dyDescent="0.4">
      <c r="B176" s="109">
        <v>44070</v>
      </c>
      <c r="C176" s="5">
        <v>1.194</v>
      </c>
      <c r="D176" s="6">
        <f>IF(OR(C176="",C175=""),"",LN(C176/C175))</f>
        <v>1.2387972856623047E-2</v>
      </c>
      <c r="E176" s="6">
        <f>IF(D176="","",ABS(D176-$E$5)/$F$5)</f>
        <v>2.4282293696901665</v>
      </c>
      <c r="F176" s="6">
        <f>IF(D176="","",ABS(D176-$G$5)/$H$5)</f>
        <v>4.1425206707093416</v>
      </c>
      <c r="G176" s="6">
        <f>IF(D176="","",ABS(D176-$E$5)/SQRT(0.9*(IF(G175="",$F$5^2,(ABS(D175-$E$5)/MAX(G175,0.0000000001))^2))+0.1*(D176-$E$5)^2))</f>
        <v>2.2698221203930782</v>
      </c>
      <c r="H176" s="6" t="str">
        <f>IF(E176="","",IF(E176&gt;$I$5,"OUTLIER",""))</f>
        <v/>
      </c>
      <c r="I176" s="6" t="str">
        <f>IF(F176="","",IF(F176&gt;$I$5,"OUTLIER",""))</f>
        <v>OUTLIER</v>
      </c>
      <c r="J176" s="6" t="str">
        <f>IF(G176="","",IF(G176&gt;$I$5,"OUTLIER",""))</f>
        <v/>
      </c>
      <c r="K176" s="6" t="str">
        <f>IF(C176="","MISSING","")</f>
        <v/>
      </c>
      <c r="L176" s="6" t="str">
        <f>IF(AND(C176&lt;&gt;"",C175&lt;&gt;"",C176=C175),"STALE","")</f>
        <v/>
      </c>
      <c r="M176" s="110">
        <f>IF(D176="","",ABS(D176-G$5))</f>
        <v>1.2387972856623047E-2</v>
      </c>
    </row>
    <row r="177" spans="2:13" s="107" customFormat="1" ht="12.75" customHeight="1" x14ac:dyDescent="0.4">
      <c r="B177" s="109">
        <v>44071</v>
      </c>
      <c r="C177" s="5">
        <v>1.1937</v>
      </c>
      <c r="D177" s="6">
        <f>IF(OR(C177="",C176=""),"",LN(C177/C176))</f>
        <v>-2.5128785155470224E-4</v>
      </c>
      <c r="E177" s="6">
        <f>IF(D177="","",ABS(D177-$E$5)/$F$5)</f>
        <v>7.7138996918629021E-2</v>
      </c>
      <c r="F177" s="6">
        <f>IF(D177="","",ABS(D177-$G$5)/$H$5)</f>
        <v>8.4030303538077084E-2</v>
      </c>
      <c r="G177" s="6">
        <f>IF(D177="","",ABS(D177-$E$5)/SQRT(0.9*(IF(G176="",$F$5^2,(ABS(D176-$E$5)/MAX(G176,0.0000000001))^2))+0.1*(D177-$E$5)^2))</f>
        <v>7.598527455987189E-2</v>
      </c>
      <c r="H177" s="6" t="str">
        <f>IF(E177="","",IF(E177&gt;$I$5,"OUTLIER",""))</f>
        <v/>
      </c>
      <c r="I177" s="6" t="str">
        <f>IF(F177="","",IF(F177&gt;$I$5,"OUTLIER",""))</f>
        <v/>
      </c>
      <c r="J177" s="6" t="str">
        <f>IF(G177="","",IF(G177&gt;$I$5,"OUTLIER",""))</f>
        <v/>
      </c>
      <c r="K177" s="6" t="str">
        <f>IF(C177="","MISSING","")</f>
        <v/>
      </c>
      <c r="L177" s="6" t="str">
        <f>IF(AND(C177&lt;&gt;"",C176&lt;&gt;"",C177=C176),"STALE","")</f>
        <v/>
      </c>
      <c r="M177" s="110">
        <f>IF(D177="","",ABS(D177-G$5))</f>
        <v>2.5128785155470224E-4</v>
      </c>
    </row>
    <row r="178" spans="2:13" s="107" customFormat="1" ht="12.75" customHeight="1" x14ac:dyDescent="0.4">
      <c r="B178" s="109">
        <v>44074</v>
      </c>
      <c r="C178" s="5">
        <v>1.194</v>
      </c>
      <c r="D178" s="6">
        <f>IF(OR(C178="",C177=""),"",LN(C178/C177))</f>
        <v>2.5128785155479201E-4</v>
      </c>
      <c r="E178" s="6">
        <f>IF(D178="","",ABS(D178-$E$5)/$F$5)</f>
        <v>2.2482119970116218E-2</v>
      </c>
      <c r="F178" s="6">
        <f>IF(D178="","",ABS(D178-$G$5)/$H$5)</f>
        <v>8.4030303538107115E-2</v>
      </c>
      <c r="G178" s="6">
        <f>IF(D178="","",ABS(D178-$E$5)/SQRT(0.9*(IF(G177="",$F$5^2,(ABS(D177-$E$5)/MAX(G177,0.0000000001))^2))+0.1*(D178-$E$5)^2))</f>
        <v>2.3343158740994505E-2</v>
      </c>
      <c r="H178" s="6" t="str">
        <f>IF(E178="","",IF(E178&gt;$I$5,"OUTLIER",""))</f>
        <v/>
      </c>
      <c r="I178" s="6" t="str">
        <f>IF(F178="","",IF(F178&gt;$I$5,"OUTLIER",""))</f>
        <v/>
      </c>
      <c r="J178" s="6" t="str">
        <f>IF(G178="","",IF(G178&gt;$I$5,"OUTLIER",""))</f>
        <v/>
      </c>
      <c r="K178" s="6" t="str">
        <f>IF(C178="","MISSING","")</f>
        <v/>
      </c>
      <c r="L178" s="6" t="str">
        <f>IF(AND(C178&lt;&gt;"",C177&lt;&gt;"",C178=C177),"STALE","")</f>
        <v/>
      </c>
      <c r="M178" s="110">
        <f>IF(D178="","",ABS(D178-G$5))</f>
        <v>2.5128785155479201E-4</v>
      </c>
    </row>
    <row r="179" spans="2:13" s="107" customFormat="1" ht="12.75" customHeight="1" x14ac:dyDescent="0.4">
      <c r="B179" s="109">
        <v>44075</v>
      </c>
      <c r="C179" s="5">
        <v>1.1952</v>
      </c>
      <c r="D179" s="6">
        <f>IF(OR(C179="",C178=""),"",LN(C179/C178))</f>
        <v>1.0045204260054903E-3</v>
      </c>
      <c r="E179" s="6">
        <f>IF(D179="","",ABS(D179-$E$5)/$F$5)</f>
        <v>0.171788721700951</v>
      </c>
      <c r="F179" s="6">
        <f>IF(D179="","",ABS(D179-$G$5)/$H$5)</f>
        <v>0.33591021525791831</v>
      </c>
      <c r="G179" s="6">
        <f>IF(D179="","",ABS(D179-$E$5)/SQRT(0.9*(IF(G178="",$F$5^2,(ABS(D178-$E$5)/MAX(G178,0.0000000001))^2))+0.1*(D179-$E$5)^2))</f>
        <v>0.18768496777711619</v>
      </c>
      <c r="H179" s="6" t="str">
        <f>IF(E179="","",IF(E179&gt;$I$5,"OUTLIER",""))</f>
        <v/>
      </c>
      <c r="I179" s="6" t="str">
        <f>IF(F179="","",IF(F179&gt;$I$5,"OUTLIER",""))</f>
        <v/>
      </c>
      <c r="J179" s="6" t="str">
        <f>IF(G179="","",IF(G179&gt;$I$5,"OUTLIER",""))</f>
        <v/>
      </c>
      <c r="K179" s="6" t="str">
        <f>IF(C179="","MISSING","")</f>
        <v/>
      </c>
      <c r="L179" s="6" t="str">
        <f>IF(AND(C179&lt;&gt;"",C178&lt;&gt;"",C179=C178),"STALE","")</f>
        <v/>
      </c>
      <c r="M179" s="110">
        <f>IF(D179="","",ABS(D179-G$5))</f>
        <v>1.0045204260054903E-3</v>
      </c>
    </row>
    <row r="180" spans="2:13" s="107" customFormat="1" ht="12.75" customHeight="1" x14ac:dyDescent="0.4">
      <c r="B180" s="109">
        <v>44076</v>
      </c>
      <c r="C180" s="5">
        <v>1.1872</v>
      </c>
      <c r="D180" s="6">
        <f>IF(OR(C180="",C179=""),"",LN(C180/C179))</f>
        <v>-6.7159419654368299E-3</v>
      </c>
      <c r="E180" s="6">
        <f>IF(D180="","",ABS(D180-$E$5)/$F$5)</f>
        <v>1.3585699517772842</v>
      </c>
      <c r="F180" s="6">
        <f>IF(D180="","",ABS(D180-$G$5)/$H$5)</f>
        <v>2.2458015316228548</v>
      </c>
      <c r="G180" s="6">
        <f>IF(D180="","",ABS(D180-$E$5)/SQRT(0.9*(IF(G179="",$F$5^2,(ABS(D179-$E$5)/MAX(G179,0.0000000001))^2))+0.1*(D180-$E$5)^2))</f>
        <v>1.4023221421348495</v>
      </c>
      <c r="H180" s="6" t="str">
        <f>IF(E180="","",IF(E180&gt;$I$5,"OUTLIER",""))</f>
        <v/>
      </c>
      <c r="I180" s="6" t="str">
        <f>IF(F180="","",IF(F180&gt;$I$5,"OUTLIER",""))</f>
        <v/>
      </c>
      <c r="J180" s="6" t="str">
        <f>IF(G180="","",IF(G180&gt;$I$5,"OUTLIER",""))</f>
        <v/>
      </c>
      <c r="K180" s="6" t="str">
        <f>IF(C180="","MISSING","")</f>
        <v/>
      </c>
      <c r="L180" s="6" t="str">
        <f>IF(AND(C180&lt;&gt;"",C179&lt;&gt;"",C180=C179),"STALE","")</f>
        <v/>
      </c>
      <c r="M180" s="110">
        <f>IF(D180="","",ABS(D180-G$5))</f>
        <v>6.7159419654368299E-3</v>
      </c>
    </row>
    <row r="181" spans="2:13" s="107" customFormat="1" ht="12.75" customHeight="1" x14ac:dyDescent="0.4">
      <c r="B181" s="109">
        <v>44077</v>
      </c>
      <c r="C181" s="5">
        <v>1.1838</v>
      </c>
      <c r="D181" s="6">
        <f>IF(OR(C181="",C180=""),"",LN(C181/C180))</f>
        <v>-2.8679901564913966E-3</v>
      </c>
      <c r="E181" s="6">
        <f>IF(D181="","",ABS(D181-$E$5)/$F$5)</f>
        <v>0.59582464879216268</v>
      </c>
      <c r="F181" s="6">
        <f>IF(D181="","",ABS(D181-$G$5)/$H$5)</f>
        <v>0.95905186782070517</v>
      </c>
      <c r="G181" s="6">
        <f>IF(D181="","",ABS(D181-$E$5)/SQRT(0.9*(IF(G180="",$F$5^2,(ABS(D180-$E$5)/MAX(G180,0.0000000001))^2))+0.1*(D181-$E$5)^2))</f>
        <v>0.63507286925199014</v>
      </c>
      <c r="H181" s="6" t="str">
        <f>IF(E181="","",IF(E181&gt;$I$5,"OUTLIER",""))</f>
        <v/>
      </c>
      <c r="I181" s="6" t="str">
        <f>IF(F181="","",IF(F181&gt;$I$5,"OUTLIER",""))</f>
        <v/>
      </c>
      <c r="J181" s="6" t="str">
        <f>IF(G181="","",IF(G181&gt;$I$5,"OUTLIER",""))</f>
        <v/>
      </c>
      <c r="K181" s="6" t="str">
        <f>IF(C181="","MISSING","")</f>
        <v/>
      </c>
      <c r="L181" s="6" t="str">
        <f>IF(AND(C181&lt;&gt;"",C180&lt;&gt;"",C181=C180),"STALE","")</f>
        <v/>
      </c>
      <c r="M181" s="110">
        <f>IF(D181="","",ABS(D181-G$5))</f>
        <v>2.8679901564913966E-3</v>
      </c>
    </row>
    <row r="182" spans="2:13" s="107" customFormat="1" ht="12.75" customHeight="1" x14ac:dyDescent="0.4">
      <c r="B182" s="109">
        <v>44078</v>
      </c>
      <c r="C182" s="5">
        <v>1.1808000000000001</v>
      </c>
      <c r="D182" s="6">
        <f>IF(OR(C182="",C181=""),"",LN(C182/C181))</f>
        <v>-2.5374284104164868E-3</v>
      </c>
      <c r="E182" s="6">
        <f>IF(D182="","",ABS(D182-$E$5)/$F$5)</f>
        <v>0.53030033048363956</v>
      </c>
      <c r="F182" s="6">
        <f>IF(D182="","",ABS(D182-$G$5)/$H$5)</f>
        <v>0.84851248563849613</v>
      </c>
      <c r="G182" s="6">
        <f>IF(D182="","",ABS(D182-$E$5)/SQRT(0.9*(IF(G181="",$F$5^2,(ABS(D181-$E$5)/MAX(G181,0.0000000001))^2))+0.1*(D182-$E$5)^2))</f>
        <v>0.585505494411097</v>
      </c>
      <c r="H182" s="6" t="str">
        <f>IF(E182="","",IF(E182&gt;$I$5,"OUTLIER",""))</f>
        <v/>
      </c>
      <c r="I182" s="6" t="str">
        <f>IF(F182="","",IF(F182&gt;$I$5,"OUTLIER",""))</f>
        <v/>
      </c>
      <c r="J182" s="6" t="str">
        <f>IF(G182="","",IF(G182&gt;$I$5,"OUTLIER",""))</f>
        <v/>
      </c>
      <c r="K182" s="6" t="str">
        <f>IF(C182="","MISSING","")</f>
        <v/>
      </c>
      <c r="L182" s="6" t="str">
        <f>IF(AND(C182&lt;&gt;"",C181&lt;&gt;"",C182=C181),"STALE","")</f>
        <v/>
      </c>
      <c r="M182" s="110">
        <f>IF(D182="","",ABS(D182-G$5))</f>
        <v>2.5374284104164868E-3</v>
      </c>
    </row>
    <row r="183" spans="2:13" s="107" customFormat="1" ht="12.75" customHeight="1" x14ac:dyDescent="0.4">
      <c r="B183" s="109">
        <v>44081</v>
      </c>
      <c r="C183" s="5"/>
      <c r="D183" s="6" t="str">
        <f>IF(OR(C183="",C182=""),"",LN(C183/C182))</f>
        <v/>
      </c>
      <c r="E183" s="6" t="str">
        <f>IF(D183="","",ABS(D183-$E$5)/$F$5)</f>
        <v/>
      </c>
      <c r="F183" s="6" t="str">
        <f>IF(D183="","",ABS(D183-$G$5)/$H$5)</f>
        <v/>
      </c>
      <c r="G183" s="6" t="str">
        <f>IF(D183="","",ABS(D183-$E$5)/SQRT(0.9*(IF(G182="",$F$5^2,(ABS(D182-$E$5)/MAX(G182,0.0000000001))^2))+0.1*(D183-$E$5)^2))</f>
        <v/>
      </c>
      <c r="H183" s="6" t="str">
        <f>IF(E183="","",IF(E183&gt;$I$5,"OUTLIER",""))</f>
        <v/>
      </c>
      <c r="I183" s="6" t="str">
        <f>IF(F183="","",IF(F183&gt;$I$5,"OUTLIER",""))</f>
        <v/>
      </c>
      <c r="J183" s="6" t="str">
        <f>IF(G183="","",IF(G183&gt;$I$5,"OUTLIER",""))</f>
        <v/>
      </c>
      <c r="K183" s="6" t="str">
        <f>IF(C183="","MISSING","")</f>
        <v>MISSING</v>
      </c>
      <c r="L183" s="6" t="str">
        <f>IF(AND(C183&lt;&gt;"",C182&lt;&gt;"",C183=C182),"STALE","")</f>
        <v/>
      </c>
      <c r="M183" s="110" t="str">
        <f>IF(D183="","",ABS(D183-G$5))</f>
        <v/>
      </c>
    </row>
    <row r="184" spans="2:13" s="107" customFormat="1" ht="12.75" customHeight="1" x14ac:dyDescent="0.4">
      <c r="B184" s="109">
        <v>44082</v>
      </c>
      <c r="C184" s="5">
        <v>1.1779999999999999</v>
      </c>
      <c r="D184" s="6" t="str">
        <f>IF(OR(C184="",C183=""),"",LN(C184/C183))</f>
        <v/>
      </c>
      <c r="E184" s="6" t="str">
        <f>IF(D184="","",ABS(D184-$E$5)/$F$5)</f>
        <v/>
      </c>
      <c r="F184" s="6" t="str">
        <f>IF(D184="","",ABS(D184-$G$5)/$H$5)</f>
        <v/>
      </c>
      <c r="G184" s="6" t="str">
        <f>IF(D184="","",ABS(D184-$E$5)/SQRT(0.9*(IF(G183="",$F$5^2,(ABS(D183-$E$5)/MAX(G183,0.0000000001))^2))+0.1*(D184-$E$5)^2))</f>
        <v/>
      </c>
      <c r="H184" s="6" t="str">
        <f>IF(E184="","",IF(E184&gt;$I$5,"OUTLIER",""))</f>
        <v/>
      </c>
      <c r="I184" s="6" t="str">
        <f>IF(F184="","",IF(F184&gt;$I$5,"OUTLIER",""))</f>
        <v/>
      </c>
      <c r="J184" s="6" t="str">
        <f>IF(G184="","",IF(G184&gt;$I$5,"OUTLIER",""))</f>
        <v/>
      </c>
      <c r="K184" s="6" t="str">
        <f>IF(C184="","MISSING","")</f>
        <v/>
      </c>
      <c r="L184" s="6" t="str">
        <f>IF(AND(C184&lt;&gt;"",C183&lt;&gt;"",C184=C183),"STALE","")</f>
        <v/>
      </c>
      <c r="M184" s="110" t="str">
        <f>IF(D184="","",ABS(D184-G$5))</f>
        <v/>
      </c>
    </row>
    <row r="185" spans="2:13" s="107" customFormat="1" ht="12.75" customHeight="1" x14ac:dyDescent="0.4">
      <c r="B185" s="109">
        <v>44083</v>
      </c>
      <c r="C185" s="5">
        <v>1.1819999999999999</v>
      </c>
      <c r="D185" s="6">
        <f>IF(OR(C185="",C184=""),"",LN(C185/C184))</f>
        <v>3.3898337545115241E-3</v>
      </c>
      <c r="E185" s="6">
        <f>IF(D185="","",ABS(D185-$E$5)/$F$5)</f>
        <v>0.64460819237005051</v>
      </c>
      <c r="F185" s="6">
        <f>IF(D185="","",ABS(D185-$G$5)/$H$5)</f>
        <v>1.1335556318098206</v>
      </c>
      <c r="G185" s="6">
        <f>IF(D185="","",ABS(D185-$E$5)/SQRT(0.9*(IF(G184="",$F$5^2,(ABS(D184-$E$5)/MAX(G184,0.0000000001))^2))+0.1*(D185-$E$5)^2))</f>
        <v>0.66431440838363709</v>
      </c>
      <c r="H185" s="6" t="str">
        <f>IF(E185="","",IF(E185&gt;$I$5,"OUTLIER",""))</f>
        <v/>
      </c>
      <c r="I185" s="6" t="str">
        <f>IF(F185="","",IF(F185&gt;$I$5,"OUTLIER",""))</f>
        <v/>
      </c>
      <c r="J185" s="6" t="str">
        <f>IF(G185="","",IF(G185&gt;$I$5,"OUTLIER",""))</f>
        <v/>
      </c>
      <c r="K185" s="6" t="str">
        <f>IF(C185="","MISSING","")</f>
        <v/>
      </c>
      <c r="L185" s="6" t="str">
        <f>IF(AND(C185&lt;&gt;"",C184&lt;&gt;"",C185=C184),"STALE","")</f>
        <v/>
      </c>
      <c r="M185" s="110">
        <f>IF(D185="","",ABS(D185-G$5))</f>
        <v>3.3898337545115241E-3</v>
      </c>
    </row>
    <row r="186" spans="2:13" s="107" customFormat="1" ht="12.75" customHeight="1" x14ac:dyDescent="0.4">
      <c r="B186" s="109">
        <v>44084</v>
      </c>
      <c r="C186" s="5">
        <v>1.1830000000000001</v>
      </c>
      <c r="D186" s="6">
        <f>IF(OR(C186="",C185=""),"",LN(C186/C185))</f>
        <v>8.4566601234336463E-4</v>
      </c>
      <c r="E186" s="6">
        <f>IF(D186="","",ABS(D186-$E$5)/$F$5)</f>
        <v>0.14030042249783586</v>
      </c>
      <c r="F186" s="6">
        <f>IF(D186="","",ABS(D186-$G$5)/$H$5)</f>
        <v>0.28278952312813643</v>
      </c>
      <c r="G186" s="6">
        <f>IF(D186="","",ABS(D186-$E$5)/SQRT(0.9*(IF(G185="",$F$5^2,(ABS(D185-$E$5)/MAX(G185,0.0000000001))^2))+0.1*(D186-$E$5)^2))</f>
        <v>0.15223403139452812</v>
      </c>
      <c r="H186" s="6" t="str">
        <f>IF(E186="","",IF(E186&gt;$I$5,"OUTLIER",""))</f>
        <v/>
      </c>
      <c r="I186" s="6" t="str">
        <f>IF(F186="","",IF(F186&gt;$I$5,"OUTLIER",""))</f>
        <v/>
      </c>
      <c r="J186" s="6" t="str">
        <f>IF(G186="","",IF(G186&gt;$I$5,"OUTLIER",""))</f>
        <v/>
      </c>
      <c r="K186" s="6" t="str">
        <f>IF(C186="","MISSING","")</f>
        <v/>
      </c>
      <c r="L186" s="6" t="str">
        <f>IF(AND(C186&lt;&gt;"",C185&lt;&gt;"",C186=C185),"STALE","")</f>
        <v/>
      </c>
      <c r="M186" s="110">
        <f>IF(D186="","",ABS(D186-G$5))</f>
        <v>8.4566601234336463E-4</v>
      </c>
    </row>
    <row r="187" spans="2:13" s="107" customFormat="1" ht="12.75" customHeight="1" x14ac:dyDescent="0.4">
      <c r="B187" s="109">
        <v>44085</v>
      </c>
      <c r="C187" s="5">
        <v>1.1852</v>
      </c>
      <c r="D187" s="6">
        <f>IF(OR(C187="",C186=""),"",LN(C187/C186))</f>
        <v>1.8579517210233069E-3</v>
      </c>
      <c r="E187" s="6">
        <f>IF(D187="","",ABS(D187-$E$5)/$F$5)</f>
        <v>0.34095682567306085</v>
      </c>
      <c r="F187" s="6">
        <f>IF(D187="","",ABS(D187-$G$5)/$H$5)</f>
        <v>0.62129643797242973</v>
      </c>
      <c r="G187" s="6">
        <f>IF(D187="","",ABS(D187-$E$5)/SQRT(0.9*(IF(G186="",$F$5^2,(ABS(D186-$E$5)/MAX(G186,0.0000000001))^2))+0.1*(D187-$E$5)^2))</f>
        <v>0.38703787382559568</v>
      </c>
      <c r="H187" s="6" t="str">
        <f>IF(E187="","",IF(E187&gt;$I$5,"OUTLIER",""))</f>
        <v/>
      </c>
      <c r="I187" s="6" t="str">
        <f>IF(F187="","",IF(F187&gt;$I$5,"OUTLIER",""))</f>
        <v/>
      </c>
      <c r="J187" s="6" t="str">
        <f>IF(G187="","",IF(G187&gt;$I$5,"OUTLIER",""))</f>
        <v/>
      </c>
      <c r="K187" s="6" t="str">
        <f>IF(C187="","MISSING","")</f>
        <v/>
      </c>
      <c r="L187" s="6" t="str">
        <f>IF(AND(C187&lt;&gt;"",C186&lt;&gt;"",C187=C186),"STALE","")</f>
        <v/>
      </c>
      <c r="M187" s="110">
        <f>IF(D187="","",ABS(D187-G$5))</f>
        <v>1.8579517210233069E-3</v>
      </c>
    </row>
    <row r="188" spans="2:13" s="107" customFormat="1" ht="12.75" customHeight="1" x14ac:dyDescent="0.4">
      <c r="B188" s="109">
        <v>44088</v>
      </c>
      <c r="C188" s="5">
        <v>1.1840999999999999</v>
      </c>
      <c r="D188" s="6">
        <f>IF(OR(C188="",C187=""),"",LN(C188/C187))</f>
        <v>-9.2854436249910257E-4</v>
      </c>
      <c r="E188" s="6">
        <f>IF(D188="","",ABS(D188-$E$5)/$F$5)</f>
        <v>0.21138553853020522</v>
      </c>
      <c r="F188" s="6">
        <f>IF(D188="","",ABS(D188-$G$5)/$H$5)</f>
        <v>0.31050392665872517</v>
      </c>
      <c r="G188" s="6">
        <f>IF(D188="","",ABS(D188-$E$5)/SQRT(0.9*(IF(G187="",$F$5^2,(ABS(D187-$E$5)/MAX(G187,0.0000000001))^2))+0.1*(D188-$E$5)^2))</f>
        <v>0.25212928996471595</v>
      </c>
      <c r="H188" s="6" t="str">
        <f>IF(E188="","",IF(E188&gt;$I$5,"OUTLIER",""))</f>
        <v/>
      </c>
      <c r="I188" s="6" t="str">
        <f>IF(F188="","",IF(F188&gt;$I$5,"OUTLIER",""))</f>
        <v/>
      </c>
      <c r="J188" s="6" t="str">
        <f>IF(G188="","",IF(G188&gt;$I$5,"OUTLIER",""))</f>
        <v/>
      </c>
      <c r="K188" s="6" t="str">
        <f>IF(C188="","MISSING","")</f>
        <v/>
      </c>
      <c r="L188" s="6" t="str">
        <f>IF(AND(C188&lt;&gt;"",C187&lt;&gt;"",C188=C187),"STALE","")</f>
        <v/>
      </c>
      <c r="M188" s="110">
        <f>IF(D188="","",ABS(D188-G$5))</f>
        <v>9.2854436249910257E-4</v>
      </c>
    </row>
    <row r="189" spans="2:13" s="107" customFormat="1" ht="12.75" customHeight="1" x14ac:dyDescent="0.4">
      <c r="B189" s="109">
        <v>44089</v>
      </c>
      <c r="C189" s="5">
        <v>1.1890000000000001</v>
      </c>
      <c r="D189" s="6">
        <f>IF(OR(C189="",C188=""),"",LN(C189/C188))</f>
        <v>4.1296253538707552E-3</v>
      </c>
      <c r="E189" s="6">
        <f>IF(D189="","",ABS(D189-$E$5)/$F$5)</f>
        <v>0.79125050901427796</v>
      </c>
      <c r="F189" s="6">
        <f>IF(D189="","",ABS(D189-$G$5)/$H$5)</f>
        <v>1.3809409003950914</v>
      </c>
      <c r="G189" s="6">
        <f>IF(D189="","",ABS(D189-$E$5)/SQRT(0.9*(IF(G188="",$F$5^2,(ABS(D188-$E$5)/MAX(G188,0.0000000001))^2))+0.1*(D189-$E$5)^2))</f>
        <v>0.94896205828917202</v>
      </c>
      <c r="H189" s="6" t="str">
        <f>IF(E189="","",IF(E189&gt;$I$5,"OUTLIER",""))</f>
        <v/>
      </c>
      <c r="I189" s="6" t="str">
        <f>IF(F189="","",IF(F189&gt;$I$5,"OUTLIER",""))</f>
        <v/>
      </c>
      <c r="J189" s="6" t="str">
        <f>IF(G189="","",IF(G189&gt;$I$5,"OUTLIER",""))</f>
        <v/>
      </c>
      <c r="K189" s="6" t="str">
        <f>IF(C189="","MISSING","")</f>
        <v/>
      </c>
      <c r="L189" s="6" t="str">
        <f>IF(AND(C189&lt;&gt;"",C188&lt;&gt;"",C189=C188),"STALE","")</f>
        <v/>
      </c>
      <c r="M189" s="110">
        <f>IF(D189="","",ABS(D189-G$5))</f>
        <v>4.1296253538707552E-3</v>
      </c>
    </row>
    <row r="190" spans="2:13" s="107" customFormat="1" ht="12.75" customHeight="1" x14ac:dyDescent="0.4">
      <c r="B190" s="109">
        <v>44090</v>
      </c>
      <c r="C190" s="5">
        <v>1.1762999999999999</v>
      </c>
      <c r="D190" s="6">
        <f>IF(OR(C190="",C189=""),"",LN(C190/C189))</f>
        <v>-1.0738698724386356E-2</v>
      </c>
      <c r="E190" s="6">
        <f>IF(D190="","",ABS(D190-$E$5)/$F$5)</f>
        <v>2.1559652870845913</v>
      </c>
      <c r="F190" s="6">
        <f>IF(D190="","",ABS(D190-$G$5)/$H$5)</f>
        <v>3.591005724435949</v>
      </c>
      <c r="G190" s="6">
        <f>IF(D190="","",ABS(D190-$E$5)/SQRT(0.9*(IF(G189="",$F$5^2,(ABS(D189-$E$5)/MAX(G189,0.0000000001))^2))+0.1*(D190-$E$5)^2))</f>
        <v>2.0645400293642271</v>
      </c>
      <c r="H190" s="6" t="str">
        <f>IF(E190="","",IF(E190&gt;$I$5,"OUTLIER",""))</f>
        <v/>
      </c>
      <c r="I190" s="6" t="str">
        <f>IF(F190="","",IF(F190&gt;$I$5,"OUTLIER",""))</f>
        <v>OUTLIER</v>
      </c>
      <c r="J190" s="6" t="str">
        <f>IF(G190="","",IF(G190&gt;$I$5,"OUTLIER",""))</f>
        <v/>
      </c>
      <c r="K190" s="6" t="str">
        <f>IF(C190="","MISSING","")</f>
        <v/>
      </c>
      <c r="L190" s="6" t="str">
        <f>IF(AND(C190&lt;&gt;"",C189&lt;&gt;"",C190=C189),"STALE","")</f>
        <v/>
      </c>
      <c r="M190" s="110">
        <f>IF(D190="","",ABS(D190-G$5))</f>
        <v>1.0738698724386356E-2</v>
      </c>
    </row>
    <row r="191" spans="2:13" s="107" customFormat="1" ht="12.75" customHeight="1" x14ac:dyDescent="0.4">
      <c r="B191" s="109">
        <v>44091</v>
      </c>
      <c r="C191" s="5">
        <v>1.1759999999999999</v>
      </c>
      <c r="D191" s="6">
        <f>IF(OR(C191="",C190=""),"",LN(C191/C190))</f>
        <v>-2.5506950782337511E-4</v>
      </c>
      <c r="E191" s="6">
        <f>IF(D191="","",ABS(D191-$E$5)/$F$5)</f>
        <v>7.7888601045616512E-2</v>
      </c>
      <c r="F191" s="6">
        <f>IF(D191="","",ABS(D191-$G$5)/$H$5)</f>
        <v>8.5294884066611232E-2</v>
      </c>
      <c r="G191" s="6">
        <f>IF(D191="","",ABS(D191-$E$5)/SQRT(0.9*(IF(G190="",$F$5^2,(ABS(D190-$E$5)/MAX(G190,0.0000000001))^2))+0.1*(D191-$E$5)^2))</f>
        <v>7.8595921894650769E-2</v>
      </c>
      <c r="H191" s="6" t="str">
        <f>IF(E191="","",IF(E191&gt;$I$5,"OUTLIER",""))</f>
        <v/>
      </c>
      <c r="I191" s="6" t="str">
        <f>IF(F191="","",IF(F191&gt;$I$5,"OUTLIER",""))</f>
        <v/>
      </c>
      <c r="J191" s="6" t="str">
        <f>IF(G191="","",IF(G191&gt;$I$5,"OUTLIER",""))</f>
        <v/>
      </c>
      <c r="K191" s="6" t="str">
        <f>IF(C191="","MISSING","")</f>
        <v/>
      </c>
      <c r="L191" s="6" t="str">
        <f>IF(AND(C191&lt;&gt;"",C190&lt;&gt;"",C191=C190),"STALE","")</f>
        <v/>
      </c>
      <c r="M191" s="110">
        <f>IF(D191="","",ABS(D191-G$5))</f>
        <v>2.5506950782337511E-4</v>
      </c>
    </row>
    <row r="192" spans="2:13" s="107" customFormat="1" ht="12.75" customHeight="1" x14ac:dyDescent="0.4">
      <c r="B192" s="109">
        <v>44092</v>
      </c>
      <c r="C192" s="5">
        <v>1.1835</v>
      </c>
      <c r="D192" s="6">
        <f>IF(OR(C192="",C191=""),"",LN(C192/C191))</f>
        <v>6.3573004954664983E-3</v>
      </c>
      <c r="E192" s="6">
        <f>IF(D192="","",ABS(D192-$E$5)/$F$5)</f>
        <v>1.2328227623046686</v>
      </c>
      <c r="F192" s="6">
        <f>IF(D192="","",ABS(D192-$G$5)/$H$5)</f>
        <v>2.1258723293295687</v>
      </c>
      <c r="G192" s="6">
        <f>IF(D192="","",ABS(D192-$E$5)/SQRT(0.9*(IF(G191="",$F$5^2,(ABS(D191-$E$5)/MAX(G191,0.0000000001))^2))+0.1*(D192-$E$5)^2))</f>
        <v>1.2112960751515813</v>
      </c>
      <c r="H192" s="6" t="str">
        <f>IF(E192="","",IF(E192&gt;$I$5,"OUTLIER",""))</f>
        <v/>
      </c>
      <c r="I192" s="6" t="str">
        <f>IF(F192="","",IF(F192&gt;$I$5,"OUTLIER",""))</f>
        <v/>
      </c>
      <c r="J192" s="6" t="str">
        <f>IF(G192="","",IF(G192&gt;$I$5,"OUTLIER",""))</f>
        <v/>
      </c>
      <c r="K192" s="6" t="str">
        <f>IF(C192="","MISSING","")</f>
        <v/>
      </c>
      <c r="L192" s="6" t="str">
        <f>IF(AND(C192&lt;&gt;"",C191&lt;&gt;"",C192=C191),"STALE","")</f>
        <v/>
      </c>
      <c r="M192" s="110">
        <f>IF(D192="","",ABS(D192-G$5))</f>
        <v>6.3573004954664983E-3</v>
      </c>
    </row>
    <row r="193" spans="2:13" s="107" customFormat="1" ht="12.75" customHeight="1" x14ac:dyDescent="0.4">
      <c r="B193" s="109">
        <v>44095</v>
      </c>
      <c r="C193" s="5">
        <v>1.1737</v>
      </c>
      <c r="D193" s="6">
        <f>IF(OR(C193="",C192=""),"",LN(C193/C192))</f>
        <v>-8.3149978479604598E-3</v>
      </c>
      <c r="E193" s="6">
        <f>IF(D193="","",ABS(D193-$E$5)/$F$5)</f>
        <v>1.6755365938153222</v>
      </c>
      <c r="F193" s="6">
        <f>IF(D193="","",ABS(D193-$G$5)/$H$5)</f>
        <v>2.7805235659411669</v>
      </c>
      <c r="G193" s="6">
        <f>IF(D193="","",ABS(D193-$E$5)/SQRT(0.9*(IF(G192="",$F$5^2,(ABS(D192-$E$5)/MAX(G192,0.0000000001))^2))+0.1*(D193-$E$5)^2))</f>
        <v>1.5213206229929106</v>
      </c>
      <c r="H193" s="6" t="str">
        <f>IF(E193="","",IF(E193&gt;$I$5,"OUTLIER",""))</f>
        <v/>
      </c>
      <c r="I193" s="6" t="str">
        <f>IF(F193="","",IF(F193&gt;$I$5,"OUTLIER",""))</f>
        <v/>
      </c>
      <c r="J193" s="6" t="str">
        <f>IF(G193="","",IF(G193&gt;$I$5,"OUTLIER",""))</f>
        <v/>
      </c>
      <c r="K193" s="6" t="str">
        <f>IF(C193="","MISSING","")</f>
        <v/>
      </c>
      <c r="L193" s="6" t="str">
        <f>IF(AND(C193&lt;&gt;"",C192&lt;&gt;"",C193=C192),"STALE","")</f>
        <v/>
      </c>
      <c r="M193" s="110">
        <f>IF(D193="","",ABS(D193-G$5))</f>
        <v>8.3149978479604598E-3</v>
      </c>
    </row>
    <row r="194" spans="2:13" s="107" customFormat="1" ht="12.75" customHeight="1" x14ac:dyDescent="0.4">
      <c r="B194" s="109">
        <v>44096</v>
      </c>
      <c r="C194" s="5">
        <v>1.1741999999999999</v>
      </c>
      <c r="D194" s="6">
        <f>IF(OR(C194="",C193=""),"",LN(C194/C193))</f>
        <v>4.2591252400736568E-4</v>
      </c>
      <c r="E194" s="6">
        <f>IF(D194="","",ABS(D194-$E$5)/$F$5)</f>
        <v>5.7096417474798065E-2</v>
      </c>
      <c r="F194" s="6">
        <f>IF(D194="","",ABS(D194-$G$5)/$H$5)</f>
        <v>0.1424245479898042</v>
      </c>
      <c r="G194" s="6">
        <f>IF(D194="","",ABS(D194-$E$5)/SQRT(0.9*(IF(G193="",$F$5^2,(ABS(D193-$E$5)/MAX(G193,0.0000000001))^2))+0.1*(D194-$E$5)^2))</f>
        <v>5.4637347391363215E-2</v>
      </c>
      <c r="H194" s="6" t="str">
        <f>IF(E194="","",IF(E194&gt;$I$5,"OUTLIER",""))</f>
        <v/>
      </c>
      <c r="I194" s="6" t="str">
        <f>IF(F194="","",IF(F194&gt;$I$5,"OUTLIER",""))</f>
        <v/>
      </c>
      <c r="J194" s="6" t="str">
        <f>IF(G194="","",IF(G194&gt;$I$5,"OUTLIER",""))</f>
        <v/>
      </c>
      <c r="K194" s="6" t="str">
        <f>IF(C194="","MISSING","")</f>
        <v/>
      </c>
      <c r="L194" s="6" t="str">
        <f>IF(AND(C194&lt;&gt;"",C193&lt;&gt;"",C194=C193),"STALE","")</f>
        <v/>
      </c>
      <c r="M194" s="110">
        <f>IF(D194="","",ABS(D194-G$5))</f>
        <v>4.2591252400736568E-4</v>
      </c>
    </row>
    <row r="195" spans="2:13" s="107" customFormat="1" ht="12.75" customHeight="1" x14ac:dyDescent="0.4">
      <c r="B195" s="109">
        <v>44097</v>
      </c>
      <c r="C195" s="5">
        <v>1.1637999999999999</v>
      </c>
      <c r="D195" s="6">
        <f>IF(OR(C195="",C194=""),"",LN(C195/C194))</f>
        <v>-8.8965514075159905E-3</v>
      </c>
      <c r="E195" s="6">
        <f>IF(D195="","",ABS(D195-$E$5)/$F$5)</f>
        <v>1.7908127895707013</v>
      </c>
      <c r="F195" s="6">
        <f>IF(D195="","",ABS(D195-$G$5)/$H$5)</f>
        <v>2.9749942569465473</v>
      </c>
      <c r="G195" s="6">
        <f>IF(D195="","",ABS(D195-$E$5)/SQRT(0.9*(IF(G194="",$F$5^2,(ABS(D194-$E$5)/MAX(G194,0.0000000001))^2))+0.1*(D195-$E$5)^2))</f>
        <v>1.5685144133829962</v>
      </c>
      <c r="H195" s="6" t="str">
        <f>IF(E195="","",IF(E195&gt;$I$5,"OUTLIER",""))</f>
        <v/>
      </c>
      <c r="I195" s="6" t="str">
        <f>IF(F195="","",IF(F195&gt;$I$5,"OUTLIER",""))</f>
        <v/>
      </c>
      <c r="J195" s="6" t="str">
        <f>IF(G195="","",IF(G195&gt;$I$5,"OUTLIER",""))</f>
        <v/>
      </c>
      <c r="K195" s="6" t="str">
        <f>IF(C195="","MISSING","")</f>
        <v/>
      </c>
      <c r="L195" s="6" t="str">
        <f>IF(AND(C195&lt;&gt;"",C194&lt;&gt;"",C195=C194),"STALE","")</f>
        <v/>
      </c>
      <c r="M195" s="110">
        <f>IF(D195="","",ABS(D195-G$5))</f>
        <v>8.8965514075159905E-3</v>
      </c>
    </row>
    <row r="196" spans="2:13" s="107" customFormat="1" ht="12.75" customHeight="1" x14ac:dyDescent="0.4">
      <c r="B196" s="109">
        <v>44098</v>
      </c>
      <c r="C196" s="5">
        <v>1.1635</v>
      </c>
      <c r="D196" s="6">
        <f>IF(OR(C196="",C195=""),"",LN(C196/C195))</f>
        <v>-2.5780948022315092E-4</v>
      </c>
      <c r="E196" s="6">
        <f>IF(D196="","",ABS(D196-$E$5)/$F$5)</f>
        <v>7.8431721433293772E-2</v>
      </c>
      <c r="F196" s="6">
        <f>IF(D196="","",ABS(D196-$G$5)/$H$5)</f>
        <v>8.6211126976941471E-2</v>
      </c>
      <c r="G196" s="6">
        <f>IF(D196="","",ABS(D196-$E$5)/SQRT(0.9*(IF(G195="",$F$5^2,(ABS(D195-$E$5)/MAX(G195,0.0000000001))^2))+0.1*(D196-$E$5)^2))</f>
        <v>7.2392735653620852E-2</v>
      </c>
      <c r="H196" s="6" t="str">
        <f>IF(E196="","",IF(E196&gt;$I$5,"OUTLIER",""))</f>
        <v/>
      </c>
      <c r="I196" s="6" t="str">
        <f>IF(F196="","",IF(F196&gt;$I$5,"OUTLIER",""))</f>
        <v/>
      </c>
      <c r="J196" s="6" t="str">
        <f>IF(G196="","",IF(G196&gt;$I$5,"OUTLIER",""))</f>
        <v/>
      </c>
      <c r="K196" s="6" t="str">
        <f>IF(C196="","MISSING","")</f>
        <v/>
      </c>
      <c r="L196" s="6" t="str">
        <f>IF(AND(C196&lt;&gt;"",C195&lt;&gt;"",C196=C195),"STALE","")</f>
        <v/>
      </c>
      <c r="M196" s="110">
        <f>IF(D196="","",ABS(D196-G$5))</f>
        <v>2.5780948022315092E-4</v>
      </c>
    </row>
    <row r="197" spans="2:13" s="107" customFormat="1" ht="12.75" customHeight="1" x14ac:dyDescent="0.4">
      <c r="B197" s="109">
        <v>44099</v>
      </c>
      <c r="C197" s="5">
        <v>1.1665000000000001</v>
      </c>
      <c r="D197" s="6">
        <f>IF(OR(C197="",C196=""),"",LN(C197/C196))</f>
        <v>2.5751087191383955E-3</v>
      </c>
      <c r="E197" s="6">
        <f>IF(D197="","",ABS(D197-$E$5)/$F$5)</f>
        <v>0.48311248639197879</v>
      </c>
      <c r="F197" s="6">
        <f>IF(D197="","",ABS(D197-$G$5)/$H$5)</f>
        <v>0.8611127277899604</v>
      </c>
      <c r="G197" s="6">
        <f>IF(D197="","",ABS(D197-$E$5)/SQRT(0.9*(IF(G196="",$F$5^2,(ABS(D196-$E$5)/MAX(G196,0.0000000001))^2))+0.1*(D197-$E$5)^2))</f>
        <v>0.46492722621259136</v>
      </c>
      <c r="H197" s="6" t="str">
        <f>IF(E197="","",IF(E197&gt;$I$5,"OUTLIER",""))</f>
        <v/>
      </c>
      <c r="I197" s="6" t="str">
        <f>IF(F197="","",IF(F197&gt;$I$5,"OUTLIER",""))</f>
        <v/>
      </c>
      <c r="J197" s="6" t="str">
        <f>IF(G197="","",IF(G197&gt;$I$5,"OUTLIER",""))</f>
        <v/>
      </c>
      <c r="K197" s="6" t="str">
        <f>IF(C197="","MISSING","")</f>
        <v/>
      </c>
      <c r="L197" s="6" t="str">
        <f>IF(AND(C197&lt;&gt;"",C196&lt;&gt;"",C197=C196),"STALE","")</f>
        <v/>
      </c>
      <c r="M197" s="110">
        <f>IF(D197="","",ABS(D197-G$5))</f>
        <v>2.5751087191383955E-3</v>
      </c>
    </row>
    <row r="198" spans="2:13" s="107" customFormat="1" ht="12.75" customHeight="1" x14ac:dyDescent="0.4">
      <c r="B198" s="109">
        <v>44102</v>
      </c>
      <c r="C198" s="5">
        <v>1.1735</v>
      </c>
      <c r="D198" s="6">
        <f>IF(OR(C198="",C197=""),"",LN(C198/C197))</f>
        <v>5.9829238295935495E-3</v>
      </c>
      <c r="E198" s="6">
        <f>IF(D198="","",ABS(D198-$E$5)/$F$5)</f>
        <v>1.1586134016837824</v>
      </c>
      <c r="F198" s="6">
        <f>IF(D198="","",ABS(D198-$G$5)/$H$5)</f>
        <v>2.0006812996946604</v>
      </c>
      <c r="G198" s="6">
        <f>IF(D198="","",ABS(D198-$E$5)/SQRT(0.9*(IF(G197="",$F$5^2,(ABS(D197-$E$5)/MAX(G197,0.0000000001))^2))+0.1*(D198-$E$5)^2))</f>
        <v>1.1016835386203174</v>
      </c>
      <c r="H198" s="6" t="str">
        <f>IF(E198="","",IF(E198&gt;$I$5,"OUTLIER",""))</f>
        <v/>
      </c>
      <c r="I198" s="6" t="str">
        <f>IF(F198="","",IF(F198&gt;$I$5,"OUTLIER",""))</f>
        <v/>
      </c>
      <c r="J198" s="6" t="str">
        <f>IF(G198="","",IF(G198&gt;$I$5,"OUTLIER",""))</f>
        <v/>
      </c>
      <c r="K198" s="6" t="str">
        <f>IF(C198="","MISSING","")</f>
        <v/>
      </c>
      <c r="L198" s="6" t="str">
        <f>IF(AND(C198&lt;&gt;"",C197&lt;&gt;"",C198=C197),"STALE","")</f>
        <v/>
      </c>
      <c r="M198" s="110">
        <f>IF(D198="","",ABS(D198-G$5))</f>
        <v>5.9829238295935495E-3</v>
      </c>
    </row>
    <row r="199" spans="2:13" s="107" customFormat="1" ht="12.75" customHeight="1" x14ac:dyDescent="0.4">
      <c r="B199" s="109">
        <v>44103</v>
      </c>
      <c r="C199" s="5">
        <v>1.1755</v>
      </c>
      <c r="D199" s="6">
        <f>IF(OR(C199="",C198=""),"",LN(C199/C198))</f>
        <v>1.7028526890459871E-3</v>
      </c>
      <c r="E199" s="6">
        <f>IF(D199="","",ABS(D199-$E$5)/$F$5)</f>
        <v>0.31021292241958914</v>
      </c>
      <c r="F199" s="6">
        <f>IF(D199="","",ABS(D199-$G$5)/$H$5)</f>
        <v>0.56943154018735331</v>
      </c>
      <c r="G199" s="6">
        <f>IF(D199="","",ABS(D199-$E$5)/SQRT(0.9*(IF(G198="",$F$5^2,(ABS(D198-$E$5)/MAX(G198,0.0000000001))^2))+0.1*(D199-$E$5)^2))</f>
        <v>0.3094338036422683</v>
      </c>
      <c r="H199" s="6" t="str">
        <f>IF(E199="","",IF(E199&gt;$I$5,"OUTLIER",""))</f>
        <v/>
      </c>
      <c r="I199" s="6" t="str">
        <f>IF(F199="","",IF(F199&gt;$I$5,"OUTLIER",""))</f>
        <v/>
      </c>
      <c r="J199" s="6" t="str">
        <f>IF(G199="","",IF(G199&gt;$I$5,"OUTLIER",""))</f>
        <v/>
      </c>
      <c r="K199" s="6" t="str">
        <f>IF(C199="","MISSING","")</f>
        <v/>
      </c>
      <c r="L199" s="6" t="str">
        <f>IF(AND(C199&lt;&gt;"",C198&lt;&gt;"",C199=C198),"STALE","")</f>
        <v/>
      </c>
      <c r="M199" s="110">
        <f>IF(D199="","",ABS(D199-G$5))</f>
        <v>1.7028526890459871E-3</v>
      </c>
    </row>
    <row r="200" spans="2:13" s="107" customFormat="1" ht="12.75" customHeight="1" x14ac:dyDescent="0.4">
      <c r="B200" s="109">
        <v>44104</v>
      </c>
      <c r="C200" s="5">
        <v>1.1727000000000001</v>
      </c>
      <c r="D200" s="6">
        <f>IF(OR(C200="",C199=""),"",LN(C200/C199))</f>
        <v>-2.3848065131052785E-3</v>
      </c>
      <c r="E200" s="6">
        <f>IF(D200="","",ABS(D200-$E$5)/$F$5)</f>
        <v>0.50004744762887599</v>
      </c>
      <c r="F200" s="6">
        <f>IF(D200="","",ABS(D200-$G$5)/$H$5)</f>
        <v>0.79747593819590623</v>
      </c>
      <c r="G200" s="6">
        <f>IF(D200="","",ABS(D200-$E$5)/SQRT(0.9*(IF(G199="",$F$5^2,(ABS(D199-$E$5)/MAX(G199,0.0000000001))^2))+0.1*(D200-$E$5)^2))</f>
        <v>0.51865259559646248</v>
      </c>
      <c r="H200" s="6" t="str">
        <f>IF(E200="","",IF(E200&gt;$I$5,"OUTLIER",""))</f>
        <v/>
      </c>
      <c r="I200" s="6" t="str">
        <f>IF(F200="","",IF(F200&gt;$I$5,"OUTLIER",""))</f>
        <v/>
      </c>
      <c r="J200" s="6" t="str">
        <f>IF(G200="","",IF(G200&gt;$I$5,"OUTLIER",""))</f>
        <v/>
      </c>
      <c r="K200" s="6" t="str">
        <f>IF(C200="","MISSING","")</f>
        <v/>
      </c>
      <c r="L200" s="6" t="str">
        <f>IF(AND(C200&lt;&gt;"",C199&lt;&gt;"",C200=C199),"STALE","")</f>
        <v/>
      </c>
      <c r="M200" s="110">
        <f>IF(D200="","",ABS(D200-G$5))</f>
        <v>2.3848065131052785E-3</v>
      </c>
    </row>
    <row r="201" spans="2:13" s="107" customFormat="1" ht="12.75" customHeight="1" x14ac:dyDescent="0.4">
      <c r="B201" s="109">
        <v>44105</v>
      </c>
      <c r="C201" s="5">
        <v>1.1751</v>
      </c>
      <c r="D201" s="6">
        <f>IF(OR(C201="",C200=""),"",LN(C201/C200))</f>
        <v>2.0444678728765648E-3</v>
      </c>
      <c r="E201" s="6">
        <f>IF(D201="","",ABS(D201-$E$5)/$F$5)</f>
        <v>0.37792826549884206</v>
      </c>
      <c r="F201" s="6">
        <f>IF(D201="","",ABS(D201-$G$5)/$H$5)</f>
        <v>0.68366717638264507</v>
      </c>
      <c r="G201" s="6">
        <f>IF(D201="","",ABS(D201-$E$5)/SQRT(0.9*(IF(G200="",$F$5^2,(ABS(D200-$E$5)/MAX(G200,0.0000000001))^2))+0.1*(D201-$E$5)^2))</f>
        <v>0.4097108095002685</v>
      </c>
      <c r="H201" s="6" t="str">
        <f>IF(E201="","",IF(E201&gt;$I$5,"OUTLIER",""))</f>
        <v/>
      </c>
      <c r="I201" s="6" t="str">
        <f>IF(F201="","",IF(F201&gt;$I$5,"OUTLIER",""))</f>
        <v/>
      </c>
      <c r="J201" s="6" t="str">
        <f>IF(G201="","",IF(G201&gt;$I$5,"OUTLIER",""))</f>
        <v/>
      </c>
      <c r="K201" s="6" t="str">
        <f>IF(C201="","MISSING","")</f>
        <v/>
      </c>
      <c r="L201" s="6" t="str">
        <f>IF(AND(C201&lt;&gt;"",C200&lt;&gt;"",C201=C200),"STALE","")</f>
        <v/>
      </c>
      <c r="M201" s="110">
        <f>IF(D201="","",ABS(D201-G$5))</f>
        <v>2.0444678728765648E-3</v>
      </c>
    </row>
    <row r="202" spans="2:13" s="107" customFormat="1" ht="12.75" customHeight="1" x14ac:dyDescent="0.4">
      <c r="B202" s="109">
        <v>44106</v>
      </c>
      <c r="C202" s="5">
        <v>1.1763999999999999</v>
      </c>
      <c r="D202" s="6">
        <f>IF(OR(C202="",C201=""),"",LN(C202/C201))</f>
        <v>1.1056773399445792E-3</v>
      </c>
      <c r="E202" s="6">
        <f>IF(D202="","",ABS(D202-$E$5)/$F$5)</f>
        <v>0.19184015810203622</v>
      </c>
      <c r="F202" s="6">
        <f>IF(D202="","",ABS(D202-$G$5)/$H$5)</f>
        <v>0.36973694476627417</v>
      </c>
      <c r="G202" s="6">
        <f>IF(D202="","",ABS(D202-$E$5)/SQRT(0.9*(IF(G201="",$F$5^2,(ABS(D201-$E$5)/MAX(G201,0.0000000001))^2))+0.1*(D202-$E$5)^2))</f>
        <v>0.21869821261260891</v>
      </c>
      <c r="H202" s="6" t="str">
        <f>IF(E202="","",IF(E202&gt;$I$5,"OUTLIER",""))</f>
        <v/>
      </c>
      <c r="I202" s="6" t="str">
        <f>IF(F202="","",IF(F202&gt;$I$5,"OUTLIER",""))</f>
        <v/>
      </c>
      <c r="J202" s="6" t="str">
        <f>IF(G202="","",IF(G202&gt;$I$5,"OUTLIER",""))</f>
        <v/>
      </c>
      <c r="K202" s="6" t="str">
        <f>IF(C202="","MISSING","")</f>
        <v/>
      </c>
      <c r="L202" s="6" t="str">
        <f>IF(AND(C202&lt;&gt;"",C201&lt;&gt;"",C202=C201),"STALE","")</f>
        <v/>
      </c>
      <c r="M202" s="110">
        <f>IF(D202="","",ABS(D202-G$5))</f>
        <v>1.1056773399445792E-3</v>
      </c>
    </row>
    <row r="203" spans="2:13" s="107" customFormat="1" ht="12.75" customHeight="1" x14ac:dyDescent="0.4">
      <c r="B203" s="109">
        <v>44109</v>
      </c>
      <c r="C203" s="5">
        <v>1.1753</v>
      </c>
      <c r="D203" s="6">
        <f>IF(OR(C203="",C202=""),"",LN(C203/C202))</f>
        <v>-9.354935410314021E-4</v>
      </c>
      <c r="E203" s="6">
        <f>IF(D203="","",ABS(D203-$E$5)/$F$5)</f>
        <v>0.21276301245615054</v>
      </c>
      <c r="F203" s="6">
        <f>IF(D203="","",ABS(D203-$G$5)/$H$5)</f>
        <v>0.31282772216971627</v>
      </c>
      <c r="G203" s="6">
        <f>IF(D203="","",ABS(D203-$E$5)/SQRT(0.9*(IF(G202="",$F$5^2,(ABS(D202-$E$5)/MAX(G202,0.0000000001))^2))+0.1*(D203-$E$5)^2))</f>
        <v>0.25483892838978101</v>
      </c>
      <c r="H203" s="6" t="str">
        <f>IF(E203="","",IF(E203&gt;$I$5,"OUTLIER",""))</f>
        <v/>
      </c>
      <c r="I203" s="6" t="str">
        <f>IF(F203="","",IF(F203&gt;$I$5,"OUTLIER",""))</f>
        <v/>
      </c>
      <c r="J203" s="6" t="str">
        <f>IF(G203="","",IF(G203&gt;$I$5,"OUTLIER",""))</f>
        <v/>
      </c>
      <c r="K203" s="6" t="str">
        <f>IF(C203="","MISSING","")</f>
        <v/>
      </c>
      <c r="L203" s="6" t="str">
        <f>IF(AND(C203&lt;&gt;"",C202&lt;&gt;"",C203=C202),"STALE","")</f>
        <v/>
      </c>
      <c r="M203" s="110">
        <f>IF(D203="","",ABS(D203-G$5))</f>
        <v>9.354935410314021E-4</v>
      </c>
    </row>
    <row r="204" spans="2:13" s="107" customFormat="1" ht="12.75" customHeight="1" x14ac:dyDescent="0.4">
      <c r="B204" s="109">
        <v>44110</v>
      </c>
      <c r="C204" s="5">
        <v>1.1745000000000001</v>
      </c>
      <c r="D204" s="6">
        <f>IF(OR(C204="",C203=""),"",LN(C204/C203))</f>
        <v>-6.8090903984087067E-4</v>
      </c>
      <c r="E204" s="6">
        <f>IF(D204="","",ABS(D204-$E$5)/$F$5)</f>
        <v>0.16229898844096788</v>
      </c>
      <c r="F204" s="6">
        <f>IF(D204="","",ABS(D204-$G$5)/$H$5)</f>
        <v>0.22769502363783614</v>
      </c>
      <c r="G204" s="6">
        <f>IF(D204="","",ABS(D204-$E$5)/SQRT(0.9*(IF(G203="",$F$5^2,(ABS(D203-$E$5)/MAX(G203,0.0000000001))^2))+0.1*(D204-$E$5)^2))</f>
        <v>0.2044816505138165</v>
      </c>
      <c r="H204" s="6" t="str">
        <f>IF(E204="","",IF(E204&gt;$I$5,"OUTLIER",""))</f>
        <v/>
      </c>
      <c r="I204" s="6" t="str">
        <f>IF(F204="","",IF(F204&gt;$I$5,"OUTLIER",""))</f>
        <v/>
      </c>
      <c r="J204" s="6" t="str">
        <f>IF(G204="","",IF(G204&gt;$I$5,"OUTLIER",""))</f>
        <v/>
      </c>
      <c r="K204" s="6" t="str">
        <f>IF(C204="","MISSING","")</f>
        <v/>
      </c>
      <c r="L204" s="6" t="str">
        <f>IF(AND(C204&lt;&gt;"",C203&lt;&gt;"",C204=C203),"STALE","")</f>
        <v/>
      </c>
      <c r="M204" s="110">
        <f>IF(D204="","",ABS(D204-G$5))</f>
        <v>6.8090903984087067E-4</v>
      </c>
    </row>
    <row r="205" spans="2:13" s="107" customFormat="1" ht="12.75" customHeight="1" x14ac:dyDescent="0.4">
      <c r="B205" s="109">
        <v>44111</v>
      </c>
      <c r="C205" s="5">
        <v>1.1754</v>
      </c>
      <c r="D205" s="6">
        <f>IF(OR(C205="",C204=""),"",LN(C205/C204))</f>
        <v>7.6599007958241523E-4</v>
      </c>
      <c r="E205" s="6">
        <f>IF(D205="","",ABS(D205-$E$5)/$F$5)</f>
        <v>0.12450697016480684</v>
      </c>
      <c r="F205" s="6">
        <f>IF(D205="","",ABS(D205-$G$5)/$H$5)</f>
        <v>0.25614600346270389</v>
      </c>
      <c r="G205" s="6">
        <f>IF(D205="","",ABS(D205-$E$5)/SQRT(0.9*(IF(G204="",$F$5^2,(ABS(D204-$E$5)/MAX(G204,0.0000000001))^2))+0.1*(D205-$E$5)^2))</f>
        <v>0.1651269794618459</v>
      </c>
      <c r="H205" s="6" t="str">
        <f>IF(E205="","",IF(E205&gt;$I$5,"OUTLIER",""))</f>
        <v/>
      </c>
      <c r="I205" s="6" t="str">
        <f>IF(F205="","",IF(F205&gt;$I$5,"OUTLIER",""))</f>
        <v/>
      </c>
      <c r="J205" s="6" t="str">
        <f>IF(G205="","",IF(G205&gt;$I$5,"OUTLIER",""))</f>
        <v/>
      </c>
      <c r="K205" s="6" t="str">
        <f>IF(C205="","MISSING","")</f>
        <v/>
      </c>
      <c r="L205" s="6" t="str">
        <f>IF(AND(C205&lt;&gt;"",C204&lt;&gt;"",C205=C204),"STALE","")</f>
        <v/>
      </c>
      <c r="M205" s="110">
        <f>IF(D205="","",ABS(D205-G$5))</f>
        <v>7.6599007958241523E-4</v>
      </c>
    </row>
    <row r="206" spans="2:13" s="107" customFormat="1" ht="12.75" customHeight="1" x14ac:dyDescent="0.4">
      <c r="B206" s="109">
        <v>44112</v>
      </c>
      <c r="C206" s="5">
        <v>1.1769000000000001</v>
      </c>
      <c r="D206" s="6">
        <f>IF(OR(C206="",C205=""),"",LN(C206/C205))</f>
        <v>1.275347705066637E-3</v>
      </c>
      <c r="E206" s="6">
        <f>IF(D206="","",ABS(D206-$E$5)/$F$5)</f>
        <v>0.22547240727723775</v>
      </c>
      <c r="F206" s="6">
        <f>IF(D206="","",ABS(D206-$G$5)/$H$5)</f>
        <v>0.42647447582642262</v>
      </c>
      <c r="G206" s="6">
        <f>IF(D206="","",ABS(D206-$E$5)/SQRT(0.9*(IF(G205="",$F$5^2,(ABS(D205-$E$5)/MAX(G205,0.0000000001))^2))+0.1*(D206-$E$5)^2))</f>
        <v>0.31365317163286188</v>
      </c>
      <c r="H206" s="6" t="str">
        <f>IF(E206="","",IF(E206&gt;$I$5,"OUTLIER",""))</f>
        <v/>
      </c>
      <c r="I206" s="6" t="str">
        <f>IF(F206="","",IF(F206&gt;$I$5,"OUTLIER",""))</f>
        <v/>
      </c>
      <c r="J206" s="6" t="str">
        <f>IF(G206="","",IF(G206&gt;$I$5,"OUTLIER",""))</f>
        <v/>
      </c>
      <c r="K206" s="6" t="str">
        <f>IF(C206="","MISSING","")</f>
        <v/>
      </c>
      <c r="L206" s="6" t="str">
        <f>IF(AND(C206&lt;&gt;"",C205&lt;&gt;"",C206=C205),"STALE","")</f>
        <v/>
      </c>
      <c r="M206" s="110">
        <f>IF(D206="","",ABS(D206-G$5))</f>
        <v>1.275347705066637E-3</v>
      </c>
    </row>
    <row r="207" spans="2:13" s="107" customFormat="1" ht="12.75" customHeight="1" x14ac:dyDescent="0.4">
      <c r="B207" s="109">
        <v>44113</v>
      </c>
      <c r="C207" s="5">
        <v>1.1819999999999999</v>
      </c>
      <c r="D207" s="6">
        <f>IF(OR(C207="",C206=""),"",LN(C207/C206))</f>
        <v>4.324056082426875E-3</v>
      </c>
      <c r="E207" s="6">
        <f>IF(D207="","",ABS(D207-$E$5)/$F$5)</f>
        <v>0.82979078506903436</v>
      </c>
      <c r="F207" s="6">
        <f>IF(D207="","",ABS(D207-$G$5)/$H$5)</f>
        <v>1.445958262104452</v>
      </c>
      <c r="G207" s="6">
        <f>IF(D207="","",ABS(D207-$E$5)/SQRT(0.9*(IF(G206="",$F$5^2,(ABS(D206-$E$5)/MAX(G206,0.0000000001))^2))+0.1*(D207-$E$5)^2))</f>
        <v>1.1355945691652489</v>
      </c>
      <c r="H207" s="6" t="str">
        <f>IF(E207="","",IF(E207&gt;$I$5,"OUTLIER",""))</f>
        <v/>
      </c>
      <c r="I207" s="6" t="str">
        <f>IF(F207="","",IF(F207&gt;$I$5,"OUTLIER",""))</f>
        <v/>
      </c>
      <c r="J207" s="6" t="str">
        <f>IF(G207="","",IF(G207&gt;$I$5,"OUTLIER",""))</f>
        <v/>
      </c>
      <c r="K207" s="6" t="str">
        <f>IF(C207="","MISSING","")</f>
        <v/>
      </c>
      <c r="L207" s="6" t="str">
        <f>IF(AND(C207&lt;&gt;"",C206&lt;&gt;"",C207=C206),"STALE","")</f>
        <v/>
      </c>
      <c r="M207" s="110">
        <f>IF(D207="","",ABS(D207-G$5))</f>
        <v>4.324056082426875E-3</v>
      </c>
    </row>
    <row r="208" spans="2:13" s="107" customFormat="1" ht="12.75" customHeight="1" x14ac:dyDescent="0.4">
      <c r="B208" s="109">
        <v>44116</v>
      </c>
      <c r="C208" s="5">
        <v>1.1827000000000001</v>
      </c>
      <c r="D208" s="6">
        <f>IF(OR(C208="",C207=""),"",LN(C208/C207))</f>
        <v>5.9204129102781954E-4</v>
      </c>
      <c r="E208" s="6">
        <f>IF(D208="","",ABS(D208-$E$5)/$F$5)</f>
        <v>9.0026647120862127E-2</v>
      </c>
      <c r="F208" s="6">
        <f>IF(D208="","",ABS(D208-$G$5)/$H$5)</f>
        <v>0.19797777363428523</v>
      </c>
      <c r="G208" s="6">
        <f>IF(D208="","",ABS(D208-$E$5)/SQRT(0.9*(IF(G207="",$F$5^2,(ABS(D207-$E$5)/MAX(G207,0.0000000001))^2))+0.1*(D208-$E$5)^2))</f>
        <v>0.12975932898328113</v>
      </c>
      <c r="H208" s="6" t="str">
        <f>IF(E208="","",IF(E208&gt;$I$5,"OUTLIER",""))</f>
        <v/>
      </c>
      <c r="I208" s="6" t="str">
        <f>IF(F208="","",IF(F208&gt;$I$5,"OUTLIER",""))</f>
        <v/>
      </c>
      <c r="J208" s="6" t="str">
        <f>IF(G208="","",IF(G208&gt;$I$5,"OUTLIER",""))</f>
        <v/>
      </c>
      <c r="K208" s="6" t="str">
        <f>IF(C208="","MISSING","")</f>
        <v/>
      </c>
      <c r="L208" s="6" t="str">
        <f>IF(AND(C208&lt;&gt;"",C207&lt;&gt;"",C208=C207),"STALE","")</f>
        <v/>
      </c>
      <c r="M208" s="110">
        <f>IF(D208="","",ABS(D208-G$5))</f>
        <v>5.9204129102781954E-4</v>
      </c>
    </row>
    <row r="209" spans="2:13" s="107" customFormat="1" ht="12.75" customHeight="1" x14ac:dyDescent="0.4">
      <c r="B209" s="109">
        <v>44117</v>
      </c>
      <c r="C209" s="5">
        <v>1.1733</v>
      </c>
      <c r="D209" s="6">
        <f>IF(OR(C209="",C208=""),"",LN(C209/C208))</f>
        <v>-7.9796688274931752E-3</v>
      </c>
      <c r="E209" s="6">
        <f>IF(D209="","",ABS(D209-$E$5)/$F$5)</f>
        <v>1.6090673010550993</v>
      </c>
      <c r="F209" s="6">
        <f>IF(D209="","",ABS(D209-$G$5)/$H$5)</f>
        <v>2.668390013918426</v>
      </c>
      <c r="G209" s="6">
        <f>IF(D209="","",ABS(D209-$E$5)/SQRT(0.9*(IF(G208="",$F$5^2,(ABS(D208-$E$5)/MAX(G208,0.0000000001))^2))+0.1*(D209-$E$5)^2))</f>
        <v>1.9341082042739444</v>
      </c>
      <c r="H209" s="6" t="str">
        <f>IF(E209="","",IF(E209&gt;$I$5,"OUTLIER",""))</f>
        <v/>
      </c>
      <c r="I209" s="6" t="str">
        <f>IF(F209="","",IF(F209&gt;$I$5,"OUTLIER",""))</f>
        <v/>
      </c>
      <c r="J209" s="6" t="str">
        <f>IF(G209="","",IF(G209&gt;$I$5,"OUTLIER",""))</f>
        <v/>
      </c>
      <c r="K209" s="6" t="str">
        <f>IF(C209="","MISSING","")</f>
        <v/>
      </c>
      <c r="L209" s="6" t="str">
        <f>IF(AND(C209&lt;&gt;"",C208&lt;&gt;"",C209=C208),"STALE","")</f>
        <v/>
      </c>
      <c r="M209" s="110">
        <f>IF(D209="","",ABS(D209-G$5))</f>
        <v>7.9796688274931752E-3</v>
      </c>
    </row>
    <row r="210" spans="2:13" s="107" customFormat="1" ht="12.75" customHeight="1" x14ac:dyDescent="0.4">
      <c r="B210" s="109">
        <v>44118</v>
      </c>
      <c r="C210" s="5">
        <v>1.173</v>
      </c>
      <c r="D210" s="6">
        <f>IF(OR(C210="",C209=""),"",LN(C210/C209))</f>
        <v>-2.5572177610265159E-4</v>
      </c>
      <c r="E210" s="6">
        <f>IF(D210="","",ABS(D210-$E$5)/$F$5)</f>
        <v>7.8017894392052853E-2</v>
      </c>
      <c r="F210" s="6">
        <f>IF(D210="","",ABS(D210-$G$5)/$H$5)</f>
        <v>8.5513001660266291E-2</v>
      </c>
      <c r="G210" s="6">
        <f>IF(D210="","",ABS(D210-$E$5)/SQRT(0.9*(IF(G209="",$F$5^2,(ABS(D209-$E$5)/MAX(G209,0.0000000001))^2))+0.1*(D210-$E$5)^2))</f>
        <v>9.8802389370970134E-2</v>
      </c>
      <c r="H210" s="6" t="str">
        <f>IF(E210="","",IF(E210&gt;$I$5,"OUTLIER",""))</f>
        <v/>
      </c>
      <c r="I210" s="6" t="str">
        <f>IF(F210="","",IF(F210&gt;$I$5,"OUTLIER",""))</f>
        <v/>
      </c>
      <c r="J210" s="6" t="str">
        <f>IF(G210="","",IF(G210&gt;$I$5,"OUTLIER",""))</f>
        <v/>
      </c>
      <c r="K210" s="6" t="str">
        <f>IF(C210="","MISSING","")</f>
        <v/>
      </c>
      <c r="L210" s="6" t="str">
        <f>IF(AND(C210&lt;&gt;"",C209&lt;&gt;"",C210=C209),"STALE","")</f>
        <v/>
      </c>
      <c r="M210" s="110">
        <f>IF(D210="","",ABS(D210-G$5))</f>
        <v>2.5572177610265159E-4</v>
      </c>
    </row>
    <row r="211" spans="2:13" s="107" customFormat="1" ht="12.75" customHeight="1" x14ac:dyDescent="0.4">
      <c r="B211" s="109">
        <v>44119</v>
      </c>
      <c r="C211" s="5">
        <v>1.1729000000000001</v>
      </c>
      <c r="D211" s="6">
        <f>IF(OR(C211="",C210=""),"",LN(C211/C210))</f>
        <v>-8.5255126016063466E-5</v>
      </c>
      <c r="E211" s="6">
        <f>IF(D211="","",ABS(D211-$E$5)/$F$5)</f>
        <v>4.4227804722300139E-2</v>
      </c>
      <c r="F211" s="6">
        <f>IF(D211="","",ABS(D211-$G$5)/$H$5)</f>
        <v>2.8509194029808914E-2</v>
      </c>
      <c r="G211" s="6">
        <f>IF(D211="","",ABS(D211-$E$5)/SQRT(0.9*(IF(G210="",$F$5^2,(ABS(D210-$E$5)/MAX(G210,0.0000000001))^2))+0.1*(D211-$E$5)^2))</f>
        <v>5.9029849013147742E-2</v>
      </c>
      <c r="H211" s="6" t="str">
        <f>IF(E211="","",IF(E211&gt;$I$5,"OUTLIER",""))</f>
        <v/>
      </c>
      <c r="I211" s="6" t="str">
        <f>IF(F211="","",IF(F211&gt;$I$5,"OUTLIER",""))</f>
        <v/>
      </c>
      <c r="J211" s="6" t="str">
        <f>IF(G211="","",IF(G211&gt;$I$5,"OUTLIER",""))</f>
        <v/>
      </c>
      <c r="K211" s="6" t="str">
        <f>IF(C211="","MISSING","")</f>
        <v/>
      </c>
      <c r="L211" s="6" t="str">
        <f>IF(AND(C211&lt;&gt;"",C210&lt;&gt;"",C211=C210),"STALE","")</f>
        <v/>
      </c>
      <c r="M211" s="110">
        <f>IF(D211="","",ABS(D211-G$5))</f>
        <v>8.5255126016063466E-5</v>
      </c>
    </row>
    <row r="212" spans="2:13" s="107" customFormat="1" ht="12.75" customHeight="1" x14ac:dyDescent="0.4">
      <c r="B212" s="109">
        <v>44120</v>
      </c>
      <c r="C212" s="5">
        <v>1.1715</v>
      </c>
      <c r="D212" s="6">
        <f>IF(OR(C212="",C211=""),"",LN(C212/C211))</f>
        <v>-1.1943355796090588E-3</v>
      </c>
      <c r="E212" s="6">
        <f>IF(D212="","",ABS(D212-$E$5)/$F$5)</f>
        <v>0.26407097028483989</v>
      </c>
      <c r="F212" s="6">
        <f>IF(D212="","",ABS(D212-$G$5)/$H$5)</f>
        <v>0.39938413520570548</v>
      </c>
      <c r="G212" s="6">
        <f>IF(D212="","",ABS(D212-$E$5)/SQRT(0.9*(IF(G211="",$F$5^2,(ABS(D211-$E$5)/MAX(G211,0.0000000001))^2))+0.1*(D212-$E$5)^2))</f>
        <v>0.36897679982790504</v>
      </c>
      <c r="H212" s="6" t="str">
        <f>IF(E212="","",IF(E212&gt;$I$5,"OUTLIER",""))</f>
        <v/>
      </c>
      <c r="I212" s="6" t="str">
        <f>IF(F212="","",IF(F212&gt;$I$5,"OUTLIER",""))</f>
        <v/>
      </c>
      <c r="J212" s="6" t="str">
        <f>IF(G212="","",IF(G212&gt;$I$5,"OUTLIER",""))</f>
        <v/>
      </c>
      <c r="K212" s="6" t="str">
        <f>IF(C212="","MISSING","")</f>
        <v/>
      </c>
      <c r="L212" s="6" t="str">
        <f>IF(AND(C212&lt;&gt;"",C211&lt;&gt;"",C212=C211),"STALE","")</f>
        <v/>
      </c>
      <c r="M212" s="110">
        <f>IF(D212="","",ABS(D212-G$5))</f>
        <v>1.1943355796090588E-3</v>
      </c>
    </row>
    <row r="213" spans="2:13" s="107" customFormat="1" ht="12.75" customHeight="1" x14ac:dyDescent="0.4">
      <c r="B213" s="109">
        <v>44123</v>
      </c>
      <c r="C213" s="5">
        <v>1.1850000000000001</v>
      </c>
      <c r="D213" s="6">
        <f>IF(OR(C213="",C212=""),"",LN(C213/C212))</f>
        <v>1.1457795621381358E-2</v>
      </c>
      <c r="E213" s="6">
        <f>IF(D213="","",ABS(D213-$E$5)/$F$5)</f>
        <v>2.2438485997764372</v>
      </c>
      <c r="F213" s="6">
        <f>IF(D213="","",ABS(D213-$G$5)/$H$5)</f>
        <v>3.8314707137059352</v>
      </c>
      <c r="G213" s="6">
        <f>IF(D213="","",ABS(D213-$E$5)/SQRT(0.9*(IF(G212="",$F$5^2,(ABS(D212-$E$5)/MAX(G212,0.0000000001))^2))+0.1*(D213-$E$5)^2))</f>
        <v>2.2848058385870211</v>
      </c>
      <c r="H213" s="6" t="str">
        <f>IF(E213="","",IF(E213&gt;$I$5,"OUTLIER",""))</f>
        <v/>
      </c>
      <c r="I213" s="6" t="str">
        <f>IF(F213="","",IF(F213&gt;$I$5,"OUTLIER",""))</f>
        <v>OUTLIER</v>
      </c>
      <c r="J213" s="6" t="str">
        <f>IF(G213="","",IF(G213&gt;$I$5,"OUTLIER",""))</f>
        <v/>
      </c>
      <c r="K213" s="6" t="str">
        <f>IF(C213="","MISSING","")</f>
        <v/>
      </c>
      <c r="L213" s="6" t="str">
        <f>IF(AND(C213&lt;&gt;"",C212&lt;&gt;"",C213=C212),"STALE","")</f>
        <v/>
      </c>
      <c r="M213" s="110">
        <f>IF(D213="","",ABS(D213-G$5))</f>
        <v>1.1457795621381358E-2</v>
      </c>
    </row>
    <row r="214" spans="2:13" s="107" customFormat="1" ht="12.75" customHeight="1" x14ac:dyDescent="0.4">
      <c r="B214" s="109">
        <v>44124</v>
      </c>
      <c r="C214" s="5">
        <v>1.1872</v>
      </c>
      <c r="D214" s="6">
        <f>IF(OR(C214="",C213=""),"",LN(C214/C213))</f>
        <v>1.8548188438844372E-3</v>
      </c>
      <c r="E214" s="6">
        <f>IF(D214="","",ABS(D214-$E$5)/$F$5)</f>
        <v>0.3403358232694062</v>
      </c>
      <c r="F214" s="6">
        <f>IF(D214="","",ABS(D214-$G$5)/$H$5)</f>
        <v>0.62024880827088247</v>
      </c>
      <c r="G214" s="6">
        <f>IF(D214="","",ABS(D214-$E$5)/SQRT(0.9*(IF(G213="",$F$5^2,(ABS(D213-$E$5)/MAX(G213,0.0000000001))^2))+0.1*(D214-$E$5)^2))</f>
        <v>0.36288057477765812</v>
      </c>
      <c r="H214" s="6" t="str">
        <f>IF(E214="","",IF(E214&gt;$I$5,"OUTLIER",""))</f>
        <v/>
      </c>
      <c r="I214" s="6" t="str">
        <f>IF(F214="","",IF(F214&gt;$I$5,"OUTLIER",""))</f>
        <v/>
      </c>
      <c r="J214" s="6" t="str">
        <f>IF(G214="","",IF(G214&gt;$I$5,"OUTLIER",""))</f>
        <v/>
      </c>
      <c r="K214" s="6" t="str">
        <f>IF(C214="","MISSING","")</f>
        <v/>
      </c>
      <c r="L214" s="6" t="str">
        <f>IF(AND(C214&lt;&gt;"",C213&lt;&gt;"",C214=C213),"STALE","")</f>
        <v/>
      </c>
      <c r="M214" s="110">
        <f>IF(D214="","",ABS(D214-G$5))</f>
        <v>1.8548188438844372E-3</v>
      </c>
    </row>
    <row r="215" spans="2:13" s="107" customFormat="1" ht="12.75" customHeight="1" x14ac:dyDescent="0.4">
      <c r="B215" s="109">
        <v>44125</v>
      </c>
      <c r="C215" s="5">
        <v>1.1847000000000001</v>
      </c>
      <c r="D215" s="6">
        <f>IF(OR(C215="",C214=""),"",LN(C215/C214))</f>
        <v>-2.1080154524025347E-3</v>
      </c>
      <c r="E215" s="6">
        <f>IF(D215="","",ABS(D215-$E$5)/$F$5)</f>
        <v>0.44518161459830402</v>
      </c>
      <c r="F215" s="6">
        <f>IF(D215="","",ABS(D215-$G$5)/$H$5)</f>
        <v>0.7049173974484052</v>
      </c>
      <c r="G215" s="6">
        <f>IF(D215="","",ABS(D215-$E$5)/SQRT(0.9*(IF(G214="",$F$5^2,(ABS(D214-$E$5)/MAX(G214,0.0000000001))^2))+0.1*(D215-$E$5)^2))</f>
        <v>0.49419997330614529</v>
      </c>
      <c r="H215" s="6" t="str">
        <f>IF(E215="","",IF(E215&gt;$I$5,"OUTLIER",""))</f>
        <v/>
      </c>
      <c r="I215" s="6" t="str">
        <f>IF(F215="","",IF(F215&gt;$I$5,"OUTLIER",""))</f>
        <v/>
      </c>
      <c r="J215" s="6" t="str">
        <f>IF(G215="","",IF(G215&gt;$I$5,"OUTLIER",""))</f>
        <v/>
      </c>
      <c r="K215" s="6" t="str">
        <f>IF(C215="","MISSING","")</f>
        <v/>
      </c>
      <c r="L215" s="6" t="str">
        <f>IF(AND(C215&lt;&gt;"",C214&lt;&gt;"",C215=C214),"STALE","")</f>
        <v/>
      </c>
      <c r="M215" s="110">
        <f>IF(D215="","",ABS(D215-G$5))</f>
        <v>2.1080154524025347E-3</v>
      </c>
    </row>
    <row r="216" spans="2:13" s="107" customFormat="1" ht="12.75" customHeight="1" x14ac:dyDescent="0.4">
      <c r="B216" s="109">
        <v>44126</v>
      </c>
      <c r="C216" s="5">
        <v>1.1850000000000001</v>
      </c>
      <c r="D216" s="6">
        <f>IF(OR(C216="",C215=""),"",LN(C216/C215))</f>
        <v>2.5319660851803096E-4</v>
      </c>
      <c r="E216" s="6">
        <f>IF(D216="","",ABS(D216-$E$5)/$F$5)</f>
        <v>2.2860475906088727E-2</v>
      </c>
      <c r="F216" s="6">
        <f>IF(D216="","",ABS(D216-$G$5)/$H$5)</f>
        <v>8.4668589177500517E-2</v>
      </c>
      <c r="G216" s="6">
        <f>IF(D216="","",ABS(D216-$E$5)/SQRT(0.9*(IF(G215="",$F$5^2,(ABS(D215-$E$5)/MAX(G215,0.0000000001))^2))+0.1*(D216-$E$5)^2))</f>
        <v>2.6749395485682913E-2</v>
      </c>
      <c r="H216" s="6" t="str">
        <f>IF(E216="","",IF(E216&gt;$I$5,"OUTLIER",""))</f>
        <v/>
      </c>
      <c r="I216" s="6" t="str">
        <f>IF(F216="","",IF(F216&gt;$I$5,"OUTLIER",""))</f>
        <v/>
      </c>
      <c r="J216" s="6" t="str">
        <f>IF(G216="","",IF(G216&gt;$I$5,"OUTLIER",""))</f>
        <v/>
      </c>
      <c r="K216" s="6" t="str">
        <f>IF(C216="","MISSING","")</f>
        <v/>
      </c>
      <c r="L216" s="6" t="str">
        <f>IF(AND(C216&lt;&gt;"",C215&lt;&gt;"",C216=C215),"STALE","")</f>
        <v/>
      </c>
      <c r="M216" s="110">
        <f>IF(D216="","",ABS(D216-G$5))</f>
        <v>2.5319660851803096E-4</v>
      </c>
    </row>
    <row r="217" spans="2:13" s="107" customFormat="1" ht="12.75" customHeight="1" x14ac:dyDescent="0.4">
      <c r="B217" s="109">
        <v>44127</v>
      </c>
      <c r="C217" s="5">
        <v>1.1862999999999999</v>
      </c>
      <c r="D217" s="6">
        <f>IF(OR(C217="",C216=""),"",LN(C217/C216))</f>
        <v>1.0964450978259899E-3</v>
      </c>
      <c r="E217" s="6">
        <f>IF(D217="","",ABS(D217-$E$5)/$F$5)</f>
        <v>0.19001013276346387</v>
      </c>
      <c r="F217" s="6">
        <f>IF(D217="","",ABS(D217-$G$5)/$H$5)</f>
        <v>0.36664969600847575</v>
      </c>
      <c r="G217" s="6">
        <f>IF(D217="","",ABS(D217-$E$5)/SQRT(0.9*(IF(G216="",$F$5^2,(ABS(D216-$E$5)/MAX(G216,0.0000000001))^2))+0.1*(D217-$E$5)^2))</f>
        <v>0.23371941895335135</v>
      </c>
      <c r="H217" s="6" t="str">
        <f>IF(E217="","",IF(E217&gt;$I$5,"OUTLIER",""))</f>
        <v/>
      </c>
      <c r="I217" s="6" t="str">
        <f>IF(F217="","",IF(F217&gt;$I$5,"OUTLIER",""))</f>
        <v/>
      </c>
      <c r="J217" s="6" t="str">
        <f>IF(G217="","",IF(G217&gt;$I$5,"OUTLIER",""))</f>
        <v/>
      </c>
      <c r="K217" s="6" t="str">
        <f>IF(C217="","MISSING","")</f>
        <v/>
      </c>
      <c r="L217" s="6" t="str">
        <f>IF(AND(C217&lt;&gt;"",C216&lt;&gt;"",C217=C216),"STALE","")</f>
        <v/>
      </c>
      <c r="M217" s="110">
        <f>IF(D217="","",ABS(D217-G$5))</f>
        <v>1.0964450978259899E-3</v>
      </c>
    </row>
    <row r="218" spans="2:13" s="107" customFormat="1" ht="12.75" customHeight="1" x14ac:dyDescent="0.4">
      <c r="B218" s="109">
        <v>44130</v>
      </c>
      <c r="C218" s="5">
        <v>1.1823999999999999</v>
      </c>
      <c r="D218" s="6">
        <f>IF(OR(C218="",C217=""),"",LN(C218/C217))</f>
        <v>-3.2929484731202699E-3</v>
      </c>
      <c r="E218" s="6">
        <f>IF(D218="","",ABS(D218-$E$5)/$F$5)</f>
        <v>0.6800603606894926</v>
      </c>
      <c r="F218" s="6">
        <f>IF(D218="","",ABS(D218-$G$5)/$H$5)</f>
        <v>1.1011573302074573</v>
      </c>
      <c r="G218" s="6">
        <f>IF(D218="","",ABS(D218-$E$5)/SQRT(0.9*(IF(G217="",$F$5^2,(ABS(D217-$E$5)/MAX(G217,0.0000000001))^2))+0.1*(D218-$E$5)^2))</f>
        <v>0.84934797786527094</v>
      </c>
      <c r="H218" s="6" t="str">
        <f>IF(E218="","",IF(E218&gt;$I$5,"OUTLIER",""))</f>
        <v/>
      </c>
      <c r="I218" s="6" t="str">
        <f>IF(F218="","",IF(F218&gt;$I$5,"OUTLIER",""))</f>
        <v/>
      </c>
      <c r="J218" s="6" t="str">
        <f>IF(G218="","",IF(G218&gt;$I$5,"OUTLIER",""))</f>
        <v/>
      </c>
      <c r="K218" s="6" t="str">
        <f>IF(C218="","MISSING","")</f>
        <v/>
      </c>
      <c r="L218" s="6" t="str">
        <f>IF(AND(C218&lt;&gt;"",C217&lt;&gt;"",C218=C217),"STALE","")</f>
        <v/>
      </c>
      <c r="M218" s="110">
        <f>IF(D218="","",ABS(D218-G$5))</f>
        <v>3.2929484731202699E-3</v>
      </c>
    </row>
    <row r="219" spans="2:13" s="107" customFormat="1" ht="12.75" customHeight="1" x14ac:dyDescent="0.4">
      <c r="B219" s="109">
        <v>44131</v>
      </c>
      <c r="C219" s="5">
        <v>1.1778</v>
      </c>
      <c r="D219" s="6">
        <f>IF(OR(C219="",C218=""),"",LN(C219/C218))</f>
        <v>-3.8979796834669295E-3</v>
      </c>
      <c r="E219" s="6">
        <f>IF(D219="","",ABS(D219-$E$5)/$F$5)</f>
        <v>0.79999032259246972</v>
      </c>
      <c r="F219" s="6">
        <f>IF(D219="","",ABS(D219-$G$5)/$H$5)</f>
        <v>1.3034789145613772</v>
      </c>
      <c r="G219" s="6">
        <f>IF(D219="","",ABS(D219-$E$5)/SQRT(0.9*(IF(G218="",$F$5^2,(ABS(D218-$E$5)/MAX(G218,0.0000000001))^2))+0.1*(D219-$E$5)^2))</f>
        <v>0.99921882340975865</v>
      </c>
      <c r="H219" s="6" t="str">
        <f>IF(E219="","",IF(E219&gt;$I$5,"OUTLIER",""))</f>
        <v/>
      </c>
      <c r="I219" s="6" t="str">
        <f>IF(F219="","",IF(F219&gt;$I$5,"OUTLIER",""))</f>
        <v/>
      </c>
      <c r="J219" s="6" t="str">
        <f>IF(G219="","",IF(G219&gt;$I$5,"OUTLIER",""))</f>
        <v/>
      </c>
      <c r="K219" s="6" t="str">
        <f>IF(C219="","MISSING","")</f>
        <v/>
      </c>
      <c r="L219" s="6" t="str">
        <f>IF(AND(C219&lt;&gt;"",C218&lt;&gt;"",C219=C218),"STALE","")</f>
        <v/>
      </c>
      <c r="M219" s="110">
        <f>IF(D219="","",ABS(D219-G$5))</f>
        <v>3.8979796834669295E-3</v>
      </c>
    </row>
    <row r="220" spans="2:13" s="107" customFormat="1" ht="12.75" customHeight="1" x14ac:dyDescent="0.4">
      <c r="B220" s="109">
        <v>44132</v>
      </c>
      <c r="C220" s="5">
        <v>1.1700999999999999</v>
      </c>
      <c r="D220" s="6">
        <f>IF(OR(C220="",C219=""),"",LN(C220/C219))</f>
        <v>-6.5590762855581722E-3</v>
      </c>
      <c r="E220" s="6">
        <f>IF(D220="","",ABS(D220-$E$5)/$F$5)</f>
        <v>1.3274758616047244</v>
      </c>
      <c r="F220" s="6">
        <f>IF(D220="","",ABS(D220-$G$5)/$H$5)</f>
        <v>2.1933458692684771</v>
      </c>
      <c r="G220" s="6">
        <f>IF(D220="","",ABS(D220-$E$5)/SQRT(0.9*(IF(G219="",$F$5^2,(ABS(D219-$E$5)/MAX(G219,0.0000000001))^2))+0.1*(D220-$E$5)^2))</f>
        <v>1.529672688196428</v>
      </c>
      <c r="H220" s="6" t="str">
        <f>IF(E220="","",IF(E220&gt;$I$5,"OUTLIER",""))</f>
        <v/>
      </c>
      <c r="I220" s="6" t="str">
        <f>IF(F220="","",IF(F220&gt;$I$5,"OUTLIER",""))</f>
        <v/>
      </c>
      <c r="J220" s="6" t="str">
        <f>IF(G220="","",IF(G220&gt;$I$5,"OUTLIER",""))</f>
        <v/>
      </c>
      <c r="K220" s="6" t="str">
        <f>IF(C220="","MISSING","")</f>
        <v/>
      </c>
      <c r="L220" s="6" t="str">
        <f>IF(AND(C220&lt;&gt;"",C219&lt;&gt;"",C220=C219),"STALE","")</f>
        <v/>
      </c>
      <c r="M220" s="110">
        <f>IF(D220="","",ABS(D220-G$5))</f>
        <v>6.5590762855581722E-3</v>
      </c>
    </row>
    <row r="221" spans="2:13" s="107" customFormat="1" ht="12.75" customHeight="1" x14ac:dyDescent="0.4">
      <c r="B221" s="109">
        <v>44133</v>
      </c>
      <c r="C221" s="5">
        <v>1.1660999999999999</v>
      </c>
      <c r="D221" s="6">
        <f>IF(OR(C221="",C220=""),"",LN(C221/C220))</f>
        <v>-3.4243676986250586E-3</v>
      </c>
      <c r="E221" s="6">
        <f>IF(D221="","",ABS(D221-$E$5)/$F$5)</f>
        <v>0.70611042627053522</v>
      </c>
      <c r="F221" s="6">
        <f>IF(D221="","",ABS(D221-$G$5)/$H$5)</f>
        <v>1.1451037340689365</v>
      </c>
      <c r="G221" s="6">
        <f>IF(D221="","",ABS(D221-$E$5)/SQRT(0.9*(IF(G220="",$F$5^2,(ABS(D220-$E$5)/MAX(G220,0.0000000001))^2))+0.1*(D221-$E$5)^2))</f>
        <v>0.82777046152068368</v>
      </c>
      <c r="H221" s="6" t="str">
        <f>IF(E221="","",IF(E221&gt;$I$5,"OUTLIER",""))</f>
        <v/>
      </c>
      <c r="I221" s="6" t="str">
        <f>IF(F221="","",IF(F221&gt;$I$5,"OUTLIER",""))</f>
        <v/>
      </c>
      <c r="J221" s="6" t="str">
        <f>IF(G221="","",IF(G221&gt;$I$5,"OUTLIER",""))</f>
        <v/>
      </c>
      <c r="K221" s="6" t="str">
        <f>IF(C221="","MISSING","")</f>
        <v/>
      </c>
      <c r="L221" s="6" t="str">
        <f>IF(AND(C221&lt;&gt;"",C220&lt;&gt;"",C221=C220),"STALE","")</f>
        <v/>
      </c>
      <c r="M221" s="110">
        <f>IF(D221="","",ABS(D221-G$5))</f>
        <v>3.4243676986250586E-3</v>
      </c>
    </row>
    <row r="222" spans="2:13" s="107" customFormat="1" ht="12.75" customHeight="1" x14ac:dyDescent="0.4">
      <c r="B222" s="109">
        <v>44134</v>
      </c>
      <c r="C222" s="5">
        <v>1.1640999999999999</v>
      </c>
      <c r="D222" s="6">
        <f>IF(OR(C222="",C221=""),"",LN(C222/C221))</f>
        <v>-1.7165912720918581E-3</v>
      </c>
      <c r="E222" s="6">
        <f>IF(D222="","",ABS(D222-$E$5)/$F$5)</f>
        <v>0.36759307663566454</v>
      </c>
      <c r="F222" s="6">
        <f>IF(D222="","",ABS(D222-$G$5)/$H$5)</f>
        <v>0.57402570300256728</v>
      </c>
      <c r="G222" s="6">
        <f>IF(D222="","",ABS(D222-$E$5)/SQRT(0.9*(IF(G221="",$F$5^2,(ABS(D221-$E$5)/MAX(G221,0.0000000001))^2))+0.1*(D222-$E$5)^2))</f>
        <v>0.44962300291232549</v>
      </c>
      <c r="H222" s="6" t="str">
        <f>IF(E222="","",IF(E222&gt;$I$5,"OUTLIER",""))</f>
        <v/>
      </c>
      <c r="I222" s="6" t="str">
        <f>IF(F222="","",IF(F222&gt;$I$5,"OUTLIER",""))</f>
        <v/>
      </c>
      <c r="J222" s="6" t="str">
        <f>IF(G222="","",IF(G222&gt;$I$5,"OUTLIER",""))</f>
        <v/>
      </c>
      <c r="K222" s="6" t="str">
        <f>IF(C222="","MISSING","")</f>
        <v/>
      </c>
      <c r="L222" s="6" t="str">
        <f>IF(AND(C222&lt;&gt;"",C221&lt;&gt;"",C222=C221),"STALE","")</f>
        <v/>
      </c>
      <c r="M222" s="110">
        <f>IF(D222="","",ABS(D222-G$5))</f>
        <v>1.7165912720918581E-3</v>
      </c>
    </row>
    <row r="223" spans="2:13" s="107" customFormat="1" ht="12.75" customHeight="1" x14ac:dyDescent="0.4">
      <c r="B223" s="109">
        <v>44137</v>
      </c>
      <c r="C223" s="5">
        <v>1.1651</v>
      </c>
      <c r="D223" s="6">
        <f>IF(OR(C223="",C222=""),"",LN(C223/C222))</f>
        <v>8.5866397170027348E-4</v>
      </c>
      <c r="E223" s="6">
        <f>IF(D223="","",ABS(D223-$E$5)/$F$5)</f>
        <v>0.14287689251100655</v>
      </c>
      <c r="F223" s="6">
        <f>IF(D223="","",ABS(D223-$G$5)/$H$5)</f>
        <v>0.28713602242517416</v>
      </c>
      <c r="G223" s="6">
        <f>IF(D223="","",ABS(D223-$E$5)/SQRT(0.9*(IF(G222="",$F$5^2,(ABS(D222-$E$5)/MAX(G222,0.0000000001))^2))+0.1*(D223-$E$5)^2))</f>
        <v>0.18390193759764026</v>
      </c>
      <c r="H223" s="6" t="str">
        <f>IF(E223="","",IF(E223&gt;$I$5,"OUTLIER",""))</f>
        <v/>
      </c>
      <c r="I223" s="6" t="str">
        <f>IF(F223="","",IF(F223&gt;$I$5,"OUTLIER",""))</f>
        <v/>
      </c>
      <c r="J223" s="6" t="str">
        <f>IF(G223="","",IF(G223&gt;$I$5,"OUTLIER",""))</f>
        <v/>
      </c>
      <c r="K223" s="6" t="str">
        <f>IF(C223="","MISSING","")</f>
        <v/>
      </c>
      <c r="L223" s="6" t="str">
        <f>IF(AND(C223&lt;&gt;"",C222&lt;&gt;"",C223=C222),"STALE","")</f>
        <v/>
      </c>
      <c r="M223" s="110">
        <f>IF(D223="","",ABS(D223-G$5))</f>
        <v>8.5866397170027348E-4</v>
      </c>
    </row>
    <row r="224" spans="2:13" s="107" customFormat="1" ht="12.75" customHeight="1" x14ac:dyDescent="0.4">
      <c r="B224" s="109">
        <v>44138</v>
      </c>
      <c r="C224" s="5">
        <v>1.1689000000000001</v>
      </c>
      <c r="D224" s="6">
        <f>IF(OR(C224="",C223=""),"",LN(C224/C223))</f>
        <v>3.2562153878293067E-3</v>
      </c>
      <c r="E224" s="6">
        <f>IF(D224="","",ABS(D224-$E$5)/$F$5)</f>
        <v>0.61812221056994676</v>
      </c>
      <c r="F224" s="6">
        <f>IF(D224="","",ABS(D224-$G$5)/$H$5)</f>
        <v>1.0888738382368246</v>
      </c>
      <c r="G224" s="6">
        <f>IF(D224="","",ABS(D224-$E$5)/SQRT(0.9*(IF(G223="",$F$5^2,(ABS(D223-$E$5)/MAX(G223,0.0000000001))^2))+0.1*(D224-$E$5)^2))</f>
        <v>0.81062144350626841</v>
      </c>
      <c r="H224" s="6" t="str">
        <f>IF(E224="","",IF(E224&gt;$I$5,"OUTLIER",""))</f>
        <v/>
      </c>
      <c r="I224" s="6" t="str">
        <f>IF(F224="","",IF(F224&gt;$I$5,"OUTLIER",""))</f>
        <v/>
      </c>
      <c r="J224" s="6" t="str">
        <f>IF(G224="","",IF(G224&gt;$I$5,"OUTLIER",""))</f>
        <v/>
      </c>
      <c r="K224" s="6" t="str">
        <f>IF(C224="","MISSING","")</f>
        <v/>
      </c>
      <c r="L224" s="6" t="str">
        <f>IF(AND(C224&lt;&gt;"",C223&lt;&gt;"",C224=C223),"STALE","")</f>
        <v/>
      </c>
      <c r="M224" s="110">
        <f>IF(D224="","",ABS(D224-G$5))</f>
        <v>3.2562153878293067E-3</v>
      </c>
    </row>
    <row r="225" spans="2:13" s="107" customFormat="1" ht="12.75" customHeight="1" x14ac:dyDescent="0.4">
      <c r="B225" s="109">
        <v>44139</v>
      </c>
      <c r="C225" s="5">
        <v>1.1798</v>
      </c>
      <c r="D225" s="6">
        <f>IF(OR(C225="",C224=""),"",LN(C225/C224))</f>
        <v>9.2817969552501083E-3</v>
      </c>
      <c r="E225" s="6">
        <f>IF(D225="","",ABS(D225-$E$5)/$F$5)</f>
        <v>1.8125197151383614</v>
      </c>
      <c r="F225" s="6">
        <f>IF(D225="","",ABS(D225-$G$5)/$H$5)</f>
        <v>3.1038198253634257</v>
      </c>
      <c r="G225" s="6">
        <f>IF(D225="","",ABS(D225-$E$5)/SQRT(0.9*(IF(G224="",$F$5^2,(ABS(D224-$E$5)/MAX(G224,0.0000000001))^2))+0.1*(D225-$E$5)^2))</f>
        <v>1.9638431417993427</v>
      </c>
      <c r="H225" s="6" t="str">
        <f>IF(E225="","",IF(E225&gt;$I$5,"OUTLIER",""))</f>
        <v/>
      </c>
      <c r="I225" s="6" t="str">
        <f>IF(F225="","",IF(F225&gt;$I$5,"OUTLIER",""))</f>
        <v>OUTLIER</v>
      </c>
      <c r="J225" s="6" t="str">
        <f>IF(G225="","",IF(G225&gt;$I$5,"OUTLIER",""))</f>
        <v/>
      </c>
      <c r="K225" s="6" t="str">
        <f>IF(C225="","MISSING","")</f>
        <v/>
      </c>
      <c r="L225" s="6" t="str">
        <f>IF(AND(C225&lt;&gt;"",C224&lt;&gt;"",C225=C224),"STALE","")</f>
        <v/>
      </c>
      <c r="M225" s="110">
        <f>IF(D225="","",ABS(D225-G$5))</f>
        <v>9.2817969552501083E-3</v>
      </c>
    </row>
    <row r="226" spans="2:13" s="107" customFormat="1" ht="12.75" customHeight="1" x14ac:dyDescent="0.4">
      <c r="B226" s="109">
        <v>44140</v>
      </c>
      <c r="C226" s="5">
        <v>1.1887000000000001</v>
      </c>
      <c r="D226" s="6">
        <f>IF(OR(C226="",C225=""),"",LN(C226/C225))</f>
        <v>7.5153404176038037E-3</v>
      </c>
      <c r="E226" s="6">
        <f>IF(D226="","",ABS(D226-$E$5)/$F$5)</f>
        <v>1.4623707283748464</v>
      </c>
      <c r="F226" s="6">
        <f>IF(D226="","",ABS(D226-$G$5)/$H$5)</f>
        <v>2.5131192478111237</v>
      </c>
      <c r="G226" s="6">
        <f>IF(D226="","",ABS(D226-$E$5)/SQRT(0.9*(IF(G225="",$F$5^2,(ABS(D225-$E$5)/MAX(G225,0.0000000001))^2))+0.1*(D226-$E$5)^2))</f>
        <v>1.4768423448249683</v>
      </c>
      <c r="H226" s="6" t="str">
        <f>IF(E226="","",IF(E226&gt;$I$5,"OUTLIER",""))</f>
        <v/>
      </c>
      <c r="I226" s="6" t="str">
        <f>IF(F226="","",IF(F226&gt;$I$5,"OUTLIER",""))</f>
        <v/>
      </c>
      <c r="J226" s="6" t="str">
        <f>IF(G226="","",IF(G226&gt;$I$5,"OUTLIER",""))</f>
        <v/>
      </c>
      <c r="K226" s="6" t="str">
        <f>IF(C226="","MISSING","")</f>
        <v/>
      </c>
      <c r="L226" s="6" t="str">
        <f>IF(AND(C226&lt;&gt;"",C225&lt;&gt;"",C226=C225),"STALE","")</f>
        <v/>
      </c>
      <c r="M226" s="110">
        <f>IF(D226="","",ABS(D226-G$5))</f>
        <v>7.5153404176038037E-3</v>
      </c>
    </row>
    <row r="227" spans="2:13" s="107" customFormat="1" ht="12.75" customHeight="1" x14ac:dyDescent="0.4">
      <c r="B227" s="109">
        <v>44141</v>
      </c>
      <c r="C227" s="5">
        <v>1.1876</v>
      </c>
      <c r="D227" s="6">
        <f>IF(OR(C227="",C226=""),"",LN(C227/C226))</f>
        <v>-9.2580909697399186E-4</v>
      </c>
      <c r="E227" s="6">
        <f>IF(D227="","",ABS(D227-$E$5)/$F$5)</f>
        <v>0.21084335114447827</v>
      </c>
      <c r="F227" s="6">
        <f>IF(D227="","",ABS(D227-$G$5)/$H$5)</f>
        <v>0.30958925772065171</v>
      </c>
      <c r="G227" s="6">
        <f>IF(D227="","",ABS(D227-$E$5)/SQRT(0.9*(IF(G226="",$F$5^2,(ABS(D226-$E$5)/MAX(G226,0.0000000001))^2))+0.1*(D227-$E$5)^2))</f>
        <v>0.22388455497443277</v>
      </c>
      <c r="H227" s="6" t="str">
        <f>IF(E227="","",IF(E227&gt;$I$5,"OUTLIER",""))</f>
        <v/>
      </c>
      <c r="I227" s="6" t="str">
        <f>IF(F227="","",IF(F227&gt;$I$5,"OUTLIER",""))</f>
        <v/>
      </c>
      <c r="J227" s="6" t="str">
        <f>IF(G227="","",IF(G227&gt;$I$5,"OUTLIER",""))</f>
        <v/>
      </c>
      <c r="K227" s="6" t="str">
        <f>IF(C227="","MISSING","")</f>
        <v/>
      </c>
      <c r="L227" s="6" t="str">
        <f>IF(AND(C227&lt;&gt;"",C226&lt;&gt;"",C227=C226),"STALE","")</f>
        <v/>
      </c>
      <c r="M227" s="110">
        <f>IF(D227="","",ABS(D227-G$5))</f>
        <v>9.2580909697399186E-4</v>
      </c>
    </row>
    <row r="228" spans="2:13" s="107" customFormat="1" ht="12.75" customHeight="1" x14ac:dyDescent="0.4">
      <c r="B228" s="109">
        <v>44144</v>
      </c>
      <c r="C228" s="5">
        <v>1.1819999999999999</v>
      </c>
      <c r="D228" s="6">
        <f>IF(OR(C228="",C227=""),"",LN(C228/C227))</f>
        <v>-4.7265449235612414E-3</v>
      </c>
      <c r="E228" s="6">
        <f>IF(D228="","",ABS(D228-$E$5)/$F$5)</f>
        <v>0.96422944940000554</v>
      </c>
      <c r="F228" s="6">
        <f>IF(D228="","",ABS(D228-$G$5)/$H$5)</f>
        <v>1.5805499635415079</v>
      </c>
      <c r="G228" s="6">
        <f>IF(D228="","",ABS(D228-$E$5)/SQRT(0.9*(IF(G227="",$F$5^2,(ABS(D227-$E$5)/MAX(G227,0.0000000001))^2))+0.1*(D228-$E$5)^2))</f>
        <v>1.0214053512796819</v>
      </c>
      <c r="H228" s="6" t="str">
        <f>IF(E228="","",IF(E228&gt;$I$5,"OUTLIER",""))</f>
        <v/>
      </c>
      <c r="I228" s="6" t="str">
        <f>IF(F228="","",IF(F228&gt;$I$5,"OUTLIER",""))</f>
        <v/>
      </c>
      <c r="J228" s="6" t="str">
        <f>IF(G228="","",IF(G228&gt;$I$5,"OUTLIER",""))</f>
        <v/>
      </c>
      <c r="K228" s="6" t="str">
        <f>IF(C228="","MISSING","")</f>
        <v/>
      </c>
      <c r="L228" s="6" t="str">
        <f>IF(AND(C228&lt;&gt;"",C227&lt;&gt;"",C228=C227),"STALE","")</f>
        <v/>
      </c>
      <c r="M228" s="110">
        <f>IF(D228="","",ABS(D228-G$5))</f>
        <v>4.7265449235612414E-3</v>
      </c>
    </row>
    <row r="229" spans="2:13" s="107" customFormat="1" ht="12.75" customHeight="1" x14ac:dyDescent="0.4">
      <c r="B229" s="109">
        <v>44145</v>
      </c>
      <c r="C229" s="5">
        <v>1.1853</v>
      </c>
      <c r="D229" s="6">
        <f>IF(OR(C229="",C228=""),"",LN(C229/C228))</f>
        <v>2.7879881194112577E-3</v>
      </c>
      <c r="E229" s="6">
        <f>IF(D229="","",ABS(D229-$E$5)/$F$5)</f>
        <v>0.52530967874842749</v>
      </c>
      <c r="F229" s="6">
        <f>IF(D229="","",ABS(D229-$G$5)/$H$5)</f>
        <v>0.93229929933036115</v>
      </c>
      <c r="G229" s="6">
        <f>IF(D229="","",ABS(D229-$E$5)/SQRT(0.9*(IF(G228="",$F$5^2,(ABS(D228-$E$5)/MAX(G228,0.0000000001))^2))+0.1*(D229-$E$5)^2))</f>
        <v>0.57672203240557052</v>
      </c>
      <c r="H229" s="6" t="str">
        <f>IF(E229="","",IF(E229&gt;$I$5,"OUTLIER",""))</f>
        <v/>
      </c>
      <c r="I229" s="6" t="str">
        <f>IF(F229="","",IF(F229&gt;$I$5,"OUTLIER",""))</f>
        <v/>
      </c>
      <c r="J229" s="6" t="str">
        <f>IF(G229="","",IF(G229&gt;$I$5,"OUTLIER",""))</f>
        <v/>
      </c>
      <c r="K229" s="6" t="str">
        <f>IF(C229="","MISSING","")</f>
        <v/>
      </c>
      <c r="L229" s="6" t="str">
        <f>IF(AND(C229&lt;&gt;"",C228&lt;&gt;"",C229=C228),"STALE","")</f>
        <v/>
      </c>
      <c r="M229" s="110">
        <f>IF(D229="","",ABS(D229-G$5))</f>
        <v>2.7879881194112577E-3</v>
      </c>
    </row>
    <row r="230" spans="2:13" s="107" customFormat="1" ht="12.75" customHeight="1" x14ac:dyDescent="0.4">
      <c r="B230" s="109">
        <v>44146</v>
      </c>
      <c r="C230" s="5"/>
      <c r="D230" s="6" t="str">
        <f>IF(OR(C230="",C229=""),"",LN(C230/C229))</f>
        <v/>
      </c>
      <c r="E230" s="6" t="str">
        <f>IF(D230="","",ABS(D230-$E$5)/$F$5)</f>
        <v/>
      </c>
      <c r="F230" s="6" t="str">
        <f>IF(D230="","",ABS(D230-$G$5)/$H$5)</f>
        <v/>
      </c>
      <c r="G230" s="6" t="str">
        <f>IF(D230="","",ABS(D230-$E$5)/SQRT(0.9*(IF(G229="",$F$5^2,(ABS(D229-$E$5)/MAX(G229,0.0000000001))^2))+0.1*(D230-$E$5)^2))</f>
        <v/>
      </c>
      <c r="H230" s="6" t="str">
        <f>IF(E230="","",IF(E230&gt;$I$5,"OUTLIER",""))</f>
        <v/>
      </c>
      <c r="I230" s="6" t="str">
        <f>IF(F230="","",IF(F230&gt;$I$5,"OUTLIER",""))</f>
        <v/>
      </c>
      <c r="J230" s="6" t="str">
        <f>IF(G230="","",IF(G230&gt;$I$5,"OUTLIER",""))</f>
        <v/>
      </c>
      <c r="K230" s="6" t="str">
        <f>IF(C230="","MISSING","")</f>
        <v>MISSING</v>
      </c>
      <c r="L230" s="6" t="str">
        <f>IF(AND(C230&lt;&gt;"",C229&lt;&gt;"",C230=C229),"STALE","")</f>
        <v/>
      </c>
      <c r="M230" s="110" t="str">
        <f>IF(D230="","",ABS(D230-G$5))</f>
        <v/>
      </c>
    </row>
    <row r="231" spans="2:13" s="107" customFormat="1" ht="12.75" customHeight="1" x14ac:dyDescent="0.4">
      <c r="B231" s="109">
        <v>44147</v>
      </c>
      <c r="C231" s="5">
        <v>1.1830000000000001</v>
      </c>
      <c r="D231" s="6" t="str">
        <f>IF(OR(C231="",C230=""),"",LN(C231/C230))</f>
        <v/>
      </c>
      <c r="E231" s="6" t="str">
        <f>IF(D231="","",ABS(D231-$E$5)/$F$5)</f>
        <v/>
      </c>
      <c r="F231" s="6" t="str">
        <f>IF(D231="","",ABS(D231-$G$5)/$H$5)</f>
        <v/>
      </c>
      <c r="G231" s="6" t="str">
        <f>IF(D231="","",ABS(D231-$E$5)/SQRT(0.9*(IF(G230="",$F$5^2,(ABS(D230-$E$5)/MAX(G230,0.0000000001))^2))+0.1*(D231-$E$5)^2))</f>
        <v/>
      </c>
      <c r="H231" s="6" t="str">
        <f>IF(E231="","",IF(E231&gt;$I$5,"OUTLIER",""))</f>
        <v/>
      </c>
      <c r="I231" s="6" t="str">
        <f>IF(F231="","",IF(F231&gt;$I$5,"OUTLIER",""))</f>
        <v/>
      </c>
      <c r="J231" s="6" t="str">
        <f>IF(G231="","",IF(G231&gt;$I$5,"OUTLIER",""))</f>
        <v/>
      </c>
      <c r="K231" s="6" t="str">
        <f>IF(C231="","MISSING","")</f>
        <v/>
      </c>
      <c r="L231" s="6" t="str">
        <f>IF(AND(C231&lt;&gt;"",C230&lt;&gt;"",C231=C230),"STALE","")</f>
        <v/>
      </c>
      <c r="M231" s="110" t="str">
        <f>IF(D231="","",ABS(D231-G$5))</f>
        <v/>
      </c>
    </row>
    <row r="232" spans="2:13" s="107" customFormat="1" ht="12.75" customHeight="1" x14ac:dyDescent="0.4">
      <c r="B232" s="109">
        <v>44148</v>
      </c>
      <c r="C232" s="5">
        <v>1.1849000000000001</v>
      </c>
      <c r="D232" s="6">
        <f>IF(OR(C232="",C231=""),"",LN(C232/C231))</f>
        <v>1.6047978443075146E-3</v>
      </c>
      <c r="E232" s="6">
        <f>IF(D232="","",ABS(D232-$E$5)/$F$5)</f>
        <v>0.29077638163824748</v>
      </c>
      <c r="F232" s="6">
        <f>IF(D232="","",ABS(D232-$G$5)/$H$5)</f>
        <v>0.53664213824939599</v>
      </c>
      <c r="G232" s="6">
        <f>IF(D232="","",ABS(D232-$E$5)/SQRT(0.9*(IF(G231="",$F$5^2,(ABS(D231-$E$5)/MAX(G231,0.0000000001))^2))+0.1*(D232-$E$5)^2))</f>
        <v>0.30507554556322208</v>
      </c>
      <c r="H232" s="6" t="str">
        <f>IF(E232="","",IF(E232&gt;$I$5,"OUTLIER",""))</f>
        <v/>
      </c>
      <c r="I232" s="6" t="str">
        <f>IF(F232="","",IF(F232&gt;$I$5,"OUTLIER",""))</f>
        <v/>
      </c>
      <c r="J232" s="6" t="str">
        <f>IF(G232="","",IF(G232&gt;$I$5,"OUTLIER",""))</f>
        <v/>
      </c>
      <c r="K232" s="6" t="str">
        <f>IF(C232="","MISSING","")</f>
        <v/>
      </c>
      <c r="L232" s="6" t="str">
        <f>IF(AND(C232&lt;&gt;"",C231&lt;&gt;"",C232=C231),"STALE","")</f>
        <v/>
      </c>
      <c r="M232" s="110">
        <f>IF(D232="","",ABS(D232-G$5))</f>
        <v>1.6047978443075146E-3</v>
      </c>
    </row>
    <row r="233" spans="2:13" s="107" customFormat="1" ht="12.75" customHeight="1" x14ac:dyDescent="0.4">
      <c r="B233" s="109">
        <v>44151</v>
      </c>
      <c r="C233" s="5">
        <v>1.1859999999999999</v>
      </c>
      <c r="D233" s="6">
        <f>IF(OR(C233="",C232=""),"",LN(C233/C232))</f>
        <v>9.2791773497644711E-4</v>
      </c>
      <c r="E233" s="6">
        <f>IF(D233="","",ABS(D233-$E$5)/$F$5)</f>
        <v>0.15660445077463811</v>
      </c>
      <c r="F233" s="6">
        <f>IF(D233="","",ABS(D233-$G$5)/$H$5)</f>
        <v>0.31029438329796066</v>
      </c>
      <c r="G233" s="6">
        <f>IF(D233="","",ABS(D233-$E$5)/SQRT(0.9*(IF(G232="",$F$5^2,(ABS(D232-$E$5)/MAX(G232,0.0000000001))^2))+0.1*(D233-$E$5)^2))</f>
        <v>0.17293413916609138</v>
      </c>
      <c r="H233" s="6" t="str">
        <f>IF(E233="","",IF(E233&gt;$I$5,"OUTLIER",""))</f>
        <v/>
      </c>
      <c r="I233" s="6" t="str">
        <f>IF(F233="","",IF(F233&gt;$I$5,"OUTLIER",""))</f>
        <v/>
      </c>
      <c r="J233" s="6" t="str">
        <f>IF(G233="","",IF(G233&gt;$I$5,"OUTLIER",""))</f>
        <v/>
      </c>
      <c r="K233" s="6" t="str">
        <f>IF(C233="","MISSING","")</f>
        <v/>
      </c>
      <c r="L233" s="6" t="str">
        <f>IF(AND(C233&lt;&gt;"",C232&lt;&gt;"",C233=C232),"STALE","")</f>
        <v/>
      </c>
      <c r="M233" s="110">
        <f>IF(D233="","",ABS(D233-G$5))</f>
        <v>9.2791773497644711E-4</v>
      </c>
    </row>
    <row r="234" spans="2:13" s="107" customFormat="1" ht="12.75" customHeight="1" x14ac:dyDescent="0.4">
      <c r="B234" s="109">
        <v>44152</v>
      </c>
      <c r="C234" s="5">
        <v>1.1882999999999999</v>
      </c>
      <c r="D234" s="6">
        <f>IF(OR(C234="",C233=""),"",LN(C234/C233))</f>
        <v>1.9374137383097794E-3</v>
      </c>
      <c r="E234" s="6">
        <f>IF(D234="","",ABS(D234-$E$5)/$F$5)</f>
        <v>0.35670787544194815</v>
      </c>
      <c r="F234" s="6">
        <f>IF(D234="","",ABS(D234-$G$5)/$H$5)</f>
        <v>0.64786842460456773</v>
      </c>
      <c r="G234" s="6">
        <f>IF(D234="","",ABS(D234-$E$5)/SQRT(0.9*(IF(G233="",$F$5^2,(ABS(D233-$E$5)/MAX(G233,0.0000000001))^2))+0.1*(D234-$E$5)^2))</f>
        <v>0.41167678148311815</v>
      </c>
      <c r="H234" s="6" t="str">
        <f>IF(E234="","",IF(E234&gt;$I$5,"OUTLIER",""))</f>
        <v/>
      </c>
      <c r="I234" s="6" t="str">
        <f>IF(F234="","",IF(F234&gt;$I$5,"OUTLIER",""))</f>
        <v/>
      </c>
      <c r="J234" s="6" t="str">
        <f>IF(G234="","",IF(G234&gt;$I$5,"OUTLIER",""))</f>
        <v/>
      </c>
      <c r="K234" s="6" t="str">
        <f>IF(C234="","MISSING","")</f>
        <v/>
      </c>
      <c r="L234" s="6" t="str">
        <f>IF(AND(C234&lt;&gt;"",C233&lt;&gt;"",C234=C233),"STALE","")</f>
        <v/>
      </c>
      <c r="M234" s="110">
        <f>IF(D234="","",ABS(D234-G$5))</f>
        <v>1.9374137383097794E-3</v>
      </c>
    </row>
    <row r="235" spans="2:13" s="107" customFormat="1" ht="12.75" customHeight="1" x14ac:dyDescent="0.4">
      <c r="B235" s="109">
        <v>44153</v>
      </c>
      <c r="C235" s="5">
        <v>1.1871</v>
      </c>
      <c r="D235" s="6">
        <f>IF(OR(C235="",C234=""),"",LN(C235/C234))</f>
        <v>-1.010356236492206E-3</v>
      </c>
      <c r="E235" s="6">
        <f>IF(D235="","",ABS(D235-$E$5)/$F$5)</f>
        <v>0.2276023795185938</v>
      </c>
      <c r="F235" s="6">
        <f>IF(D235="","",ABS(D235-$G$5)/$H$5)</f>
        <v>0.3378617020630123</v>
      </c>
      <c r="G235" s="6">
        <f>IF(D235="","",ABS(D235-$E$5)/SQRT(0.9*(IF(G234="",$F$5^2,(ABS(D234-$E$5)/MAX(G234,0.0000000001))^2))+0.1*(D235-$E$5)^2))</f>
        <v>0.27582955824721045</v>
      </c>
      <c r="H235" s="6" t="str">
        <f>IF(E235="","",IF(E235&gt;$I$5,"OUTLIER",""))</f>
        <v/>
      </c>
      <c r="I235" s="6" t="str">
        <f>IF(F235="","",IF(F235&gt;$I$5,"OUTLIER",""))</f>
        <v/>
      </c>
      <c r="J235" s="6" t="str">
        <f>IF(G235="","",IF(G235&gt;$I$5,"OUTLIER",""))</f>
        <v/>
      </c>
      <c r="K235" s="6" t="str">
        <f>IF(C235="","MISSING","")</f>
        <v/>
      </c>
      <c r="L235" s="6" t="str">
        <f>IF(AND(C235&lt;&gt;"",C234&lt;&gt;"",C235=C234),"STALE","")</f>
        <v/>
      </c>
      <c r="M235" s="110">
        <f>IF(D235="","",ABS(D235-G$5))</f>
        <v>1.010356236492206E-3</v>
      </c>
    </row>
    <row r="236" spans="2:13" s="107" customFormat="1" ht="12.75" customHeight="1" x14ac:dyDescent="0.4">
      <c r="B236" s="109">
        <v>44154</v>
      </c>
      <c r="C236" s="5">
        <v>1.1848000000000001</v>
      </c>
      <c r="D236" s="6">
        <f>IF(OR(C236="",C235=""),"",LN(C236/C235))</f>
        <v>-1.9393741058992726E-3</v>
      </c>
      <c r="E236" s="6">
        <f>IF(D236="","",ABS(D236-$E$5)/$F$5)</f>
        <v>0.4117533386423996</v>
      </c>
      <c r="F236" s="6">
        <f>IF(D236="","",ABS(D236-$G$5)/$H$5)</f>
        <v>0.64852396876467</v>
      </c>
      <c r="G236" s="6">
        <f>IF(D236="","",ABS(D236-$E$5)/SQRT(0.9*(IF(G235="",$F$5^2,(ABS(D235-$E$5)/MAX(G235,0.0000000001))^2))+0.1*(D236-$E$5)^2))</f>
        <v>0.51886419897263558</v>
      </c>
      <c r="H236" s="6" t="str">
        <f>IF(E236="","",IF(E236&gt;$I$5,"OUTLIER",""))</f>
        <v/>
      </c>
      <c r="I236" s="6" t="str">
        <f>IF(F236="","",IF(F236&gt;$I$5,"OUTLIER",""))</f>
        <v/>
      </c>
      <c r="J236" s="6" t="str">
        <f>IF(G236="","",IF(G236&gt;$I$5,"OUTLIER",""))</f>
        <v/>
      </c>
      <c r="K236" s="6" t="str">
        <f>IF(C236="","MISSING","")</f>
        <v/>
      </c>
      <c r="L236" s="6" t="str">
        <f>IF(AND(C236&lt;&gt;"",C235&lt;&gt;"",C236=C235),"STALE","")</f>
        <v/>
      </c>
      <c r="M236" s="110">
        <f>IF(D236="","",ABS(D236-G$5))</f>
        <v>1.9393741058992726E-3</v>
      </c>
    </row>
    <row r="237" spans="2:13" s="107" customFormat="1" ht="12.75" customHeight="1" x14ac:dyDescent="0.4">
      <c r="B237" s="109">
        <v>44155</v>
      </c>
      <c r="C237" s="5">
        <v>1.1839</v>
      </c>
      <c r="D237" s="6">
        <f>IF(OR(C237="",C236=""),"",LN(C237/C236))</f>
        <v>-7.5991053599862649E-4</v>
      </c>
      <c r="E237" s="6">
        <f>IF(D237="","",ABS(D237-$E$5)/$F$5)</f>
        <v>0.17795875319764751</v>
      </c>
      <c r="F237" s="6">
        <f>IF(D237="","",ABS(D237-$G$5)/$H$5)</f>
        <v>0.25411301265332714</v>
      </c>
      <c r="G237" s="6">
        <f>IF(D237="","",ABS(D237-$E$5)/SQRT(0.9*(IF(G236="",$F$5^2,(ABS(D236-$E$5)/MAX(G236,0.0000000001))^2))+0.1*(D237-$E$5)^2))</f>
        <v>0.23572449302019274</v>
      </c>
      <c r="H237" s="6" t="str">
        <f>IF(E237="","",IF(E237&gt;$I$5,"OUTLIER",""))</f>
        <v/>
      </c>
      <c r="I237" s="6" t="str">
        <f>IF(F237="","",IF(F237&gt;$I$5,"OUTLIER",""))</f>
        <v/>
      </c>
      <c r="J237" s="6" t="str">
        <f>IF(G237="","",IF(G237&gt;$I$5,"OUTLIER",""))</f>
        <v/>
      </c>
      <c r="K237" s="6" t="str">
        <f>IF(C237="","MISSING","")</f>
        <v/>
      </c>
      <c r="L237" s="6" t="str">
        <f>IF(AND(C237&lt;&gt;"",C236&lt;&gt;"",C237=C236),"STALE","")</f>
        <v/>
      </c>
      <c r="M237" s="110">
        <f>IF(D237="","",ABS(D237-G$5))</f>
        <v>7.5991053599862649E-4</v>
      </c>
    </row>
    <row r="238" spans="2:13" s="107" customFormat="1" ht="12.75" customHeight="1" x14ac:dyDescent="0.4">
      <c r="B238" s="109">
        <v>44158</v>
      </c>
      <c r="C238" s="5">
        <v>1.1863999999999999</v>
      </c>
      <c r="D238" s="6">
        <f>IF(OR(C238="",C237=""),"",LN(C238/C237))</f>
        <v>2.109438406131767E-3</v>
      </c>
      <c r="E238" s="6">
        <f>IF(D238="","",ABS(D238-$E$5)/$F$5)</f>
        <v>0.39080679712640565</v>
      </c>
      <c r="F238" s="6">
        <f>IF(D238="","",ABS(D238-$G$5)/$H$5)</f>
        <v>0.70539323117076091</v>
      </c>
      <c r="G238" s="6">
        <f>IF(D238="","",ABS(D238-$E$5)/SQRT(0.9*(IF(G237="",$F$5^2,(ABS(D237-$E$5)/MAX(G237,0.0000000001))^2))+0.1*(D238-$E$5)^2))</f>
        <v>0.53771856181151589</v>
      </c>
      <c r="H238" s="6" t="str">
        <f>IF(E238="","",IF(E238&gt;$I$5,"OUTLIER",""))</f>
        <v/>
      </c>
      <c r="I238" s="6" t="str">
        <f>IF(F238="","",IF(F238&gt;$I$5,"OUTLIER",""))</f>
        <v/>
      </c>
      <c r="J238" s="6" t="str">
        <f>IF(G238="","",IF(G238&gt;$I$5,"OUTLIER",""))</f>
        <v/>
      </c>
      <c r="K238" s="6" t="str">
        <f>IF(C238="","MISSING","")</f>
        <v/>
      </c>
      <c r="L238" s="6" t="str">
        <f>IF(AND(C238&lt;&gt;"",C237&lt;&gt;"",C238=C237),"STALE","")</f>
        <v/>
      </c>
      <c r="M238" s="110">
        <f>IF(D238="","",ABS(D238-G$5))</f>
        <v>2.109438406131767E-3</v>
      </c>
    </row>
    <row r="239" spans="2:13" s="107" customFormat="1" ht="12.75" customHeight="1" x14ac:dyDescent="0.4">
      <c r="B239" s="109">
        <v>44159</v>
      </c>
      <c r="C239" s="5">
        <v>1.1929000000000001</v>
      </c>
      <c r="D239" s="6">
        <f>IF(OR(C239="",C238=""),"",LN(C239/C238))</f>
        <v>5.4638054641780185E-3</v>
      </c>
      <c r="E239" s="6">
        <f>IF(D239="","",ABS(D239-$E$5)/$F$5)</f>
        <v>1.0557131798063872</v>
      </c>
      <c r="F239" s="6">
        <f>IF(D239="","",ABS(D239-$G$5)/$H$5)</f>
        <v>1.8270888496491333</v>
      </c>
      <c r="G239" s="6">
        <f>IF(D239="","",ABS(D239-$E$5)/SQRT(0.9*(IF(G238="",$F$5^2,(ABS(D238-$E$5)/MAX(G238,0.0000000001))^2))+0.1*(D239-$E$5)^2))</f>
        <v>1.3781049187334387</v>
      </c>
      <c r="H239" s="6" t="str">
        <f>IF(E239="","",IF(E239&gt;$I$5,"OUTLIER",""))</f>
        <v/>
      </c>
      <c r="I239" s="6" t="str">
        <f>IF(F239="","",IF(F239&gt;$I$5,"OUTLIER",""))</f>
        <v/>
      </c>
      <c r="J239" s="6" t="str">
        <f>IF(G239="","",IF(G239&gt;$I$5,"OUTLIER",""))</f>
        <v/>
      </c>
      <c r="K239" s="6" t="str">
        <f>IF(C239="","MISSING","")</f>
        <v/>
      </c>
      <c r="L239" s="6" t="str">
        <f>IF(AND(C239&lt;&gt;"",C238&lt;&gt;"",C239=C238),"STALE","")</f>
        <v/>
      </c>
      <c r="M239" s="110">
        <f>IF(D239="","",ABS(D239-G$5))</f>
        <v>5.4638054641780185E-3</v>
      </c>
    </row>
    <row r="240" spans="2:13" s="107" customFormat="1" ht="12.75" customHeight="1" x14ac:dyDescent="0.4">
      <c r="B240" s="109">
        <v>44160</v>
      </c>
      <c r="C240" s="5">
        <v>1.1922999999999999</v>
      </c>
      <c r="D240" s="6">
        <f>IF(OR(C240="",C239=""),"",LN(C240/C239))</f>
        <v>-5.0310247581395167E-4</v>
      </c>
      <c r="E240" s="6">
        <f>IF(D240="","",ABS(D240-$E$5)/$F$5)</f>
        <v>0.12705397283651726</v>
      </c>
      <c r="F240" s="6">
        <f>IF(D240="","",ABS(D240-$G$5)/$H$5)</f>
        <v>0.16823675912642166</v>
      </c>
      <c r="G240" s="6">
        <f>IF(D240="","",ABS(D240-$E$5)/SQRT(0.9*(IF(G239="",$F$5^2,(ABS(D239-$E$5)/MAX(G239,0.0000000001))^2))+0.1*(D240-$E$5)^2))</f>
        <v>0.17455836396849855</v>
      </c>
      <c r="H240" s="6" t="str">
        <f>IF(E240="","",IF(E240&gt;$I$5,"OUTLIER",""))</f>
        <v/>
      </c>
      <c r="I240" s="6" t="str">
        <f>IF(F240="","",IF(F240&gt;$I$5,"OUTLIER",""))</f>
        <v/>
      </c>
      <c r="J240" s="6" t="str">
        <f>IF(G240="","",IF(G240&gt;$I$5,"OUTLIER",""))</f>
        <v/>
      </c>
      <c r="K240" s="6" t="str">
        <f>IF(C240="","MISSING","")</f>
        <v/>
      </c>
      <c r="L240" s="6" t="str">
        <f>IF(AND(C240&lt;&gt;"",C239&lt;&gt;"",C240=C239),"STALE","")</f>
        <v/>
      </c>
      <c r="M240" s="110">
        <f>IF(D240="","",ABS(D240-G$5))</f>
        <v>5.0310247581395167E-4</v>
      </c>
    </row>
    <row r="241" spans="2:13" s="107" customFormat="1" ht="12.75" customHeight="1" x14ac:dyDescent="0.4">
      <c r="B241" s="109">
        <v>44162</v>
      </c>
      <c r="C241" s="5"/>
      <c r="D241" s="6" t="str">
        <f>IF(OR(C241="",C240=""),"",LN(C241/C240))</f>
        <v/>
      </c>
      <c r="E241" s="6" t="str">
        <f>IF(D241="","",ABS(D241-$E$5)/$F$5)</f>
        <v/>
      </c>
      <c r="F241" s="6" t="str">
        <f>IF(D241="","",ABS(D241-$G$5)/$H$5)</f>
        <v/>
      </c>
      <c r="G241" s="6" t="str">
        <f>IF(D241="","",ABS(D241-$E$5)/SQRT(0.9*(IF(G240="",$F$5^2,(ABS(D240-$E$5)/MAX(G240,0.0000000001))^2))+0.1*(D241-$E$5)^2))</f>
        <v/>
      </c>
      <c r="H241" s="6" t="str">
        <f>IF(E241="","",IF(E241&gt;$I$5,"OUTLIER",""))</f>
        <v/>
      </c>
      <c r="I241" s="6" t="str">
        <f>IF(F241="","",IF(F241&gt;$I$5,"OUTLIER",""))</f>
        <v/>
      </c>
      <c r="J241" s="6" t="str">
        <f>IF(G241="","",IF(G241&gt;$I$5,"OUTLIER",""))</f>
        <v/>
      </c>
      <c r="K241" s="6" t="str">
        <f>IF(C241="","MISSING","")</f>
        <v>MISSING</v>
      </c>
      <c r="L241" s="6" t="str">
        <f>IF(AND(C241&lt;&gt;"",C240&lt;&gt;"",C241=C240),"STALE","")</f>
        <v/>
      </c>
      <c r="M241" s="110" t="str">
        <f>IF(D241="","",ABS(D241-G$5))</f>
        <v/>
      </c>
    </row>
    <row r="242" spans="2:13" s="107" customFormat="1" ht="12.75" customHeight="1" x14ac:dyDescent="0.4">
      <c r="B242" s="109">
        <v>44165</v>
      </c>
      <c r="C242" s="5">
        <v>1.1963999999999999</v>
      </c>
      <c r="D242" s="6" t="str">
        <f>IF(OR(C242="",C241=""),"",LN(C242/C241))</f>
        <v/>
      </c>
      <c r="E242" s="6" t="str">
        <f>IF(D242="","",ABS(D242-$E$5)/$F$5)</f>
        <v/>
      </c>
      <c r="F242" s="6" t="str">
        <f>IF(D242="","",ABS(D242-$G$5)/$H$5)</f>
        <v/>
      </c>
      <c r="G242" s="6" t="str">
        <f>IF(D242="","",ABS(D242-$E$5)/SQRT(0.9*(IF(G241="",$F$5^2,(ABS(D241-$E$5)/MAX(G241,0.0000000001))^2))+0.1*(D242-$E$5)^2))</f>
        <v/>
      </c>
      <c r="H242" s="6" t="str">
        <f>IF(E242="","",IF(E242&gt;$I$5,"OUTLIER",""))</f>
        <v/>
      </c>
      <c r="I242" s="6" t="str">
        <f>IF(F242="","",IF(F242&gt;$I$5,"OUTLIER",""))</f>
        <v/>
      </c>
      <c r="J242" s="6" t="str">
        <f>IF(G242="","",IF(G242&gt;$I$5,"OUTLIER",""))</f>
        <v/>
      </c>
      <c r="K242" s="6" t="str">
        <f>IF(C242="","MISSING","")</f>
        <v/>
      </c>
      <c r="L242" s="6" t="str">
        <f>IF(AND(C242&lt;&gt;"",C241&lt;&gt;"",C242=C241),"STALE","")</f>
        <v/>
      </c>
      <c r="M242" s="110" t="str">
        <f>IF(D242="","",ABS(D242-G$5))</f>
        <v/>
      </c>
    </row>
    <row r="243" spans="2:13" s="107" customFormat="1" ht="12.75" customHeight="1" x14ac:dyDescent="0.4">
      <c r="B243" s="109">
        <v>44166</v>
      </c>
      <c r="C243" s="5">
        <v>1.2057</v>
      </c>
      <c r="D243" s="6">
        <f>IF(OR(C243="",C242=""),"",LN(C243/C242))</f>
        <v>7.7432633674722525E-3</v>
      </c>
      <c r="E243" s="6">
        <f>IF(D243="","",ABS(D243-$E$5)/$F$5)</f>
        <v>1.5075498699250407</v>
      </c>
      <c r="F243" s="6">
        <f>IF(D243="","",ABS(D243-$G$5)/$H$5)</f>
        <v>2.5893363611424878</v>
      </c>
      <c r="G243" s="6">
        <f>IF(D243="","",ABS(D243-$E$5)/SQRT(0.9*(IF(G242="",$F$5^2,(ABS(D242-$E$5)/MAX(G242,0.0000000001))^2))+0.1*(D243-$E$5)^2))</f>
        <v>1.4198994324052667</v>
      </c>
      <c r="H243" s="6" t="str">
        <f>IF(E243="","",IF(E243&gt;$I$5,"OUTLIER",""))</f>
        <v/>
      </c>
      <c r="I243" s="6" t="str">
        <f>IF(F243="","",IF(F243&gt;$I$5,"OUTLIER",""))</f>
        <v/>
      </c>
      <c r="J243" s="6" t="str">
        <f>IF(G243="","",IF(G243&gt;$I$5,"OUTLIER",""))</f>
        <v/>
      </c>
      <c r="K243" s="6" t="str">
        <f>IF(C243="","MISSING","")</f>
        <v/>
      </c>
      <c r="L243" s="6" t="str">
        <f>IF(AND(C243&lt;&gt;"",C242&lt;&gt;"",C243=C242),"STALE","")</f>
        <v/>
      </c>
      <c r="M243" s="110">
        <f>IF(D243="","",ABS(D243-G$5))</f>
        <v>7.7432633674722525E-3</v>
      </c>
    </row>
    <row r="244" spans="2:13" s="107" customFormat="1" ht="12.75" customHeight="1" x14ac:dyDescent="0.4">
      <c r="B244" s="109">
        <v>44167</v>
      </c>
      <c r="C244" s="5">
        <v>1.2104999999999999</v>
      </c>
      <c r="D244" s="6">
        <f>IF(OR(C244="",C243=""),"",LN(C244/C243))</f>
        <v>3.9731862548479258E-3</v>
      </c>
      <c r="E244" s="6">
        <f>IF(D244="","",ABS(D244-$E$5)/$F$5)</f>
        <v>0.76024097617514685</v>
      </c>
      <c r="F244" s="6">
        <f>IF(D244="","",ABS(D244-$G$5)/$H$5)</f>
        <v>1.3286278860779228</v>
      </c>
      <c r="G244" s="6">
        <f>IF(D244="","",ABS(D244-$E$5)/SQRT(0.9*(IF(G243="",$F$5^2,(ABS(D243-$E$5)/MAX(G243,0.0000000001))^2))+0.1*(D244-$E$5)^2))</f>
        <v>0.73415028957019257</v>
      </c>
      <c r="H244" s="6" t="str">
        <f>IF(E244="","",IF(E244&gt;$I$5,"OUTLIER",""))</f>
        <v/>
      </c>
      <c r="I244" s="6" t="str">
        <f>IF(F244="","",IF(F244&gt;$I$5,"OUTLIER",""))</f>
        <v/>
      </c>
      <c r="J244" s="6" t="str">
        <f>IF(G244="","",IF(G244&gt;$I$5,"OUTLIER",""))</f>
        <v/>
      </c>
      <c r="K244" s="6" t="str">
        <f>IF(C244="","MISSING","")</f>
        <v/>
      </c>
      <c r="L244" s="6" t="str">
        <f>IF(AND(C244&lt;&gt;"",C243&lt;&gt;"",C244=C243),"STALE","")</f>
        <v/>
      </c>
      <c r="M244" s="110">
        <f>IF(D244="","",ABS(D244-G$5))</f>
        <v>3.9731862548479258E-3</v>
      </c>
    </row>
    <row r="245" spans="2:13" s="107" customFormat="1" ht="12.75" customHeight="1" x14ac:dyDescent="0.4">
      <c r="B245" s="109">
        <v>44168</v>
      </c>
      <c r="C245" s="5">
        <v>1.2099</v>
      </c>
      <c r="D245" s="6">
        <f>IF(OR(C245="",C244=""),"",LN(C245/C244))</f>
        <v>-4.9578583068093278E-4</v>
      </c>
      <c r="E245" s="6">
        <f>IF(D245="","",ABS(D245-$E$5)/$F$5)</f>
        <v>0.12560365927077941</v>
      </c>
      <c r="F245" s="6">
        <f>IF(D245="","",ABS(D245-$G$5)/$H$5)</f>
        <v>0.16579008330184791</v>
      </c>
      <c r="G245" s="6">
        <f>IF(D245="","",ABS(D245-$E$5)/SQRT(0.9*(IF(G244="",$F$5^2,(ABS(D244-$E$5)/MAX(G244,0.0000000001))^2))+0.1*(D245-$E$5)^2))</f>
        <v>0.12774975153218127</v>
      </c>
      <c r="H245" s="6" t="str">
        <f>IF(E245="","",IF(E245&gt;$I$5,"OUTLIER",""))</f>
        <v/>
      </c>
      <c r="I245" s="6" t="str">
        <f>IF(F245="","",IF(F245&gt;$I$5,"OUTLIER",""))</f>
        <v/>
      </c>
      <c r="J245" s="6" t="str">
        <f>IF(G245="","",IF(G245&gt;$I$5,"OUTLIER",""))</f>
        <v/>
      </c>
      <c r="K245" s="6" t="str">
        <f>IF(C245="","MISSING","")</f>
        <v/>
      </c>
      <c r="L245" s="6" t="str">
        <f>IF(AND(C245&lt;&gt;"",C244&lt;&gt;"",C245=C244),"STALE","")</f>
        <v/>
      </c>
      <c r="M245" s="110">
        <f>IF(D245="","",ABS(D245-G$5))</f>
        <v>4.9578583068093278E-4</v>
      </c>
    </row>
    <row r="246" spans="2:13" s="107" customFormat="1" ht="12.75" customHeight="1" x14ac:dyDescent="0.4">
      <c r="B246" s="109">
        <v>44169</v>
      </c>
      <c r="C246" s="5">
        <v>1.2119</v>
      </c>
      <c r="D246" s="6">
        <f>IF(OR(C246="",C245=""),"",LN(C246/C245))</f>
        <v>1.6516644270094859E-3</v>
      </c>
      <c r="E246" s="6">
        <f>IF(D246="","",ABS(D246-$E$5)/$F$5)</f>
        <v>0.30006632797795729</v>
      </c>
      <c r="F246" s="6">
        <f>IF(D246="","",ABS(D246-$G$5)/$H$5)</f>
        <v>0.55231425747789664</v>
      </c>
      <c r="G246" s="6">
        <f>IF(D246="","",ABS(D246-$E$5)/SQRT(0.9*(IF(G245="",$F$5^2,(ABS(D245-$E$5)/MAX(G245,0.0000000001))^2))+0.1*(D246-$E$5)^2))</f>
        <v>0.32005014333650805</v>
      </c>
      <c r="H246" s="6" t="str">
        <f>IF(E246="","",IF(E246&gt;$I$5,"OUTLIER",""))</f>
        <v/>
      </c>
      <c r="I246" s="6" t="str">
        <f>IF(F246="","",IF(F246&gt;$I$5,"OUTLIER",""))</f>
        <v/>
      </c>
      <c r="J246" s="6" t="str">
        <f>IF(G246="","",IF(G246&gt;$I$5,"OUTLIER",""))</f>
        <v/>
      </c>
      <c r="K246" s="6" t="str">
        <f>IF(C246="","MISSING","")</f>
        <v/>
      </c>
      <c r="L246" s="6" t="str">
        <f>IF(AND(C246&lt;&gt;"",C245&lt;&gt;"",C246=C245),"STALE","")</f>
        <v/>
      </c>
      <c r="M246" s="110">
        <f>IF(D246="","",ABS(D246-G$5))</f>
        <v>1.6516644270094859E-3</v>
      </c>
    </row>
    <row r="247" spans="2:13" s="107" customFormat="1" ht="12.75" customHeight="1" x14ac:dyDescent="0.4">
      <c r="B247" s="109">
        <v>44172</v>
      </c>
      <c r="C247" s="5">
        <v>1.2098</v>
      </c>
      <c r="D247" s="6">
        <f>IF(OR(C247="",C246=""),"",LN(C247/C246))</f>
        <v>-1.7343193016278308E-3</v>
      </c>
      <c r="E247" s="6">
        <f>IF(D247="","",ABS(D247-$E$5)/$F$5)</f>
        <v>0.37110714643984188</v>
      </c>
      <c r="F247" s="6">
        <f>IF(D247="","",ABS(D247-$G$5)/$H$5)</f>
        <v>0.57995393110362015</v>
      </c>
      <c r="G247" s="6">
        <f>IF(D247="","",ABS(D247-$E$5)/SQRT(0.9*(IF(G246="",$F$5^2,(ABS(D246-$E$5)/MAX(G246,0.0000000001))^2))+0.1*(D247-$E$5)^2))</f>
        <v>0.41364823553885588</v>
      </c>
      <c r="H247" s="6" t="str">
        <f>IF(E247="","",IF(E247&gt;$I$5,"OUTLIER",""))</f>
        <v/>
      </c>
      <c r="I247" s="6" t="str">
        <f>IF(F247="","",IF(F247&gt;$I$5,"OUTLIER",""))</f>
        <v/>
      </c>
      <c r="J247" s="6" t="str">
        <f>IF(G247="","",IF(G247&gt;$I$5,"OUTLIER",""))</f>
        <v/>
      </c>
      <c r="K247" s="6" t="str">
        <f>IF(C247="","MISSING","")</f>
        <v/>
      </c>
      <c r="L247" s="6" t="str">
        <f>IF(AND(C247&lt;&gt;"",C246&lt;&gt;"",C247=C246),"STALE","")</f>
        <v/>
      </c>
      <c r="M247" s="110">
        <f>IF(D247="","",ABS(D247-G$5))</f>
        <v>1.7343193016278308E-3</v>
      </c>
    </row>
    <row r="248" spans="2:13" s="107" customFormat="1" ht="12.75" customHeight="1" x14ac:dyDescent="0.4">
      <c r="B248" s="109">
        <v>44173</v>
      </c>
      <c r="C248" s="5">
        <v>1.2083999999999999</v>
      </c>
      <c r="D248" s="6">
        <f>IF(OR(C248="",C247=""),"",LN(C248/C247))</f>
        <v>-1.1578861602969761E-3</v>
      </c>
      <c r="E248" s="6">
        <f>IF(D248="","",ABS(D248-$E$5)/$F$5)</f>
        <v>0.25684592570081077</v>
      </c>
      <c r="F248" s="6">
        <f>IF(D248="","",ABS(D248-$G$5)/$H$5)</f>
        <v>0.3871955007387734</v>
      </c>
      <c r="G248" s="6">
        <f>IF(D248="","",ABS(D248-$E$5)/SQRT(0.9*(IF(G247="",$F$5^2,(ABS(D247-$E$5)/MAX(G247,0.0000000001))^2))+0.1*(D248-$E$5)^2))</f>
        <v>0.3004102279805298</v>
      </c>
      <c r="H248" s="6" t="str">
        <f>IF(E248="","",IF(E248&gt;$I$5,"OUTLIER",""))</f>
        <v/>
      </c>
      <c r="I248" s="6" t="str">
        <f>IF(F248="","",IF(F248&gt;$I$5,"OUTLIER",""))</f>
        <v/>
      </c>
      <c r="J248" s="6" t="str">
        <f>IF(G248="","",IF(G248&gt;$I$5,"OUTLIER",""))</f>
        <v/>
      </c>
      <c r="K248" s="6" t="str">
        <f>IF(C248="","MISSING","")</f>
        <v/>
      </c>
      <c r="L248" s="6" t="str">
        <f>IF(AND(C248&lt;&gt;"",C247&lt;&gt;"",C248=C247),"STALE","")</f>
        <v/>
      </c>
      <c r="M248" s="110">
        <f>IF(D248="","",ABS(D248-G$5))</f>
        <v>1.1578861602969761E-3</v>
      </c>
    </row>
    <row r="249" spans="2:13" s="107" customFormat="1" ht="12.75" customHeight="1" x14ac:dyDescent="0.4">
      <c r="B249" s="109">
        <v>44174</v>
      </c>
      <c r="C249" s="5">
        <v>1.2094</v>
      </c>
      <c r="D249" s="6">
        <f>IF(OR(C249="",C248=""),"",LN(C249/C248))</f>
        <v>8.2719832659575838E-4</v>
      </c>
      <c r="E249" s="6">
        <f>IF(D249="","",ABS(D249-$E$5)/$F$5)</f>
        <v>0.13663973721372041</v>
      </c>
      <c r="F249" s="6">
        <f>IF(D249="","",ABS(D249-$G$5)/$H$5)</f>
        <v>0.27661395503196301</v>
      </c>
      <c r="G249" s="6">
        <f>IF(D249="","",ABS(D249-$E$5)/SQRT(0.9*(IF(G248="",$F$5^2,(ABS(D248-$E$5)/MAX(G248,0.0000000001))^2))+0.1*(D249-$E$5)^2))</f>
        <v>0.16822185977853654</v>
      </c>
      <c r="H249" s="6" t="str">
        <f>IF(E249="","",IF(E249&gt;$I$5,"OUTLIER",""))</f>
        <v/>
      </c>
      <c r="I249" s="6" t="str">
        <f>IF(F249="","",IF(F249&gt;$I$5,"OUTLIER",""))</f>
        <v/>
      </c>
      <c r="J249" s="6" t="str">
        <f>IF(G249="","",IF(G249&gt;$I$5,"OUTLIER",""))</f>
        <v/>
      </c>
      <c r="K249" s="6" t="str">
        <f>IF(C249="","MISSING","")</f>
        <v/>
      </c>
      <c r="L249" s="6" t="str">
        <f>IF(AND(C249&lt;&gt;"",C248&lt;&gt;"",C249=C248),"STALE","")</f>
        <v/>
      </c>
      <c r="M249" s="110">
        <f>IF(D249="","",ABS(D249-G$5))</f>
        <v>8.2719832659575838E-4</v>
      </c>
    </row>
    <row r="250" spans="2:13" s="107" customFormat="1" ht="12.75" customHeight="1" x14ac:dyDescent="0.4">
      <c r="B250" s="109">
        <v>44175</v>
      </c>
      <c r="C250" s="5">
        <v>1.2154</v>
      </c>
      <c r="D250" s="6">
        <f>IF(OR(C250="",C249=""),"",LN(C250/C249))</f>
        <v>4.9488718621422323E-3</v>
      </c>
      <c r="E250" s="6">
        <f>IF(D250="","",ABS(D250-$E$5)/$F$5)</f>
        <v>0.95364246639751882</v>
      </c>
      <c r="F250" s="6">
        <f>IF(D250="","",ABS(D250-$G$5)/$H$5)</f>
        <v>1.6548957785821734</v>
      </c>
      <c r="G250" s="6">
        <f>IF(D250="","",ABS(D250-$E$5)/SQRT(0.9*(IF(G249="",$F$5^2,(ABS(D249-$E$5)/MAX(G249,0.0000000001))^2))+0.1*(D250-$E$5)^2))</f>
        <v>1.1524586319200774</v>
      </c>
      <c r="H250" s="6" t="str">
        <f>IF(E250="","",IF(E250&gt;$I$5,"OUTLIER",""))</f>
        <v/>
      </c>
      <c r="I250" s="6" t="str">
        <f>IF(F250="","",IF(F250&gt;$I$5,"OUTLIER",""))</f>
        <v/>
      </c>
      <c r="J250" s="6" t="str">
        <f>IF(G250="","",IF(G250&gt;$I$5,"OUTLIER",""))</f>
        <v/>
      </c>
      <c r="K250" s="6" t="str">
        <f>IF(C250="","MISSING","")</f>
        <v/>
      </c>
      <c r="L250" s="6" t="str">
        <f>IF(AND(C250&lt;&gt;"",C249&lt;&gt;"",C250=C249),"STALE","")</f>
        <v/>
      </c>
      <c r="M250" s="110">
        <f>IF(D250="","",ABS(D250-G$5))</f>
        <v>4.9488718621422323E-3</v>
      </c>
    </row>
    <row r="251" spans="2:13" s="107" customFormat="1" ht="12.75" customHeight="1" x14ac:dyDescent="0.4">
      <c r="B251" s="109">
        <v>44176</v>
      </c>
      <c r="C251" s="5">
        <v>1.2141</v>
      </c>
      <c r="D251" s="6">
        <f>IF(OR(C251="",C250=""),"",LN(C251/C250))</f>
        <v>-1.0701791513253566E-3</v>
      </c>
      <c r="E251" s="6">
        <f>IF(D251="","",ABS(D251-$E$5)/$F$5)</f>
        <v>0.23946054447632226</v>
      </c>
      <c r="F251" s="6">
        <f>IF(D251="","",ABS(D251-$G$5)/$H$5)</f>
        <v>0.35786640050291235</v>
      </c>
      <c r="G251" s="6">
        <f>IF(D251="","",ABS(D251-$E$5)/SQRT(0.9*(IF(G250="",$F$5^2,(ABS(D250-$E$5)/MAX(G250,0.0000000001))^2))+0.1*(D251-$E$5)^2))</f>
        <v>0.30362764709483181</v>
      </c>
      <c r="H251" s="6" t="str">
        <f>IF(E251="","",IF(E251&gt;$I$5,"OUTLIER",""))</f>
        <v/>
      </c>
      <c r="I251" s="6" t="str">
        <f>IF(F251="","",IF(F251&gt;$I$5,"OUTLIER",""))</f>
        <v/>
      </c>
      <c r="J251" s="6" t="str">
        <f>IF(G251="","",IF(G251&gt;$I$5,"OUTLIER",""))</f>
        <v/>
      </c>
      <c r="K251" s="6" t="str">
        <f>IF(C251="","MISSING","")</f>
        <v/>
      </c>
      <c r="L251" s="6" t="str">
        <f>IF(AND(C251&lt;&gt;"",C250&lt;&gt;"",C251=C250),"STALE","")</f>
        <v/>
      </c>
      <c r="M251" s="110">
        <f>IF(D251="","",ABS(D251-G$5))</f>
        <v>1.0701791513253566E-3</v>
      </c>
    </row>
    <row r="252" spans="2:13" s="107" customFormat="1" ht="12.75" customHeight="1" x14ac:dyDescent="0.4">
      <c r="B252" s="109">
        <v>44179</v>
      </c>
      <c r="C252" s="5">
        <v>1.2223999999999999</v>
      </c>
      <c r="D252" s="6">
        <f>IF(OR(C252="",C251=""),"",LN(C252/C251))</f>
        <v>6.8130778623264939E-3</v>
      </c>
      <c r="E252" s="6">
        <f>IF(D252="","",ABS(D252-$E$5)/$F$5)</f>
        <v>1.3231674607416954</v>
      </c>
      <c r="F252" s="6">
        <f>IF(D252="","",ABS(D252-$G$5)/$H$5)</f>
        <v>2.2782836386948118</v>
      </c>
      <c r="G252" s="6">
        <f>IF(D252="","",ABS(D252-$E$5)/SQRT(0.9*(IF(G251="",$F$5^2,(ABS(D251-$E$5)/MAX(G251,0.0000000001))^2))+0.1*(D252-$E$5)^2))</f>
        <v>1.5435096789811811</v>
      </c>
      <c r="H252" s="6" t="str">
        <f>IF(E252="","",IF(E252&gt;$I$5,"OUTLIER",""))</f>
        <v/>
      </c>
      <c r="I252" s="6" t="str">
        <f>IF(F252="","",IF(F252&gt;$I$5,"OUTLIER",""))</f>
        <v/>
      </c>
      <c r="J252" s="6" t="str">
        <f>IF(G252="","",IF(G252&gt;$I$5,"OUTLIER",""))</f>
        <v/>
      </c>
      <c r="K252" s="6" t="str">
        <f>IF(C252="","MISSING","")</f>
        <v/>
      </c>
      <c r="L252" s="6" t="str">
        <f>IF(AND(C252&lt;&gt;"",C251&lt;&gt;"",C252=C251),"STALE","")</f>
        <v/>
      </c>
      <c r="M252" s="110">
        <f>IF(D252="","",ABS(D252-G$5))</f>
        <v>6.8130778623264939E-3</v>
      </c>
    </row>
    <row r="253" spans="2:13" s="107" customFormat="1" ht="12.75" customHeight="1" x14ac:dyDescent="0.4">
      <c r="B253" s="109">
        <v>44180</v>
      </c>
      <c r="C253" s="5">
        <v>1.2242</v>
      </c>
      <c r="D253" s="6">
        <f>IF(OR(C253="",C252=""),"",LN(C253/C252))</f>
        <v>1.4714300047133854E-3</v>
      </c>
      <c r="E253" s="6">
        <f>IF(D253="","",ABS(D253-$E$5)/$F$5)</f>
        <v>0.26434005959720458</v>
      </c>
      <c r="F253" s="6">
        <f>IF(D253="","",ABS(D253-$G$5)/$H$5)</f>
        <v>0.49204412058170693</v>
      </c>
      <c r="G253" s="6">
        <f>IF(D253="","",ABS(D253-$E$5)/SQRT(0.9*(IF(G252="",$F$5^2,(ABS(D252-$E$5)/MAX(G252,0.0000000001))^2))+0.1*(D253-$E$5)^2))</f>
        <v>0.32333605226177042</v>
      </c>
      <c r="H253" s="6" t="str">
        <f>IF(E253="","",IF(E253&gt;$I$5,"OUTLIER",""))</f>
        <v/>
      </c>
      <c r="I253" s="6" t="str">
        <f>IF(F253="","",IF(F253&gt;$I$5,"OUTLIER",""))</f>
        <v/>
      </c>
      <c r="J253" s="6" t="str">
        <f>IF(G253="","",IF(G253&gt;$I$5,"OUTLIER",""))</f>
        <v/>
      </c>
      <c r="K253" s="6" t="str">
        <f>IF(C253="","MISSING","")</f>
        <v/>
      </c>
      <c r="L253" s="6" t="str">
        <f>IF(AND(C253&lt;&gt;"",C252&lt;&gt;"",C253=C252),"STALE","")</f>
        <v/>
      </c>
      <c r="M253" s="110">
        <f>IF(D253="","",ABS(D253-G$5))</f>
        <v>1.4714300047133854E-3</v>
      </c>
    </row>
    <row r="254" spans="2:13" s="107" customFormat="1" ht="12.75" customHeight="1" x14ac:dyDescent="0.4">
      <c r="B254" s="109">
        <v>44181</v>
      </c>
      <c r="C254" s="5">
        <v>1.2262999999999999</v>
      </c>
      <c r="D254" s="6">
        <f>IF(OR(C254="",C253=""),"",LN(C254/C253))</f>
        <v>1.7139363510108691E-3</v>
      </c>
      <c r="E254" s="6">
        <f>IF(D254="","",ABS(D254-$E$5)/$F$5)</f>
        <v>0.31240993826680824</v>
      </c>
      <c r="F254" s="6">
        <f>IF(D254="","",ABS(D254-$G$5)/$H$5)</f>
        <v>0.57313790113341645</v>
      </c>
      <c r="G254" s="6">
        <f>IF(D254="","",ABS(D254-$E$5)/SQRT(0.9*(IF(G253="",$F$5^2,(ABS(D253-$E$5)/MAX(G253,0.0000000001))^2))+0.1*(D254-$E$5)^2))</f>
        <v>0.39957633478794991</v>
      </c>
      <c r="H254" s="6" t="str">
        <f>IF(E254="","",IF(E254&gt;$I$5,"OUTLIER",""))</f>
        <v/>
      </c>
      <c r="I254" s="6" t="str">
        <f>IF(F254="","",IF(F254&gt;$I$5,"OUTLIER",""))</f>
        <v/>
      </c>
      <c r="J254" s="6" t="str">
        <f>IF(G254="","",IF(G254&gt;$I$5,"OUTLIER",""))</f>
        <v/>
      </c>
      <c r="K254" s="6" t="str">
        <f>IF(C254="","MISSING","")</f>
        <v/>
      </c>
      <c r="L254" s="6" t="str">
        <f>IF(AND(C254&lt;&gt;"",C253&lt;&gt;"",C254=C253),"STALE","")</f>
        <v/>
      </c>
      <c r="M254" s="110">
        <f>IF(D254="","",ABS(D254-G$5))</f>
        <v>1.7139363510108691E-3</v>
      </c>
    </row>
    <row r="255" spans="2:13" s="107" customFormat="1" ht="12.75" customHeight="1" x14ac:dyDescent="0.4">
      <c r="B255" s="109">
        <v>44182</v>
      </c>
      <c r="C255" s="5">
        <v>1.2231000000000001</v>
      </c>
      <c r="D255" s="6">
        <f>IF(OR(C255="",C254=""),"",LN(C255/C254))</f>
        <v>-2.6128862746628658E-3</v>
      </c>
      <c r="E255" s="6">
        <f>IF(D255="","",ABS(D255-$E$5)/$F$5)</f>
        <v>0.5452576725671382</v>
      </c>
      <c r="F255" s="6">
        <f>IF(D255="","",ABS(D255-$G$5)/$H$5)</f>
        <v>0.87374548913519701</v>
      </c>
      <c r="G255" s="6">
        <f>IF(D255="","",ABS(D255-$E$5)/SQRT(0.9*(IF(G254="",$F$5^2,(ABS(D254-$E$5)/MAX(G254,0.0000000001))^2))+0.1*(D255-$E$5)^2))</f>
        <v>0.71602307161470558</v>
      </c>
      <c r="H255" s="6" t="str">
        <f>IF(E255="","",IF(E255&gt;$I$5,"OUTLIER",""))</f>
        <v/>
      </c>
      <c r="I255" s="6" t="str">
        <f>IF(F255="","",IF(F255&gt;$I$5,"OUTLIER",""))</f>
        <v/>
      </c>
      <c r="J255" s="6" t="str">
        <f>IF(G255="","",IF(G255&gt;$I$5,"OUTLIER",""))</f>
        <v/>
      </c>
      <c r="K255" s="6" t="str">
        <f>IF(C255="","MISSING","")</f>
        <v/>
      </c>
      <c r="L255" s="6" t="str">
        <f>IF(AND(C255&lt;&gt;"",C254&lt;&gt;"",C255=C254),"STALE","")</f>
        <v/>
      </c>
      <c r="M255" s="110">
        <f>IF(D255="","",ABS(D255-G$5))</f>
        <v>2.6128862746628658E-3</v>
      </c>
    </row>
    <row r="256" spans="2:13" s="107" customFormat="1" ht="12.75" customHeight="1" x14ac:dyDescent="0.4">
      <c r="B256" s="109">
        <v>44183</v>
      </c>
      <c r="C256" s="5">
        <v>1.2261</v>
      </c>
      <c r="D256" s="6">
        <f>IF(OR(C256="",C255=""),"",LN(C256/C255))</f>
        <v>2.4497807450238195E-3</v>
      </c>
      <c r="E256" s="6">
        <f>IF(D256="","",ABS(D256-$E$5)/$F$5)</f>
        <v>0.45826983546108468</v>
      </c>
      <c r="F256" s="6">
        <f>IF(D256="","",ABS(D256-$G$5)/$H$5)</f>
        <v>0.81920322981183169</v>
      </c>
      <c r="G256" s="6">
        <f>IF(D256="","",ABS(D256-$E$5)/SQRT(0.9*(IF(G255="",$F$5^2,(ABS(D255-$E$5)/MAX(G255,0.0000000001))^2))+0.1*(D256-$E$5)^2))</f>
        <v>0.62195450480401637</v>
      </c>
      <c r="H256" s="6" t="str">
        <f>IF(E256="","",IF(E256&gt;$I$5,"OUTLIER",""))</f>
        <v/>
      </c>
      <c r="I256" s="6" t="str">
        <f>IF(F256="","",IF(F256&gt;$I$5,"OUTLIER",""))</f>
        <v/>
      </c>
      <c r="J256" s="6" t="str">
        <f>IF(G256="","",IF(G256&gt;$I$5,"OUTLIER",""))</f>
        <v/>
      </c>
      <c r="K256" s="6" t="str">
        <f>IF(C256="","MISSING","")</f>
        <v/>
      </c>
      <c r="L256" s="6" t="str">
        <f>IF(AND(C256&lt;&gt;"",C255&lt;&gt;"",C256=C255),"STALE","")</f>
        <v/>
      </c>
      <c r="M256" s="110">
        <f>IF(D256="","",ABS(D256-G$5))</f>
        <v>2.4497807450238195E-3</v>
      </c>
    </row>
    <row r="257" spans="2:13" s="107" customFormat="1" ht="12.75" customHeight="1" x14ac:dyDescent="0.4">
      <c r="B257" s="109">
        <v>44186</v>
      </c>
      <c r="C257" s="5">
        <v>1.2162999999999999</v>
      </c>
      <c r="D257" s="6">
        <f>IF(OR(C257="",C256=""),"",LN(C257/C256))</f>
        <v>-8.024936613950661E-3</v>
      </c>
      <c r="E257" s="6">
        <f>IF(D257="","",ABS(D257-$E$5)/$F$5)</f>
        <v>1.6180403322185128</v>
      </c>
      <c r="F257" s="6">
        <f>IF(D257="","",ABS(D257-$G$5)/$H$5)</f>
        <v>2.6835274979352022</v>
      </c>
      <c r="G257" s="6">
        <f>IF(D257="","",ABS(D257-$E$5)/SQRT(0.9*(IF(G256="",$F$5^2,(ABS(D256-$E$5)/MAX(G256,0.0000000001))^2))+0.1*(D257-$E$5)^2))</f>
        <v>1.8678271303780043</v>
      </c>
      <c r="H257" s="6" t="str">
        <f>IF(E257="","",IF(E257&gt;$I$5,"OUTLIER",""))</f>
        <v/>
      </c>
      <c r="I257" s="6" t="str">
        <f>IF(F257="","",IF(F257&gt;$I$5,"OUTLIER",""))</f>
        <v/>
      </c>
      <c r="J257" s="6" t="str">
        <f>IF(G257="","",IF(G257&gt;$I$5,"OUTLIER",""))</f>
        <v/>
      </c>
      <c r="K257" s="6" t="str">
        <f>IF(C257="","MISSING","")</f>
        <v/>
      </c>
      <c r="L257" s="6" t="str">
        <f>IF(AND(C257&lt;&gt;"",C256&lt;&gt;"",C257=C256),"STALE","")</f>
        <v/>
      </c>
      <c r="M257" s="110">
        <f>IF(D257="","",ABS(D257-G$5))</f>
        <v>8.024936613950661E-3</v>
      </c>
    </row>
    <row r="258" spans="2:13" s="107" customFormat="1" ht="12.75" customHeight="1" x14ac:dyDescent="0.4">
      <c r="B258" s="109">
        <v>44187</v>
      </c>
      <c r="C258" s="5">
        <v>1.2164999999999999</v>
      </c>
      <c r="D258" s="6">
        <f>IF(OR(C258="",C257=""),"",LN(C258/C257))</f>
        <v>1.6441959918664411E-4</v>
      </c>
      <c r="E258" s="6">
        <f>IF(D258="","",ABS(D258-$E$5)/$F$5)</f>
        <v>5.2629980158603283E-3</v>
      </c>
      <c r="F258" s="6">
        <f>IF(D258="","",ABS(D258-$G$5)/$H$5)</f>
        <v>5.4981682328781645E-2</v>
      </c>
      <c r="G258" s="6">
        <f>IF(D258="","",ABS(D258-$E$5)/SQRT(0.9*(IF(G257="",$F$5^2,(ABS(D257-$E$5)/MAX(G257,0.0000000001))^2))+0.1*(D258-$E$5)^2))</f>
        <v>6.4041043143590499E-3</v>
      </c>
      <c r="H258" s="6" t="str">
        <f>IF(E258="","",IF(E258&gt;$I$5,"OUTLIER",""))</f>
        <v/>
      </c>
      <c r="I258" s="6" t="str">
        <f>IF(F258="","",IF(F258&gt;$I$5,"OUTLIER",""))</f>
        <v/>
      </c>
      <c r="J258" s="6" t="str">
        <f>IF(G258="","",IF(G258&gt;$I$5,"OUTLIER",""))</f>
        <v/>
      </c>
      <c r="K258" s="6" t="str">
        <f>IF(C258="","MISSING","")</f>
        <v/>
      </c>
      <c r="L258" s="6" t="str">
        <f>IF(AND(C258&lt;&gt;"",C257&lt;&gt;"",C258=C257),"STALE","")</f>
        <v/>
      </c>
      <c r="M258" s="110">
        <f>IF(D258="","",ABS(D258-G$5))</f>
        <v>1.6441959918664411E-4</v>
      </c>
    </row>
    <row r="259" spans="2:13" s="107" customFormat="1" ht="12.75" customHeight="1" x14ac:dyDescent="0.4">
      <c r="B259" s="109">
        <v>44188</v>
      </c>
      <c r="C259" s="5">
        <v>1.2172000000000001</v>
      </c>
      <c r="D259" s="6">
        <f>IF(OR(C259="",C258=""),"",LN(C259/C258))</f>
        <v>5.7525579923891918E-4</v>
      </c>
      <c r="E259" s="6">
        <f>IF(D259="","",ABS(D259-$E$5)/$F$5)</f>
        <v>8.6699408201051473E-2</v>
      </c>
      <c r="F259" s="6">
        <f>IF(D259="","",ABS(D259-$G$5)/$H$5)</f>
        <v>0.19236472882797812</v>
      </c>
      <c r="G259" s="6">
        <f>IF(D259="","",ABS(D259-$E$5)/SQRT(0.9*(IF(G258="",$F$5^2,(ABS(D258-$E$5)/MAX(G258,0.0000000001))^2))+0.1*(D259-$E$5)^2))</f>
        <v>0.11113521763398192</v>
      </c>
      <c r="H259" s="6" t="str">
        <f>IF(E259="","",IF(E259&gt;$I$5,"OUTLIER",""))</f>
        <v/>
      </c>
      <c r="I259" s="6" t="str">
        <f>IF(F259="","",IF(F259&gt;$I$5,"OUTLIER",""))</f>
        <v/>
      </c>
      <c r="J259" s="6" t="str">
        <f>IF(G259="","",IF(G259&gt;$I$5,"OUTLIER",""))</f>
        <v/>
      </c>
      <c r="K259" s="6" t="str">
        <f>IF(C259="","MISSING","")</f>
        <v/>
      </c>
      <c r="L259" s="6" t="str">
        <f>IF(AND(C259&lt;&gt;"",C258&lt;&gt;"",C259=C258),"STALE","")</f>
        <v/>
      </c>
      <c r="M259" s="110">
        <f>IF(D259="","",ABS(D259-G$5))</f>
        <v>5.7525579923891918E-4</v>
      </c>
    </row>
    <row r="260" spans="2:13" s="107" customFormat="1" ht="12.75" customHeight="1" x14ac:dyDescent="0.4">
      <c r="B260" s="109">
        <v>44189</v>
      </c>
      <c r="C260" s="5"/>
      <c r="D260" s="6" t="str">
        <f>IF(OR(C260="",C259=""),"",LN(C260/C259))</f>
        <v/>
      </c>
      <c r="E260" s="6" t="str">
        <f>IF(D260="","",ABS(D260-$E$5)/$F$5)</f>
        <v/>
      </c>
      <c r="F260" s="6" t="str">
        <f>IF(D260="","",ABS(D260-$G$5)/$H$5)</f>
        <v/>
      </c>
      <c r="G260" s="6" t="str">
        <f>IF(D260="","",ABS(D260-$E$5)/SQRT(0.9*(IF(G259="",$F$5^2,(ABS(D259-$E$5)/MAX(G259,0.0000000001))^2))+0.1*(D260-$E$5)^2))</f>
        <v/>
      </c>
      <c r="H260" s="6" t="str">
        <f>IF(E260="","",IF(E260&gt;$I$5,"OUTLIER",""))</f>
        <v/>
      </c>
      <c r="I260" s="6" t="str">
        <f>IF(F260="","",IF(F260&gt;$I$5,"OUTLIER",""))</f>
        <v/>
      </c>
      <c r="J260" s="6" t="str">
        <f>IF(G260="","",IF(G260&gt;$I$5,"OUTLIER",""))</f>
        <v/>
      </c>
      <c r="K260" s="6" t="str">
        <f>IF(C260="","MISSING","")</f>
        <v>MISSING</v>
      </c>
      <c r="L260" s="6" t="str">
        <f>IF(AND(C260&lt;&gt;"",C259&lt;&gt;"",C260=C259),"STALE","")</f>
        <v/>
      </c>
      <c r="M260" s="110" t="str">
        <f>IF(D260="","",ABS(D260-G$5))</f>
        <v/>
      </c>
    </row>
    <row r="261" spans="2:13" s="107" customFormat="1" ht="12.75" customHeight="1" x14ac:dyDescent="0.4">
      <c r="B261" s="109">
        <v>44193</v>
      </c>
      <c r="C261" s="5">
        <v>1.2272000000000001</v>
      </c>
      <c r="D261" s="6" t="str">
        <f>IF(OR(C261="",C260=""),"",LN(C261/C260))</f>
        <v/>
      </c>
      <c r="E261" s="6" t="str">
        <f>IF(D261="","",ABS(D261-$E$5)/$F$5)</f>
        <v/>
      </c>
      <c r="F261" s="6" t="str">
        <f>IF(D261="","",ABS(D261-$G$5)/$H$5)</f>
        <v/>
      </c>
      <c r="G261" s="6" t="str">
        <f>IF(D261="","",ABS(D261-$E$5)/SQRT(0.9*(IF(G260="",$F$5^2,(ABS(D260-$E$5)/MAX(G260,0.0000000001))^2))+0.1*(D261-$E$5)^2))</f>
        <v/>
      </c>
      <c r="H261" s="6" t="str">
        <f>IF(E261="","",IF(E261&gt;$I$5,"OUTLIER",""))</f>
        <v/>
      </c>
      <c r="I261" s="6" t="str">
        <f>IF(F261="","",IF(F261&gt;$I$5,"OUTLIER",""))</f>
        <v/>
      </c>
      <c r="J261" s="6" t="str">
        <f>IF(G261="","",IF(G261&gt;$I$5,"OUTLIER",""))</f>
        <v/>
      </c>
      <c r="K261" s="6" t="str">
        <f>IF(C261="","MISSING","")</f>
        <v/>
      </c>
      <c r="L261" s="6" t="str">
        <f>IF(AND(C261&lt;&gt;"",C260&lt;&gt;"",C261=C260),"STALE","")</f>
        <v/>
      </c>
      <c r="M261" s="110" t="str">
        <f>IF(D261="","",ABS(D261-G$5))</f>
        <v/>
      </c>
    </row>
    <row r="262" spans="2:13" s="107" customFormat="1" ht="12.75" customHeight="1" x14ac:dyDescent="0.4">
      <c r="B262" s="109">
        <v>44194</v>
      </c>
      <c r="C262" s="5"/>
      <c r="D262" s="6"/>
      <c r="E262" s="6" t="str">
        <f>IF(D262="","",ABS(D262-$E$5)/$F$5)</f>
        <v/>
      </c>
      <c r="F262" s="6" t="str">
        <f>IF(D262="","",ABS(D262-$G$5)/$H$5)</f>
        <v/>
      </c>
      <c r="G262" s="6" t="str">
        <f>IF(D262="","",ABS(D262-$E$5)/SQRT(0.9*(IF(G261="",$F$5^2,(ABS(D261-$E$5)/MAX(G261,0.0000000001))^2))+0.1*(D262-$E$5)^2))</f>
        <v/>
      </c>
      <c r="H262" s="6" t="str">
        <f>IF(E262="","",IF(E262&gt;$I$5,"OUTLIER",""))</f>
        <v/>
      </c>
      <c r="I262" s="6" t="str">
        <f>IF(F262="","",IF(F262&gt;$I$5,"OUTLIER",""))</f>
        <v/>
      </c>
      <c r="J262" s="6" t="str">
        <f>IF(G262="","",IF(G262&gt;$I$5,"OUTLIER",""))</f>
        <v/>
      </c>
      <c r="K262" s="6" t="str">
        <f>IF(C262="","MISSING","")</f>
        <v>MISSING</v>
      </c>
      <c r="L262" s="6" t="str">
        <f>IF(AND(C262&lt;&gt;"",C261&lt;&gt;"",C262=C261),"STALE","")</f>
        <v/>
      </c>
      <c r="M262" s="110" t="str">
        <f>IF(D262="","",ABS(D262-G$5))</f>
        <v/>
      </c>
    </row>
    <row r="263" spans="2:13" s="107" customFormat="1" ht="12.75" customHeight="1" x14ac:dyDescent="0.4">
      <c r="B263" s="109">
        <v>44195</v>
      </c>
      <c r="C263" s="5">
        <v>1.2299</v>
      </c>
      <c r="D263" s="6"/>
      <c r="E263" s="6"/>
      <c r="F263" s="6" t="str">
        <f>IF(D263="","",ABS(D263-$G$5)/$H$5)</f>
        <v/>
      </c>
      <c r="G263" s="6"/>
      <c r="H263" s="6"/>
      <c r="I263" s="6"/>
      <c r="J263" s="6"/>
      <c r="K263" s="6"/>
      <c r="L263" s="6"/>
      <c r="M263" s="110" t="str">
        <f>IF(D263="","",ABS(D263-G$5))</f>
        <v/>
      </c>
    </row>
    <row r="264" spans="2:13" s="107" customFormat="1" ht="12.75" customHeight="1" x14ac:dyDescent="0.4">
      <c r="B264" s="109">
        <v>44196</v>
      </c>
      <c r="C264" s="5">
        <v>1.2302999999999999</v>
      </c>
      <c r="D264" s="6"/>
      <c r="E264" s="6"/>
      <c r="F264" s="6" t="str">
        <f>IF(D264="","",ABS(D264-$G$5)/$H$5)</f>
        <v/>
      </c>
      <c r="G264" s="6"/>
      <c r="H264" s="6"/>
      <c r="I264" s="6"/>
      <c r="J264" s="6"/>
      <c r="K264" s="6"/>
      <c r="L264" s="6"/>
      <c r="M264" s="110" t="str">
        <f>IF(D264="","",ABS(D264-G$5))</f>
        <v/>
      </c>
    </row>
    <row r="265" spans="2:13" ht="15.75" customHeight="1" x14ac:dyDescent="0.55000000000000004">
      <c r="B265" s="94"/>
      <c r="C265" s="98"/>
      <c r="D265" s="98"/>
      <c r="E265" s="98"/>
      <c r="F265" s="100"/>
      <c r="G265" s="100"/>
      <c r="H265" s="100"/>
      <c r="I265" s="100"/>
      <c r="J265" s="100"/>
      <c r="K265" s="100"/>
      <c r="L265" s="100"/>
      <c r="M265" s="106" t="str">
        <f>IF(D265="","",ABS(D265-G$5))</f>
        <v/>
      </c>
    </row>
    <row r="266" spans="2:13" ht="15.75" customHeight="1" x14ac:dyDescent="0.55000000000000004">
      <c r="B266" s="101" t="str">
        <f>"YEAR 2021   |   Observations: "&amp;COUNTA(C269:C522)&amp;"   |   Missing: "&amp;COUNTIF(K268:K522,"MISSING")&amp;"   |   Stale: "&amp;COUNTIF(L269:L522,"STALE")&amp;"   |   Z&gt;3 Outliers: "&amp;COUNTIF(H269:H522,"OUTLIER")&amp;"   |   Robust Z&gt;3: "&amp;COUNTIF(I269:I522,"OUTLIER")</f>
        <v>YEAR 2021   |   Observations: 248   |   Missing: 4   |   Stale: 4   |   Z&gt;3 Outliers: 0   |   Robust Z&gt;3: 2</v>
      </c>
      <c r="C266" s="101"/>
      <c r="D266" s="101"/>
      <c r="E266" s="101"/>
      <c r="F266" s="101"/>
      <c r="G266" s="101"/>
      <c r="H266" s="101"/>
      <c r="I266" s="101"/>
      <c r="J266" s="101"/>
      <c r="K266" s="101"/>
      <c r="L266" s="101"/>
      <c r="M266" s="106"/>
    </row>
    <row r="267" spans="2:13" ht="15.75" customHeight="1" x14ac:dyDescent="0.55000000000000004">
      <c r="B267" s="83" t="s">
        <v>51</v>
      </c>
      <c r="C267" s="86" t="s">
        <v>52</v>
      </c>
      <c r="D267" s="87" t="s">
        <v>53</v>
      </c>
      <c r="E267" s="87" t="s">
        <v>54</v>
      </c>
      <c r="F267" s="88" t="s">
        <v>55</v>
      </c>
      <c r="G267" s="88" t="s">
        <v>56</v>
      </c>
      <c r="H267" s="88" t="s">
        <v>57</v>
      </c>
      <c r="I267" s="88" t="s">
        <v>105</v>
      </c>
      <c r="J267" s="88" t="s">
        <v>106</v>
      </c>
      <c r="K267" s="88" t="s">
        <v>58</v>
      </c>
      <c r="L267" s="88" t="s">
        <v>59</v>
      </c>
      <c r="M267" s="106"/>
    </row>
    <row r="268" spans="2:13" ht="15.75" customHeight="1" x14ac:dyDescent="0.55000000000000004">
      <c r="B268" s="94">
        <v>44197</v>
      </c>
      <c r="C268" s="95"/>
      <c r="D268" s="95"/>
      <c r="E268" s="95"/>
      <c r="F268" s="96"/>
      <c r="G268" s="96"/>
      <c r="H268" s="96"/>
      <c r="I268" s="96"/>
      <c r="J268" s="96"/>
      <c r="K268" s="96"/>
      <c r="L268" s="96"/>
      <c r="M268" s="106" t="str">
        <f>IF(D268="","",ABS(D268-G$5))</f>
        <v/>
      </c>
    </row>
    <row r="269" spans="2:13" ht="15.75" customHeight="1" x14ac:dyDescent="0.55000000000000004">
      <c r="B269" s="94">
        <v>44200</v>
      </c>
      <c r="C269" s="95">
        <v>1.2236</v>
      </c>
      <c r="D269" s="95"/>
      <c r="E269" s="95"/>
      <c r="F269" s="96" t="str">
        <f>IF(D269="","",ABS(D269-$G$5)/$H$5)</f>
        <v/>
      </c>
      <c r="G269" s="96"/>
      <c r="H269" s="96"/>
      <c r="I269" s="96"/>
      <c r="J269" s="96"/>
      <c r="K269" s="96"/>
      <c r="L269" s="96"/>
      <c r="M269" s="106" t="str">
        <f>IF(D269="","",ABS(D269-G$5))</f>
        <v/>
      </c>
    </row>
    <row r="270" spans="2:13" ht="15.75" customHeight="1" x14ac:dyDescent="0.55000000000000004">
      <c r="B270" s="94">
        <v>44201</v>
      </c>
      <c r="C270" s="95">
        <v>1.2294</v>
      </c>
      <c r="D270" s="95"/>
      <c r="E270" s="95"/>
      <c r="F270" s="96" t="str">
        <f>IF(D270="","",ABS(D270-$G$5)/$H$5)</f>
        <v/>
      </c>
      <c r="G270" s="96"/>
      <c r="H270" s="96"/>
      <c r="I270" s="96"/>
      <c r="J270" s="96"/>
      <c r="K270" s="96"/>
      <c r="L270" s="96"/>
      <c r="M270" s="106" t="str">
        <f>IF(D270="","",ABS(D270-G$5))</f>
        <v/>
      </c>
    </row>
    <row r="271" spans="2:13" ht="15.75" customHeight="1" x14ac:dyDescent="0.55000000000000004">
      <c r="B271" s="94">
        <v>44202</v>
      </c>
      <c r="C271" s="95">
        <v>1.2282</v>
      </c>
      <c r="D271" s="95"/>
      <c r="E271" s="95"/>
      <c r="F271" s="96" t="str">
        <f>IF(D271="","",ABS(D271-$G$5)/$H$5)</f>
        <v/>
      </c>
      <c r="G271" s="96"/>
      <c r="H271" s="96"/>
      <c r="I271" s="96"/>
      <c r="J271" s="96"/>
      <c r="K271" s="96"/>
      <c r="L271" s="96"/>
      <c r="M271" s="106" t="str">
        <f>IF(D271="","",ABS(D271-G$5))</f>
        <v/>
      </c>
    </row>
    <row r="272" spans="2:13" ht="15.75" customHeight="1" x14ac:dyDescent="0.55000000000000004">
      <c r="B272" s="94">
        <v>44203</v>
      </c>
      <c r="C272" s="95">
        <v>1.2218</v>
      </c>
      <c r="D272" s="95"/>
      <c r="E272" s="95"/>
      <c r="F272" s="96" t="str">
        <f>IF(D272="","",ABS(D272-$G$5)/$H$5)</f>
        <v/>
      </c>
      <c r="G272" s="96"/>
      <c r="H272" s="96"/>
      <c r="I272" s="96"/>
      <c r="J272" s="96"/>
      <c r="K272" s="96"/>
      <c r="L272" s="96"/>
      <c r="M272" s="106" t="str">
        <f>IF(D272="","",ABS(D272-G$5))</f>
        <v/>
      </c>
    </row>
    <row r="273" spans="2:13" ht="15.75" customHeight="1" x14ac:dyDescent="0.55000000000000004">
      <c r="B273" s="94">
        <v>44204</v>
      </c>
      <c r="C273" s="95">
        <v>1.2232000000000001</v>
      </c>
      <c r="D273" s="95">
        <f>IF(OR(C273="",C272=""),"",LN(C273/C272))</f>
        <v>1.1451943991860358E-3</v>
      </c>
      <c r="E273" s="95">
        <f>IF(D273="","",ABS(D273-$E$5)/$F$5)</f>
        <v>0.19967327369723031</v>
      </c>
      <c r="F273" s="96">
        <f>IF(D273="","",ABS(D273-$G$5)/$H$5)</f>
        <v>0.38295139370380632</v>
      </c>
      <c r="G273" s="96">
        <f>IF(D273="","",ABS(D273-$E$5)/SQRT(0.9*(IF(G272="",$F$5^2,(ABS(D272-$E$5)/MAX(G272,0.0000000001))^2))+0.1*(D273-$E$5)^2))</f>
        <v>0.21000946079428565</v>
      </c>
      <c r="H273" s="96" t="str">
        <f>IF(E273="","",IF(E273&gt;$I$5,"OUTLIER",""))</f>
        <v/>
      </c>
      <c r="I273" s="96" t="str">
        <f>IF(F273="","",IF(F273&gt;$I$5,"OUTLIER",""))</f>
        <v/>
      </c>
      <c r="J273" s="96" t="str">
        <f>IF(G273="","",IF(G273&gt;$I$5,"OUTLIER",""))</f>
        <v/>
      </c>
      <c r="K273" s="96" t="str">
        <f>IF(C273="","MISSING","")</f>
        <v/>
      </c>
      <c r="L273" s="96" t="str">
        <f>IF(AND(C273&lt;&gt;"",C272&lt;&gt;"",C273=C272),"STALE","")</f>
        <v/>
      </c>
      <c r="M273" s="106">
        <f>IF(D273="","",ABS(D273-G$5))</f>
        <v>1.1451943991860358E-3</v>
      </c>
    </row>
    <row r="274" spans="2:13" ht="15.75" customHeight="1" x14ac:dyDescent="0.55000000000000004">
      <c r="B274" s="94">
        <v>44207</v>
      </c>
      <c r="C274" s="95"/>
      <c r="D274" s="95"/>
      <c r="E274" s="95"/>
      <c r="F274" s="96"/>
      <c r="G274" s="96"/>
      <c r="H274" s="96"/>
      <c r="I274" s="96"/>
      <c r="J274" s="96"/>
      <c r="K274" s="96"/>
      <c r="L274" s="96"/>
      <c r="M274" s="106" t="str">
        <f>IF(D274="","",ABS(D274-G$5))</f>
        <v/>
      </c>
    </row>
    <row r="275" spans="2:13" ht="15.75" customHeight="1" x14ac:dyDescent="0.55000000000000004">
      <c r="B275" s="94">
        <v>44208</v>
      </c>
      <c r="C275" s="95">
        <v>1.2153</v>
      </c>
      <c r="D275" s="95" t="str">
        <f>IF(OR(C275="",C274=""),"",LN(C275/C274))</f>
        <v/>
      </c>
      <c r="E275" s="95" t="str">
        <f>IF(D275="","",ABS(D275-$E$5)/$F$5)</f>
        <v/>
      </c>
      <c r="F275" s="96" t="str">
        <f>IF(D275="","",ABS(D275-$G$5)/$H$5)</f>
        <v/>
      </c>
      <c r="G275" s="96" t="str">
        <f>IF(D275="","",ABS(D275-$E$5)/SQRT(0.9*(IF(G274="",$F$5^2,(ABS(D274-$E$5)/MAX(G274,0.0000000001))^2))+0.1*(D275-$E$5)^2))</f>
        <v/>
      </c>
      <c r="H275" s="96" t="str">
        <f>IF(E275="","",IF(E275&gt;$I$5,"OUTLIER",""))</f>
        <v/>
      </c>
      <c r="I275" s="96" t="str">
        <f>IF(F275="","",IF(F275&gt;$I$5,"OUTLIER",""))</f>
        <v/>
      </c>
      <c r="J275" s="96" t="str">
        <f>IF(G275="","",IF(G275&gt;$I$5,"OUTLIER",""))</f>
        <v/>
      </c>
      <c r="K275" s="96" t="str">
        <f>IF(C275="","MISSING","")</f>
        <v/>
      </c>
      <c r="L275" s="96" t="str">
        <f>IF(AND(C275&lt;&gt;"",C274&lt;&gt;"",C275=C274),"STALE","")</f>
        <v/>
      </c>
      <c r="M275" s="106" t="str">
        <f>IF(D275="","",ABS(D275-G$5))</f>
        <v/>
      </c>
    </row>
    <row r="276" spans="2:13" ht="15.75" customHeight="1" x14ac:dyDescent="0.55000000000000004">
      <c r="B276" s="94">
        <v>44209</v>
      </c>
      <c r="C276" s="95">
        <v>1.2142999999999999</v>
      </c>
      <c r="D276" s="95">
        <f>IF(OR(C276="",C275=""),"",LN(C276/C275))</f>
        <v>-8.2318081698141391E-4</v>
      </c>
      <c r="E276" s="95">
        <f>IF(D276="","",ABS(D276-$E$5)/$F$5)</f>
        <v>0.19050025892180464</v>
      </c>
      <c r="F276" s="96">
        <f>IF(D276="","",ABS(D276-$G$5)/$H$5)</f>
        <v>0.27527050547691351</v>
      </c>
      <c r="G276" s="96">
        <f>IF(D276="","",ABS(D276-$E$5)/SQRT(0.9*(IF(G275="",$F$5^2,(ABS(D275-$E$5)/MAX(G275,0.0000000001))^2))+0.1*(D276-$E$5)^2))</f>
        <v>0.20040127570262692</v>
      </c>
      <c r="H276" s="96" t="str">
        <f>IF(E276="","",IF(E276&gt;$I$5,"OUTLIER",""))</f>
        <v/>
      </c>
      <c r="I276" s="96" t="str">
        <f>IF(F276="","",IF(F276&gt;$I$5,"OUTLIER",""))</f>
        <v/>
      </c>
      <c r="J276" s="96" t="str">
        <f>IF(G276="","",IF(G276&gt;$I$5,"OUTLIER",""))</f>
        <v/>
      </c>
      <c r="K276" s="96" t="str">
        <f>IF(C276="","MISSING","")</f>
        <v/>
      </c>
      <c r="L276" s="96" t="str">
        <f>IF(AND(C276&lt;&gt;"",C275&lt;&gt;"",C276=C275),"STALE","")</f>
        <v/>
      </c>
      <c r="M276" s="106">
        <f>IF(D276="","",ABS(D276-G$5))</f>
        <v>8.2318081698141391E-4</v>
      </c>
    </row>
    <row r="277" spans="2:13" ht="15.75" customHeight="1" x14ac:dyDescent="0.55000000000000004">
      <c r="B277" s="94">
        <v>44210</v>
      </c>
      <c r="C277" s="95">
        <v>1.2149000000000001</v>
      </c>
      <c r="D277" s="95">
        <f>IF(OR(C277="",C276=""),"",LN(C277/C276))</f>
        <v>4.9398980092327423E-4</v>
      </c>
      <c r="E277" s="95">
        <f>IF(D277="","",ABS(D277-$E$5)/$F$5)</f>
        <v>7.0590771298802271E-2</v>
      </c>
      <c r="F277" s="96">
        <f>IF(D277="","",ABS(D277-$G$5)/$H$5)</f>
        <v>0.16518949348118714</v>
      </c>
      <c r="G277" s="96">
        <f>IF(D277="","",ABS(D277-$E$5)/SQRT(0.9*(IF(G276="",$F$5^2,(ABS(D276-$E$5)/MAX(G276,0.0000000001))^2))+0.1*(D277-$E$5)^2))</f>
        <v>7.8252563550130758E-2</v>
      </c>
      <c r="H277" s="96" t="str">
        <f>IF(E277="","",IF(E277&gt;$I$5,"OUTLIER",""))</f>
        <v/>
      </c>
      <c r="I277" s="96" t="str">
        <f>IF(F277="","",IF(F277&gt;$I$5,"OUTLIER",""))</f>
        <v/>
      </c>
      <c r="J277" s="96" t="str">
        <f>IF(G277="","",IF(G277&gt;$I$5,"OUTLIER",""))</f>
        <v/>
      </c>
      <c r="K277" s="96" t="str">
        <f>IF(C277="","MISSING","")</f>
        <v/>
      </c>
      <c r="L277" s="96" t="str">
        <f>IF(AND(C277&lt;&gt;"",C276&lt;&gt;"",C277=C276),"STALE","")</f>
        <v/>
      </c>
      <c r="M277" s="106">
        <f>IF(D277="","",ABS(D277-G$5))</f>
        <v>4.9398980092327423E-4</v>
      </c>
    </row>
    <row r="278" spans="2:13" ht="15.75" customHeight="1" x14ac:dyDescent="0.55000000000000004">
      <c r="B278" s="94">
        <v>44211</v>
      </c>
      <c r="C278" s="95">
        <v>1.2123999999999999</v>
      </c>
      <c r="D278" s="95">
        <f>IF(OR(C278="",C277=""),"",LN(C278/C277))</f>
        <v>-2.0599026770484418E-3</v>
      </c>
      <c r="E278" s="95">
        <f>IF(D278="","",ABS(D278-$E$5)/$F$5)</f>
        <v>0.43564464655998286</v>
      </c>
      <c r="F278" s="96">
        <f>IF(D278="","",ABS(D278-$G$5)/$H$5)</f>
        <v>0.68882855315270852</v>
      </c>
      <c r="G278" s="96">
        <f>IF(D278="","",ABS(D278-$E$5)/SQRT(0.9*(IF(G277="",$F$5^2,(ABS(D277-$E$5)/MAX(G277,0.0000000001))^2))+0.1*(D278-$E$5)^2))</f>
        <v>0.50258142471397893</v>
      </c>
      <c r="H278" s="96" t="str">
        <f>IF(E278="","",IF(E278&gt;$I$5,"OUTLIER",""))</f>
        <v/>
      </c>
      <c r="I278" s="96" t="str">
        <f>IF(F278="","",IF(F278&gt;$I$5,"OUTLIER",""))</f>
        <v/>
      </c>
      <c r="J278" s="96" t="str">
        <f>IF(G278="","",IF(G278&gt;$I$5,"OUTLIER",""))</f>
        <v/>
      </c>
      <c r="K278" s="96" t="str">
        <f>IF(C278="","MISSING","")</f>
        <v/>
      </c>
      <c r="L278" s="96" t="str">
        <f>IF(AND(C278&lt;&gt;"",C277&lt;&gt;"",C278=C277),"STALE","")</f>
        <v/>
      </c>
      <c r="M278" s="106">
        <f>IF(D278="","",ABS(D278-G$5))</f>
        <v>2.0599026770484418E-3</v>
      </c>
    </row>
    <row r="279" spans="2:13" ht="15.75" customHeight="1" x14ac:dyDescent="0.55000000000000004">
      <c r="B279" s="94">
        <v>44214</v>
      </c>
      <c r="C279" s="95"/>
      <c r="D279" s="95" t="str">
        <f>IF(OR(C279="",C278=""),"",LN(C279/C278))</f>
        <v/>
      </c>
      <c r="E279" s="95" t="str">
        <f>IF(D279="","",ABS(D279-$E$5)/$F$5)</f>
        <v/>
      </c>
      <c r="F279" s="96" t="str">
        <f>IF(D279="","",ABS(D279-$G$5)/$H$5)</f>
        <v/>
      </c>
      <c r="G279" s="96" t="str">
        <f>IF(D279="","",ABS(D279-$E$5)/SQRT(0.9*(IF(G278="",$F$5^2,(ABS(D278-$E$5)/MAX(G278,0.0000000001))^2))+0.1*(D279-$E$5)^2))</f>
        <v/>
      </c>
      <c r="H279" s="96" t="str">
        <f>IF(E279="","",IF(E279&gt;$I$5,"OUTLIER",""))</f>
        <v/>
      </c>
      <c r="I279" s="96" t="str">
        <f>IF(F279="","",IF(F279&gt;$I$5,"OUTLIER",""))</f>
        <v/>
      </c>
      <c r="J279" s="96" t="str">
        <f>IF(G279="","",IF(G279&gt;$I$5,"OUTLIER",""))</f>
        <v/>
      </c>
      <c r="K279" s="96" t="str">
        <f>IF(C279="","MISSING","")</f>
        <v>MISSING</v>
      </c>
      <c r="L279" s="96" t="str">
        <f>IF(AND(C279&lt;&gt;"",C278&lt;&gt;"",C279=C278),"STALE","")</f>
        <v/>
      </c>
      <c r="M279" s="106" t="str">
        <f>IF(D279="","",ABS(D279-G$5))</f>
        <v/>
      </c>
    </row>
    <row r="280" spans="2:13" ht="15.75" customHeight="1" x14ac:dyDescent="0.55000000000000004">
      <c r="B280" s="94">
        <v>44215</v>
      </c>
      <c r="C280" s="95">
        <v>1.2101999999999999</v>
      </c>
      <c r="D280" s="95" t="str">
        <f>IF(OR(C280="",C279=""),"",LN(C280/C279))</f>
        <v/>
      </c>
      <c r="E280" s="95" t="str">
        <f>IF(D280="","",ABS(D280-$E$5)/$F$5)</f>
        <v/>
      </c>
      <c r="F280" s="96" t="str">
        <f>IF(D280="","",ABS(D280-$G$5)/$H$5)</f>
        <v/>
      </c>
      <c r="G280" s="96" t="str">
        <f>IF(D280="","",ABS(D280-$E$5)/SQRT(0.9*(IF(G279="",$F$5^2,(ABS(D279-$E$5)/MAX(G279,0.0000000001))^2))+0.1*(D280-$E$5)^2))</f>
        <v/>
      </c>
      <c r="H280" s="96" t="str">
        <f>IF(E280="","",IF(E280&gt;$I$5,"OUTLIER",""))</f>
        <v/>
      </c>
      <c r="I280" s="96" t="str">
        <f>IF(F280="","",IF(F280&gt;$I$5,"OUTLIER",""))</f>
        <v/>
      </c>
      <c r="J280" s="96" t="str">
        <f>IF(G280="","",IF(G280&gt;$I$5,"OUTLIER",""))</f>
        <v/>
      </c>
      <c r="K280" s="96" t="str">
        <f>IF(C280="","MISSING","")</f>
        <v/>
      </c>
      <c r="L280" s="96" t="str">
        <f>IF(AND(C280&lt;&gt;"",C279&lt;&gt;"",C280=C279),"STALE","")</f>
        <v/>
      </c>
      <c r="M280" s="106" t="str">
        <f>IF(D280="","",ABS(D280-G$5))</f>
        <v/>
      </c>
    </row>
    <row r="281" spans="2:13" ht="15.75" customHeight="1" x14ac:dyDescent="0.55000000000000004">
      <c r="B281" s="94">
        <v>44216</v>
      </c>
      <c r="C281" s="95">
        <v>1.2146999999999999</v>
      </c>
      <c r="D281" s="95">
        <f>IF(OR(C281="",C280=""),"",LN(C281/C280))</f>
        <v>3.7114975180040969E-3</v>
      </c>
      <c r="E281" s="95">
        <f>IF(D281="","",ABS(D281-$E$5)/$F$5)</f>
        <v>0.70836874263840655</v>
      </c>
      <c r="F281" s="96">
        <f>IF(D281="","",ABS(D281-$G$5)/$H$5)</f>
        <v>1.2411195411522391</v>
      </c>
      <c r="G281" s="96">
        <f>IF(D281="","",ABS(D281-$E$5)/SQRT(0.9*(IF(G280="",$F$5^2,(ABS(D280-$E$5)/MAX(G280,0.0000000001))^2))+0.1*(D281-$E$5)^2))</f>
        <v>0.72670267786133635</v>
      </c>
      <c r="H281" s="96" t="str">
        <f>IF(E281="","",IF(E281&gt;$I$5,"OUTLIER",""))</f>
        <v/>
      </c>
      <c r="I281" s="96" t="str">
        <f>IF(F281="","",IF(F281&gt;$I$5,"OUTLIER",""))</f>
        <v/>
      </c>
      <c r="J281" s="96" t="str">
        <f>IF(G281="","",IF(G281&gt;$I$5,"OUTLIER",""))</f>
        <v/>
      </c>
      <c r="K281" s="96" t="str">
        <f>IF(C281="","MISSING","")</f>
        <v/>
      </c>
      <c r="L281" s="96" t="str">
        <f>IF(AND(C281&lt;&gt;"",C280&lt;&gt;"",C281=C280),"STALE","")</f>
        <v/>
      </c>
      <c r="M281" s="106">
        <f>IF(D281="","",ABS(D281-G$5))</f>
        <v>3.7114975180040969E-3</v>
      </c>
    </row>
    <row r="282" spans="2:13" ht="15.75" customHeight="1" x14ac:dyDescent="0.55000000000000004">
      <c r="B282" s="94">
        <v>44217</v>
      </c>
      <c r="C282" s="95"/>
      <c r="D282" s="95"/>
      <c r="E282" s="95"/>
      <c r="F282" s="96"/>
      <c r="G282" s="96"/>
      <c r="H282" s="96"/>
      <c r="I282" s="96"/>
      <c r="J282" s="96"/>
      <c r="K282" s="96"/>
      <c r="L282" s="96"/>
      <c r="M282" s="106" t="str">
        <f>IF(D282="","",ABS(D282-G$5))</f>
        <v/>
      </c>
    </row>
    <row r="283" spans="2:13" ht="15.75" customHeight="1" x14ac:dyDescent="0.55000000000000004">
      <c r="B283" s="94">
        <v>44218</v>
      </c>
      <c r="C283" s="95">
        <v>1.2161</v>
      </c>
      <c r="D283" s="95" t="str">
        <f>IF(OR(C283="",C282=""),"",LN(C283/C282))</f>
        <v/>
      </c>
      <c r="E283" s="95" t="str">
        <f>IF(D283="","",ABS(D283-$E$5)/$F$5)</f>
        <v/>
      </c>
      <c r="F283" s="96" t="str">
        <f>IF(D283="","",ABS(D283-$G$5)/$H$5)</f>
        <v/>
      </c>
      <c r="G283" s="96" t="str">
        <f>IF(D283="","",ABS(D283-$E$5)/SQRT(0.9*(IF(G282="",$F$5^2,(ABS(D282-$E$5)/MAX(G282,0.0000000001))^2))+0.1*(D283-$E$5)^2))</f>
        <v/>
      </c>
      <c r="H283" s="96" t="str">
        <f>IF(E283="","",IF(E283&gt;$I$5,"OUTLIER",""))</f>
        <v/>
      </c>
      <c r="I283" s="96" t="str">
        <f>IF(F283="","",IF(F283&gt;$I$5,"OUTLIER",""))</f>
        <v/>
      </c>
      <c r="J283" s="96" t="str">
        <f>IF(G283="","",IF(G283&gt;$I$5,"OUTLIER",""))</f>
        <v/>
      </c>
      <c r="K283" s="96" t="str">
        <f>IF(C283="","MISSING","")</f>
        <v/>
      </c>
      <c r="L283" s="96" t="str">
        <f>IF(AND(C283&lt;&gt;"",C282&lt;&gt;"",C283=C282),"STALE","")</f>
        <v/>
      </c>
      <c r="M283" s="106" t="str">
        <f>IF(D283="","",ABS(D283-G$5))</f>
        <v/>
      </c>
    </row>
    <row r="284" spans="2:13" ht="15.75" customHeight="1" x14ac:dyDescent="0.55000000000000004">
      <c r="B284" s="94">
        <v>44221</v>
      </c>
      <c r="C284" s="95">
        <v>1.2131000000000001</v>
      </c>
      <c r="D284" s="95">
        <f>IF(OR(C284="",C283=""),"",LN(C284/C283))</f>
        <v>-2.4699502100800977E-3</v>
      </c>
      <c r="E284" s="95">
        <f>IF(D284="","",ABS(D284-$E$5)/$F$5)</f>
        <v>0.51692472628796871</v>
      </c>
      <c r="F284" s="96">
        <f>IF(D284="","",ABS(D284-$G$5)/$H$5)</f>
        <v>0.82594787051130758</v>
      </c>
      <c r="G284" s="96">
        <f>IF(D284="","",ABS(D284-$E$5)/SQRT(0.9*(IF(G283="",$F$5^2,(ABS(D283-$E$5)/MAX(G283,0.0000000001))^2))+0.1*(D284-$E$5)^2))</f>
        <v>0.53697340509140534</v>
      </c>
      <c r="H284" s="96" t="str">
        <f>IF(E284="","",IF(E284&gt;$I$5,"OUTLIER",""))</f>
        <v/>
      </c>
      <c r="I284" s="96" t="str">
        <f>IF(F284="","",IF(F284&gt;$I$5,"OUTLIER",""))</f>
        <v/>
      </c>
      <c r="J284" s="96" t="str">
        <f>IF(G284="","",IF(G284&gt;$I$5,"OUTLIER",""))</f>
        <v/>
      </c>
      <c r="K284" s="96" t="str">
        <f>IF(C284="","MISSING","")</f>
        <v/>
      </c>
      <c r="L284" s="96" t="str">
        <f>IF(AND(C284&lt;&gt;"",C283&lt;&gt;"",C284=C283),"STALE","")</f>
        <v/>
      </c>
      <c r="M284" s="106">
        <f>IF(D284="","",ABS(D284-G$5))</f>
        <v>2.4699502100800977E-3</v>
      </c>
    </row>
    <row r="285" spans="2:13" ht="15.75" customHeight="1" x14ac:dyDescent="0.55000000000000004">
      <c r="B285" s="94">
        <v>44222</v>
      </c>
      <c r="C285" s="95">
        <v>1.2142999999999999</v>
      </c>
      <c r="D285" s="95">
        <f>IF(OR(C285="",C284=""),"",LN(C285/C284))</f>
        <v>9.8871228289950145E-4</v>
      </c>
      <c r="E285" s="95">
        <f>IF(D285="","",ABS(D285-$E$5)/$F$5)</f>
        <v>0.16865521392806801</v>
      </c>
      <c r="F285" s="96">
        <f>IF(D285="","",ABS(D285-$G$5)/$H$5)</f>
        <v>0.33062399447425889</v>
      </c>
      <c r="G285" s="96">
        <f>IF(D285="","",ABS(D285-$E$5)/SQRT(0.9*(IF(G284="",$F$5^2,(ABS(D284-$E$5)/MAX(G284,0.0000000001))^2))+0.1*(D285-$E$5)^2))</f>
        <v>0.18435914437402551</v>
      </c>
      <c r="H285" s="96" t="str">
        <f>IF(E285="","",IF(E285&gt;$I$5,"OUTLIER",""))</f>
        <v/>
      </c>
      <c r="I285" s="96" t="str">
        <f>IF(F285="","",IF(F285&gt;$I$5,"OUTLIER",""))</f>
        <v/>
      </c>
      <c r="J285" s="96" t="str">
        <f>IF(G285="","",IF(G285&gt;$I$5,"OUTLIER",""))</f>
        <v/>
      </c>
      <c r="K285" s="96" t="str">
        <f>IF(C285="","MISSING","")</f>
        <v/>
      </c>
      <c r="L285" s="96" t="str">
        <f>IF(AND(C285&lt;&gt;"",C284&lt;&gt;"",C285=C284),"STALE","")</f>
        <v/>
      </c>
      <c r="M285" s="106">
        <f>IF(D285="","",ABS(D285-G$5))</f>
        <v>9.8871228289950145E-4</v>
      </c>
    </row>
    <row r="286" spans="2:13" ht="15.75" customHeight="1" x14ac:dyDescent="0.55000000000000004">
      <c r="B286" s="94">
        <v>44223</v>
      </c>
      <c r="C286" s="95">
        <v>1.2117</v>
      </c>
      <c r="D286" s="95">
        <f>IF(OR(C286="",C285=""),"",LN(C286/C285))</f>
        <v>-2.1434468222963454E-3</v>
      </c>
      <c r="E286" s="95">
        <f>IF(D286="","",ABS(D286-$E$5)/$F$5)</f>
        <v>0.45220486029020862</v>
      </c>
      <c r="F286" s="96">
        <f>IF(D286="","",ABS(D286-$G$5)/$H$5)</f>
        <v>0.71676559762412551</v>
      </c>
      <c r="G286" s="96">
        <f>IF(D286="","",ABS(D286-$E$5)/SQRT(0.9*(IF(G285="",$F$5^2,(ABS(D285-$E$5)/MAX(G285,0.0000000001))^2))+0.1*(D286-$E$5)^2))</f>
        <v>0.51411716895592907</v>
      </c>
      <c r="H286" s="96" t="str">
        <f>IF(E286="","",IF(E286&gt;$I$5,"OUTLIER",""))</f>
        <v/>
      </c>
      <c r="I286" s="96" t="str">
        <f>IF(F286="","",IF(F286&gt;$I$5,"OUTLIER",""))</f>
        <v/>
      </c>
      <c r="J286" s="96" t="str">
        <f>IF(G286="","",IF(G286&gt;$I$5,"OUTLIER",""))</f>
        <v/>
      </c>
      <c r="K286" s="96" t="str">
        <f>IF(C286="","MISSING","")</f>
        <v/>
      </c>
      <c r="L286" s="96" t="str">
        <f>IF(AND(C286&lt;&gt;"",C285&lt;&gt;"",C286=C285),"STALE","")</f>
        <v/>
      </c>
      <c r="M286" s="106">
        <f>IF(D286="","",ABS(D286-G$5))</f>
        <v>2.1434468222963454E-3</v>
      </c>
    </row>
    <row r="287" spans="2:13" ht="15.75" customHeight="1" x14ac:dyDescent="0.55000000000000004">
      <c r="B287" s="94">
        <v>44224</v>
      </c>
      <c r="C287" s="95">
        <v>1.2103999999999999</v>
      </c>
      <c r="D287" s="95">
        <f>IF(OR(C287="",C286=""),"",LN(C287/C286))</f>
        <v>-1.0734487633307602E-3</v>
      </c>
      <c r="E287" s="95">
        <f>IF(D287="","",ABS(D287-$E$5)/$F$5)</f>
        <v>0.24010865061785649</v>
      </c>
      <c r="F287" s="96">
        <f>IF(D287="","",ABS(D287-$G$5)/$H$5)</f>
        <v>0.35895975415119247</v>
      </c>
      <c r="G287" s="96">
        <f>IF(D287="","",ABS(D287-$E$5)/SQRT(0.9*(IF(G286="",$F$5^2,(ABS(D286-$E$5)/MAX(G286,0.0000000001))^2))+0.1*(D287-$E$5)^2))</f>
        <v>0.28656481896337654</v>
      </c>
      <c r="H287" s="96" t="str">
        <f>IF(E287="","",IF(E287&gt;$I$5,"OUTLIER",""))</f>
        <v/>
      </c>
      <c r="I287" s="96" t="str">
        <f>IF(F287="","",IF(F287&gt;$I$5,"OUTLIER",""))</f>
        <v/>
      </c>
      <c r="J287" s="96" t="str">
        <f>IF(G287="","",IF(G287&gt;$I$5,"OUTLIER",""))</f>
        <v/>
      </c>
      <c r="K287" s="96" t="str">
        <f>IF(C287="","MISSING","")</f>
        <v/>
      </c>
      <c r="L287" s="96" t="str">
        <f>IF(AND(C287&lt;&gt;"",C286&lt;&gt;"",C287=C286),"STALE","")</f>
        <v/>
      </c>
      <c r="M287" s="106">
        <f>IF(D287="","",ABS(D287-G$5))</f>
        <v>1.0734487633307602E-3</v>
      </c>
    </row>
    <row r="288" spans="2:13" ht="15.75" customHeight="1" x14ac:dyDescent="0.55000000000000004">
      <c r="B288" s="94">
        <v>44225</v>
      </c>
      <c r="C288" s="95">
        <v>1.2136</v>
      </c>
      <c r="D288" s="95">
        <f>IF(OR(C288="",C287=""),"",LN(C288/C287))</f>
        <v>2.6402655601764271E-3</v>
      </c>
      <c r="E288" s="95">
        <f>IF(D288="","",ABS(D288-$E$5)/$F$5)</f>
        <v>0.49602794815622758</v>
      </c>
      <c r="F288" s="96">
        <f>IF(D288="","",ABS(D288-$G$5)/$H$5)</f>
        <v>0.88290108363817832</v>
      </c>
      <c r="G288" s="96">
        <f>IF(D288="","",ABS(D288-$E$5)/SQRT(0.9*(IF(G287="",$F$5^2,(ABS(D287-$E$5)/MAX(G287,0.0000000001))^2))+0.1*(D288-$E$5)^2))</f>
        <v>0.61221596272257051</v>
      </c>
      <c r="H288" s="96" t="str">
        <f>IF(E288="","",IF(E288&gt;$I$5,"OUTLIER",""))</f>
        <v/>
      </c>
      <c r="I288" s="96" t="str">
        <f>IF(F288="","",IF(F288&gt;$I$5,"OUTLIER",""))</f>
        <v/>
      </c>
      <c r="J288" s="96" t="str">
        <f>IF(G288="","",IF(G288&gt;$I$5,"OUTLIER",""))</f>
        <v/>
      </c>
      <c r="K288" s="96" t="str">
        <f>IF(C288="","MISSING","")</f>
        <v/>
      </c>
      <c r="L288" s="96" t="str">
        <f>IF(AND(C288&lt;&gt;"",C287&lt;&gt;"",C288=C287),"STALE","")</f>
        <v/>
      </c>
      <c r="M288" s="106">
        <f>IF(D288="","",ABS(D288-G$5))</f>
        <v>2.6402655601764271E-3</v>
      </c>
    </row>
    <row r="289" spans="2:13" ht="15.75" customHeight="1" x14ac:dyDescent="0.55000000000000004">
      <c r="B289" s="94">
        <v>44228</v>
      </c>
      <c r="C289" s="95">
        <v>1.2069000000000001</v>
      </c>
      <c r="D289" s="95">
        <f>IF(OR(C289="",C288=""),"",LN(C289/C288))</f>
        <v>-5.5360604104701871E-3</v>
      </c>
      <c r="E289" s="95">
        <f>IF(D289="","",ABS(D289-$E$5)/$F$5)</f>
        <v>1.1246925128661591</v>
      </c>
      <c r="F289" s="96">
        <f>IF(D289="","",ABS(D289-$G$5)/$H$5)</f>
        <v>1.8512508018943126</v>
      </c>
      <c r="G289" s="96">
        <f>IF(D289="","",ABS(D289-$E$5)/SQRT(0.9*(IF(G288="",$F$5^2,(ABS(D288-$E$5)/MAX(G288,0.0000000001))^2))+0.1*(D289-$E$5)^2))</f>
        <v>1.3279549512489413</v>
      </c>
      <c r="H289" s="96" t="str">
        <f>IF(E289="","",IF(E289&gt;$I$5,"OUTLIER",""))</f>
        <v/>
      </c>
      <c r="I289" s="96" t="str">
        <f>IF(F289="","",IF(F289&gt;$I$5,"OUTLIER",""))</f>
        <v/>
      </c>
      <c r="J289" s="96" t="str">
        <f>IF(G289="","",IF(G289&gt;$I$5,"OUTLIER",""))</f>
        <v/>
      </c>
      <c r="K289" s="96" t="str">
        <f>IF(C289="","MISSING","")</f>
        <v/>
      </c>
      <c r="L289" s="96" t="str">
        <f>IF(AND(C289&lt;&gt;"",C288&lt;&gt;"",C289=C288),"STALE","")</f>
        <v/>
      </c>
      <c r="M289" s="106">
        <f>IF(D289="","",ABS(D289-G$5))</f>
        <v>5.5360604104701871E-3</v>
      </c>
    </row>
    <row r="290" spans="2:13" ht="15.75" customHeight="1" x14ac:dyDescent="0.55000000000000004">
      <c r="B290" s="94">
        <v>44229</v>
      </c>
      <c r="C290" s="95">
        <v>1.2054</v>
      </c>
      <c r="D290" s="95">
        <f>IF(OR(C290="",C289=""),"",LN(C290/C289))</f>
        <v>-1.2436265749085598E-3</v>
      </c>
      <c r="E290" s="95">
        <f>IF(D290="","",ABS(D290-$E$5)/$F$5)</f>
        <v>0.27384148639597067</v>
      </c>
      <c r="F290" s="96">
        <f>IF(D290="","",ABS(D290-$G$5)/$H$5)</f>
        <v>0.41586697459123523</v>
      </c>
      <c r="G290" s="96">
        <f>IF(D290="","",ABS(D290-$E$5)/SQRT(0.9*(IF(G289="",$F$5^2,(ABS(D289-$E$5)/MAX(G289,0.0000000001))^2))+0.1*(D290-$E$5)^2))</f>
        <v>0.33885951999567004</v>
      </c>
      <c r="H290" s="96" t="str">
        <f>IF(E290="","",IF(E290&gt;$I$5,"OUTLIER",""))</f>
        <v/>
      </c>
      <c r="I290" s="96" t="str">
        <f>IF(F290="","",IF(F290&gt;$I$5,"OUTLIER",""))</f>
        <v/>
      </c>
      <c r="J290" s="96" t="str">
        <f>IF(G290="","",IF(G290&gt;$I$5,"OUTLIER",""))</f>
        <v/>
      </c>
      <c r="K290" s="96" t="str">
        <f>IF(C290="","MISSING","")</f>
        <v/>
      </c>
      <c r="L290" s="96" t="str">
        <f>IF(AND(C290&lt;&gt;"",C289&lt;&gt;"",C290=C289),"STALE","")</f>
        <v/>
      </c>
      <c r="M290" s="106">
        <f>IF(D290="","",ABS(D290-G$5))</f>
        <v>1.2436265749085598E-3</v>
      </c>
    </row>
    <row r="291" spans="2:13" ht="15.75" customHeight="1" x14ac:dyDescent="0.55000000000000004">
      <c r="B291" s="94">
        <v>44230</v>
      </c>
      <c r="C291" s="95">
        <v>1.2067000000000001</v>
      </c>
      <c r="D291" s="95">
        <f>IF(OR(C291="",C290=""),"",LN(C291/C290))</f>
        <v>1.0778990306115088E-3</v>
      </c>
      <c r="E291" s="95">
        <f>IF(D291="","",ABS(D291-$E$5)/$F$5)</f>
        <v>0.18633391061748836</v>
      </c>
      <c r="F291" s="96">
        <f>IF(D291="","",ABS(D291-$G$5)/$H$5)</f>
        <v>0.36044791726020559</v>
      </c>
      <c r="G291" s="96">
        <f>IF(D291="","",ABS(D291-$E$5)/SQRT(0.9*(IF(G290="",$F$5^2,(ABS(D290-$E$5)/MAX(G290,0.0000000001))^2))+0.1*(D291-$E$5)^2))</f>
        <v>0.24233276184045358</v>
      </c>
      <c r="H291" s="96" t="str">
        <f>IF(E291="","",IF(E291&gt;$I$5,"OUTLIER",""))</f>
        <v/>
      </c>
      <c r="I291" s="96" t="str">
        <f>IF(F291="","",IF(F291&gt;$I$5,"OUTLIER",""))</f>
        <v/>
      </c>
      <c r="J291" s="96" t="str">
        <f>IF(G291="","",IF(G291&gt;$I$5,"OUTLIER",""))</f>
        <v/>
      </c>
      <c r="K291" s="96" t="str">
        <f>IF(C291="","MISSING","")</f>
        <v/>
      </c>
      <c r="L291" s="96" t="str">
        <f>IF(AND(C291&lt;&gt;"",C290&lt;&gt;"",C291=C290),"STALE","")</f>
        <v/>
      </c>
      <c r="M291" s="106">
        <f>IF(D291="","",ABS(D291-G$5))</f>
        <v>1.0778990306115088E-3</v>
      </c>
    </row>
    <row r="292" spans="2:13" ht="15.75" customHeight="1" x14ac:dyDescent="0.55000000000000004">
      <c r="B292" s="94">
        <v>44231</v>
      </c>
      <c r="C292" s="95">
        <v>1.2001999999999999</v>
      </c>
      <c r="D292" s="95">
        <f>IF(OR(C292="",C291=""),"",LN(C292/C291))</f>
        <v>-5.4011515241427534E-3</v>
      </c>
      <c r="E292" s="95">
        <f>IF(D292="","",ABS(D292-$E$5)/$F$5)</f>
        <v>1.0979507228213914</v>
      </c>
      <c r="F292" s="96">
        <f>IF(D292="","",ABS(D292-$G$5)/$H$5)</f>
        <v>1.8061374603700788</v>
      </c>
      <c r="G292" s="96">
        <f>IF(D292="","",ABS(D292-$E$5)/SQRT(0.9*(IF(G291="",$F$5^2,(ABS(D291-$E$5)/MAX(G291,0.0000000001))^2))+0.1*(D292-$E$5)^2))</f>
        <v>1.3590618984522311</v>
      </c>
      <c r="H292" s="96" t="str">
        <f>IF(E292="","",IF(E292&gt;$I$5,"OUTLIER",""))</f>
        <v/>
      </c>
      <c r="I292" s="96" t="str">
        <f>IF(F292="","",IF(F292&gt;$I$5,"OUTLIER",""))</f>
        <v/>
      </c>
      <c r="J292" s="96" t="str">
        <f>IF(G292="","",IF(G292&gt;$I$5,"OUTLIER",""))</f>
        <v/>
      </c>
      <c r="K292" s="96" t="str">
        <f>IF(C292="","MISSING","")</f>
        <v/>
      </c>
      <c r="L292" s="96" t="str">
        <f>IF(AND(C292&lt;&gt;"",C291&lt;&gt;"",C292=C291),"STALE","")</f>
        <v/>
      </c>
      <c r="M292" s="106">
        <f>IF(D292="","",ABS(D292-G$5))</f>
        <v>5.4011515241427534E-3</v>
      </c>
    </row>
    <row r="293" spans="2:13" ht="15.75" customHeight="1" x14ac:dyDescent="0.55000000000000004">
      <c r="B293" s="94">
        <v>44232</v>
      </c>
      <c r="C293" s="95">
        <v>1.2041999999999999</v>
      </c>
      <c r="D293" s="95">
        <f>IF(OR(C293="",C292=""),"",LN(C293/C292))</f>
        <v>3.3272364749349528E-3</v>
      </c>
      <c r="E293" s="95">
        <f>IF(D293="","",ABS(D293-$E$5)/$F$5)</f>
        <v>0.63220008973589581</v>
      </c>
      <c r="F293" s="96">
        <f>IF(D293="","",ABS(D293-$G$5)/$H$5)</f>
        <v>1.1126231897083283</v>
      </c>
      <c r="G293" s="96">
        <f>IF(D293="","",ABS(D293-$E$5)/SQRT(0.9*(IF(G292="",$F$5^2,(ABS(D292-$E$5)/MAX(G292,0.0000000001))^2))+0.1*(D293-$E$5)^2))</f>
        <v>0.79817008673369505</v>
      </c>
      <c r="H293" s="96" t="str">
        <f>IF(E293="","",IF(E293&gt;$I$5,"OUTLIER",""))</f>
        <v/>
      </c>
      <c r="I293" s="96" t="str">
        <f>IF(F293="","",IF(F293&gt;$I$5,"OUTLIER",""))</f>
        <v/>
      </c>
      <c r="J293" s="96" t="str">
        <f>IF(G293="","",IF(G293&gt;$I$5,"OUTLIER",""))</f>
        <v/>
      </c>
      <c r="K293" s="96" t="str">
        <f>IF(C293="","MISSING","")</f>
        <v/>
      </c>
      <c r="L293" s="96" t="str">
        <f>IF(AND(C293&lt;&gt;"",C292&lt;&gt;"",C293=C292),"STALE","")</f>
        <v/>
      </c>
      <c r="M293" s="106">
        <f>IF(D293="","",ABS(D293-G$5))</f>
        <v>3.3272364749349528E-3</v>
      </c>
    </row>
    <row r="294" spans="2:13" ht="15.75" customHeight="1" x14ac:dyDescent="0.55000000000000004">
      <c r="B294" s="94">
        <v>44235</v>
      </c>
      <c r="C294" s="95">
        <v>1.2067000000000001</v>
      </c>
      <c r="D294" s="95">
        <f>IF(OR(C294="",C293=""),"",LN(C294/C293))</f>
        <v>2.0739150492077563E-3</v>
      </c>
      <c r="E294" s="95">
        <f>IF(D294="","",ABS(D294-$E$5)/$F$5)</f>
        <v>0.3837653176626909</v>
      </c>
      <c r="F294" s="96">
        <f>IF(D294="","",ABS(D294-$G$5)/$H$5)</f>
        <v>0.69351427066173577</v>
      </c>
      <c r="G294" s="96">
        <f>IF(D294="","",ABS(D294-$E$5)/SQRT(0.9*(IF(G293="",$F$5^2,(ABS(D293-$E$5)/MAX(G293,0.0000000001))^2))+0.1*(D294-$E$5)^2))</f>
        <v>0.50418967673729675</v>
      </c>
      <c r="H294" s="96" t="str">
        <f>IF(E294="","",IF(E294&gt;$I$5,"OUTLIER",""))</f>
        <v/>
      </c>
      <c r="I294" s="96" t="str">
        <f>IF(F294="","",IF(F294&gt;$I$5,"OUTLIER",""))</f>
        <v/>
      </c>
      <c r="J294" s="96" t="str">
        <f>IF(G294="","",IF(G294&gt;$I$5,"OUTLIER",""))</f>
        <v/>
      </c>
      <c r="K294" s="96" t="str">
        <f>IF(C294="","MISSING","")</f>
        <v/>
      </c>
      <c r="L294" s="96" t="str">
        <f>IF(AND(C294&lt;&gt;"",C293&lt;&gt;"",C294=C293),"STALE","")</f>
        <v/>
      </c>
      <c r="M294" s="106">
        <f>IF(D294="","",ABS(D294-G$5))</f>
        <v>2.0739150492077563E-3</v>
      </c>
    </row>
    <row r="295" spans="2:13" ht="15.75" customHeight="1" x14ac:dyDescent="0.55000000000000004">
      <c r="B295" s="94">
        <v>44236</v>
      </c>
      <c r="C295" s="95">
        <v>1.2103999999999999</v>
      </c>
      <c r="D295" s="95">
        <f>IF(OR(C295="",C294=""),"",LN(C295/C294))</f>
        <v>3.0615223945909651E-3</v>
      </c>
      <c r="E295" s="95">
        <f>IF(D295="","",ABS(D295-$E$5)/$F$5)</f>
        <v>0.579529948117118</v>
      </c>
      <c r="F295" s="96">
        <f>IF(D295="","",ABS(D295-$G$5)/$H$5)</f>
        <v>1.0237687755872154</v>
      </c>
      <c r="G295" s="96">
        <f>IF(D295="","",ABS(D295-$E$5)/SQRT(0.9*(IF(G294="",$F$5^2,(ABS(D294-$E$5)/MAX(G294,0.0000000001))^2))+0.1*(D295-$E$5)^2))</f>
        <v>0.77790758557709616</v>
      </c>
      <c r="H295" s="96" t="str">
        <f>IF(E295="","",IF(E295&gt;$I$5,"OUTLIER",""))</f>
        <v/>
      </c>
      <c r="I295" s="96" t="str">
        <f>IF(F295="","",IF(F295&gt;$I$5,"OUTLIER",""))</f>
        <v/>
      </c>
      <c r="J295" s="96" t="str">
        <f>IF(G295="","",IF(G295&gt;$I$5,"OUTLIER",""))</f>
        <v/>
      </c>
      <c r="K295" s="96" t="str">
        <f>IF(C295="","MISSING","")</f>
        <v/>
      </c>
      <c r="L295" s="96" t="str">
        <f>IF(AND(C295&lt;&gt;"",C294&lt;&gt;"",C295=C294),"STALE","")</f>
        <v/>
      </c>
      <c r="M295" s="106">
        <f>IF(D295="","",ABS(D295-G$5))</f>
        <v>3.0615223945909651E-3</v>
      </c>
    </row>
    <row r="296" spans="2:13" ht="15.75" customHeight="1" x14ac:dyDescent="0.55000000000000004">
      <c r="B296" s="94">
        <v>44237</v>
      </c>
      <c r="C296" s="95">
        <v>1.2103999999999999</v>
      </c>
      <c r="D296" s="95">
        <f>IF(OR(C296="",C295=""),"",LN(C296/C295))</f>
        <v>0</v>
      </c>
      <c r="E296" s="95">
        <f>IF(D296="","",ABS(D296-$E$5)/$F$5)</f>
        <v>2.7328438474265301E-2</v>
      </c>
      <c r="F296" s="96">
        <f>IF(D296="","",ABS(D296-$G$5)/$H$5)</f>
        <v>0</v>
      </c>
      <c r="G296" s="96">
        <f>IF(D296="","",ABS(D296-$E$5)/SQRT(0.9*(IF(G295="",$F$5^2,(ABS(D295-$E$5)/MAX(G295,0.0000000001))^2))+0.1*(D296-$E$5)^2))</f>
        <v>3.8664573175795171E-2</v>
      </c>
      <c r="H296" s="96" t="str">
        <f>IF(E296="","",IF(E296&gt;$I$5,"OUTLIER",""))</f>
        <v/>
      </c>
      <c r="I296" s="96" t="str">
        <f>IF(F296="","",IF(F296&gt;$I$5,"OUTLIER",""))</f>
        <v/>
      </c>
      <c r="J296" s="96" t="str">
        <f>IF(G296="","",IF(G296&gt;$I$5,"OUTLIER",""))</f>
        <v/>
      </c>
      <c r="K296" s="96" t="str">
        <f>IF(C296="","MISSING","")</f>
        <v/>
      </c>
      <c r="L296" s="96" t="str">
        <f>IF(AND(C296&lt;&gt;"",C295&lt;&gt;"",C296=C295),"STALE","")</f>
        <v>STALE</v>
      </c>
      <c r="M296" s="106">
        <f>IF(D296="","",ABS(D296-G$5))</f>
        <v>0</v>
      </c>
    </row>
    <row r="297" spans="2:13" ht="15.75" customHeight="1" x14ac:dyDescent="0.55000000000000004">
      <c r="B297" s="94">
        <v>44238</v>
      </c>
      <c r="C297" s="95">
        <v>1.2117</v>
      </c>
      <c r="D297" s="95">
        <f>IF(OR(C297="",C296=""),"",LN(C297/C296))</f>
        <v>1.0734487633307023E-3</v>
      </c>
      <c r="E297" s="95">
        <f>IF(D297="","",ABS(D297-$E$5)/$F$5)</f>
        <v>0.18545177366931442</v>
      </c>
      <c r="F297" s="96">
        <f>IF(D297="","",ABS(D297-$G$5)/$H$5)</f>
        <v>0.35895975415117309</v>
      </c>
      <c r="G297" s="96">
        <f>IF(D297="","",ABS(D297-$E$5)/SQRT(0.9*(IF(G296="",$F$5^2,(ABS(D296-$E$5)/MAX(G296,0.0000000001))^2))+0.1*(D297-$E$5)^2))</f>
        <v>0.27552020728290522</v>
      </c>
      <c r="H297" s="96" t="str">
        <f>IF(E297="","",IF(E297&gt;$I$5,"OUTLIER",""))</f>
        <v/>
      </c>
      <c r="I297" s="96" t="str">
        <f>IF(F297="","",IF(F297&gt;$I$5,"OUTLIER",""))</f>
        <v/>
      </c>
      <c r="J297" s="96" t="str">
        <f>IF(G297="","",IF(G297&gt;$I$5,"OUTLIER",""))</f>
        <v/>
      </c>
      <c r="K297" s="96" t="str">
        <f>IF(C297="","MISSING","")</f>
        <v/>
      </c>
      <c r="L297" s="96" t="str">
        <f>IF(AND(C297&lt;&gt;"",C296&lt;&gt;"",C297=C296),"STALE","")</f>
        <v/>
      </c>
      <c r="M297" s="106">
        <f>IF(D297="","",ABS(D297-G$5))</f>
        <v>1.0734487633307023E-3</v>
      </c>
    </row>
    <row r="298" spans="2:13" ht="15.75" customHeight="1" x14ac:dyDescent="0.55000000000000004">
      <c r="B298" s="94">
        <v>44239</v>
      </c>
      <c r="C298" s="95">
        <v>1.2115</v>
      </c>
      <c r="D298" s="95">
        <f>IF(OR(C298="",C297=""),"",LN(C298/C297))</f>
        <v>-1.6507098089640768E-4</v>
      </c>
      <c r="E298" s="95">
        <f>IF(D298="","",ABS(D298-$E$5)/$F$5)</f>
        <v>6.0048992574028751E-2</v>
      </c>
      <c r="F298" s="96">
        <f>IF(D298="","",ABS(D298-$G$5)/$H$5)</f>
        <v>5.5199503454840614E-2</v>
      </c>
      <c r="G298" s="96">
        <f>IF(D298="","",ABS(D298-$E$5)/SQRT(0.9*(IF(G297="",$F$5^2,(ABS(D297-$E$5)/MAX(G297,0.0000000001))^2))+0.1*(D298-$E$5)^2))</f>
        <v>9.3997216130229974E-2</v>
      </c>
      <c r="H298" s="96" t="str">
        <f>IF(E298="","",IF(E298&gt;$I$5,"OUTLIER",""))</f>
        <v/>
      </c>
      <c r="I298" s="96" t="str">
        <f>IF(F298="","",IF(F298&gt;$I$5,"OUTLIER",""))</f>
        <v/>
      </c>
      <c r="J298" s="96" t="str">
        <f>IF(G298="","",IF(G298&gt;$I$5,"OUTLIER",""))</f>
        <v/>
      </c>
      <c r="K298" s="96" t="str">
        <f>IF(C298="","MISSING","")</f>
        <v/>
      </c>
      <c r="L298" s="96" t="str">
        <f>IF(AND(C298&lt;&gt;"",C297&lt;&gt;"",C298=C297),"STALE","")</f>
        <v/>
      </c>
      <c r="M298" s="106">
        <f>IF(D298="","",ABS(D298-G$5))</f>
        <v>1.6507098089640768E-4</v>
      </c>
    </row>
    <row r="299" spans="2:13" ht="15.75" customHeight="1" x14ac:dyDescent="0.55000000000000004">
      <c r="B299" s="94">
        <v>44242</v>
      </c>
      <c r="C299" s="95"/>
      <c r="D299" s="95" t="str">
        <f>IF(OR(C299="",C298=""),"",LN(C299/C298))</f>
        <v/>
      </c>
      <c r="E299" s="95" t="str">
        <f>IF(D299="","",ABS(D299-$E$5)/$F$5)</f>
        <v/>
      </c>
      <c r="F299" s="96" t="str">
        <f>IF(D299="","",ABS(D299-$G$5)/$H$5)</f>
        <v/>
      </c>
      <c r="G299" s="96" t="str">
        <f>IF(D299="","",ABS(D299-$E$5)/SQRT(0.9*(IF(G298="",$F$5^2,(ABS(D298-$E$5)/MAX(G298,0.0000000001))^2))+0.1*(D299-$E$5)^2))</f>
        <v/>
      </c>
      <c r="H299" s="96" t="str">
        <f>IF(E299="","",IF(E299&gt;$I$5,"OUTLIER",""))</f>
        <v/>
      </c>
      <c r="I299" s="96" t="str">
        <f>IF(F299="","",IF(F299&gt;$I$5,"OUTLIER",""))</f>
        <v/>
      </c>
      <c r="J299" s="96" t="str">
        <f>IF(G299="","",IF(G299&gt;$I$5,"OUTLIER",""))</f>
        <v/>
      </c>
      <c r="K299" s="96" t="str">
        <f>IF(C299="","MISSING","")</f>
        <v>MISSING</v>
      </c>
      <c r="L299" s="96" t="str">
        <f>IF(AND(C299&lt;&gt;"",C298&lt;&gt;"",C299=C298),"STALE","")</f>
        <v/>
      </c>
      <c r="M299" s="106" t="str">
        <f>IF(D299="","",ABS(D299-G$5))</f>
        <v/>
      </c>
    </row>
    <row r="300" spans="2:13" ht="15.75" customHeight="1" x14ac:dyDescent="0.55000000000000004">
      <c r="B300" s="94">
        <v>44243</v>
      </c>
      <c r="C300" s="95">
        <v>1.2135</v>
      </c>
      <c r="D300" s="95" t="str">
        <f>IF(OR(C300="",C299=""),"",LN(C300/C299))</f>
        <v/>
      </c>
      <c r="E300" s="95" t="str">
        <f>IF(D300="","",ABS(D300-$E$5)/$F$5)</f>
        <v/>
      </c>
      <c r="F300" s="96" t="str">
        <f>IF(D300="","",ABS(D300-$G$5)/$H$5)</f>
        <v/>
      </c>
      <c r="G300" s="96" t="str">
        <f>IF(D300="","",ABS(D300-$E$5)/SQRT(0.9*(IF(G299="",$F$5^2,(ABS(D299-$E$5)/MAX(G299,0.0000000001))^2))+0.1*(D300-$E$5)^2))</f>
        <v/>
      </c>
      <c r="H300" s="96" t="str">
        <f>IF(E300="","",IF(E300&gt;$I$5,"OUTLIER",""))</f>
        <v/>
      </c>
      <c r="I300" s="96" t="str">
        <f>IF(F300="","",IF(F300&gt;$I$5,"OUTLIER",""))</f>
        <v/>
      </c>
      <c r="J300" s="96" t="str">
        <f>IF(G300="","",IF(G300&gt;$I$5,"OUTLIER",""))</f>
        <v/>
      </c>
      <c r="K300" s="96" t="str">
        <f>IF(C300="","MISSING","")</f>
        <v/>
      </c>
      <c r="L300" s="96" t="str">
        <f>IF(AND(C300&lt;&gt;"",C299&lt;&gt;"",C300=C299),"STALE","")</f>
        <v/>
      </c>
      <c r="M300" s="106" t="str">
        <f>IF(D300="","",ABS(D300-G$5))</f>
        <v/>
      </c>
    </row>
    <row r="301" spans="2:13" ht="15.75" customHeight="1" x14ac:dyDescent="0.55000000000000004">
      <c r="B301" s="94">
        <v>44244</v>
      </c>
      <c r="C301" s="95">
        <v>1.2092000000000001</v>
      </c>
      <c r="D301" s="95">
        <f>IF(OR(C301="",C300=""),"",LN(C301/C300))</f>
        <v>-3.5497622613530071E-3</v>
      </c>
      <c r="E301" s="95">
        <f>IF(D301="","",ABS(D301-$E$5)/$F$5)</f>
        <v>0.73096627647070389</v>
      </c>
      <c r="F301" s="96">
        <f>IF(D301="","",ABS(D301-$G$5)/$H$5)</f>
        <v>1.1870354991855649</v>
      </c>
      <c r="G301" s="96">
        <f>IF(D301="","",ABS(D301-$E$5)/SQRT(0.9*(IF(G300="",$F$5^2,(ABS(D300-$E$5)/MAX(G300,0.0000000001))^2))+0.1*(D301-$E$5)^2))</f>
        <v>0.74860490450627637</v>
      </c>
      <c r="H301" s="96" t="str">
        <f>IF(E301="","",IF(E301&gt;$I$5,"OUTLIER",""))</f>
        <v/>
      </c>
      <c r="I301" s="96" t="str">
        <f>IF(F301="","",IF(F301&gt;$I$5,"OUTLIER",""))</f>
        <v/>
      </c>
      <c r="J301" s="96" t="str">
        <f>IF(G301="","",IF(G301&gt;$I$5,"OUTLIER",""))</f>
        <v/>
      </c>
      <c r="K301" s="96" t="str">
        <f>IF(C301="","MISSING","")</f>
        <v/>
      </c>
      <c r="L301" s="96" t="str">
        <f>IF(AND(C301&lt;&gt;"",C300&lt;&gt;"",C301=C300),"STALE","")</f>
        <v/>
      </c>
      <c r="M301" s="106">
        <f>IF(D301="","",ABS(D301-G$5))</f>
        <v>3.5497622613530071E-3</v>
      </c>
    </row>
    <row r="302" spans="2:13" ht="15.75" customHeight="1" x14ac:dyDescent="0.55000000000000004">
      <c r="B302" s="94">
        <v>44245</v>
      </c>
      <c r="C302" s="95">
        <v>1.206</v>
      </c>
      <c r="D302" s="95">
        <f>IF(OR(C302="",C301=""),"",LN(C302/C301))</f>
        <v>-2.6498856181722623E-3</v>
      </c>
      <c r="E302" s="95">
        <f>IF(D302="","",ABS(D302-$E$5)/$F$5)</f>
        <v>0.55259172373943177</v>
      </c>
      <c r="F302" s="96">
        <f>IF(D302="","",ABS(D302-$G$5)/$H$5)</f>
        <v>0.88611801747896124</v>
      </c>
      <c r="G302" s="96">
        <f>IF(D302="","",ABS(D302-$E$5)/SQRT(0.9*(IF(G301="",$F$5^2,(ABS(D301-$E$5)/MAX(G301,0.0000000001))^2))+0.1*(D302-$E$5)^2))</f>
        <v>0.58619944416638958</v>
      </c>
      <c r="H302" s="96" t="str">
        <f>IF(E302="","",IF(E302&gt;$I$5,"OUTLIER",""))</f>
        <v/>
      </c>
      <c r="I302" s="96" t="str">
        <f>IF(F302="","",IF(F302&gt;$I$5,"OUTLIER",""))</f>
        <v/>
      </c>
      <c r="J302" s="96" t="str">
        <f>IF(G302="","",IF(G302&gt;$I$5,"OUTLIER",""))</f>
        <v/>
      </c>
      <c r="K302" s="96" t="str">
        <f>IF(C302="","MISSING","")</f>
        <v/>
      </c>
      <c r="L302" s="96" t="str">
        <f>IF(AND(C302&lt;&gt;"",C301&lt;&gt;"",C302=C301),"STALE","")</f>
        <v/>
      </c>
      <c r="M302" s="106">
        <f>IF(D302="","",ABS(D302-G$5))</f>
        <v>2.6498856181722623E-3</v>
      </c>
    </row>
    <row r="303" spans="2:13" ht="15.75" customHeight="1" x14ac:dyDescent="0.55000000000000004">
      <c r="B303" s="94">
        <v>44246</v>
      </c>
      <c r="C303" s="95">
        <v>1.2098</v>
      </c>
      <c r="D303" s="95">
        <f>IF(OR(C303="",C302=""),"",LN(C303/C302))</f>
        <v>3.1459583856830679E-3</v>
      </c>
      <c r="E303" s="95">
        <f>IF(D303="","",ABS(D303-$E$5)/$F$5)</f>
        <v>0.59626694452613627</v>
      </c>
      <c r="F303" s="96">
        <f>IF(D303="","",ABS(D303-$G$5)/$H$5)</f>
        <v>1.0520040520524734</v>
      </c>
      <c r="G303" s="96">
        <f>IF(D303="","",ABS(D303-$E$5)/SQRT(0.9*(IF(G302="",$F$5^2,(ABS(D302-$E$5)/MAX(G302,0.0000000001))^2))+0.1*(D303-$E$5)^2))</f>
        <v>0.65240252053708603</v>
      </c>
      <c r="H303" s="96" t="str">
        <f>IF(E303="","",IF(E303&gt;$I$5,"OUTLIER",""))</f>
        <v/>
      </c>
      <c r="I303" s="96" t="str">
        <f>IF(F303="","",IF(F303&gt;$I$5,"OUTLIER",""))</f>
        <v/>
      </c>
      <c r="J303" s="96" t="str">
        <f>IF(G303="","",IF(G303&gt;$I$5,"OUTLIER",""))</f>
        <v/>
      </c>
      <c r="K303" s="96" t="str">
        <f>IF(C303="","MISSING","")</f>
        <v/>
      </c>
      <c r="L303" s="96" t="str">
        <f>IF(AND(C303&lt;&gt;"",C302&lt;&gt;"",C303=C302),"STALE","")</f>
        <v/>
      </c>
      <c r="M303" s="106">
        <f>IF(D303="","",ABS(D303-G$5))</f>
        <v>3.1459583856830679E-3</v>
      </c>
    </row>
    <row r="304" spans="2:13" ht="15.75" customHeight="1" x14ac:dyDescent="0.55000000000000004">
      <c r="B304" s="94">
        <v>44249</v>
      </c>
      <c r="C304" s="95">
        <v>1.2154</v>
      </c>
      <c r="D304" s="95">
        <f>IF(OR(C304="",C303=""),"",LN(C304/C303))</f>
        <v>4.6181840284410958E-3</v>
      </c>
      <c r="E304" s="95">
        <f>IF(D304="","",ABS(D304-$E$5)/$F$5)</f>
        <v>0.888093154858975</v>
      </c>
      <c r="F304" s="96">
        <f>IF(D304="","",ABS(D304-$G$5)/$H$5)</f>
        <v>1.5443142328753903</v>
      </c>
      <c r="G304" s="96">
        <f>IF(D304="","",ABS(D304-$E$5)/SQRT(0.9*(IF(G303="",$F$5^2,(ABS(D303-$E$5)/MAX(G303,0.0000000001))^2))+0.1*(D304-$E$5)^2))</f>
        <v>0.97442486806699857</v>
      </c>
      <c r="H304" s="96" t="str">
        <f>IF(E304="","",IF(E304&gt;$I$5,"OUTLIER",""))</f>
        <v/>
      </c>
      <c r="I304" s="96" t="str">
        <f>IF(F304="","",IF(F304&gt;$I$5,"OUTLIER",""))</f>
        <v/>
      </c>
      <c r="J304" s="96" t="str">
        <f>IF(G304="","",IF(G304&gt;$I$5,"OUTLIER",""))</f>
        <v/>
      </c>
      <c r="K304" s="96" t="str">
        <f>IF(C304="","MISSING","")</f>
        <v/>
      </c>
      <c r="L304" s="96" t="str">
        <f>IF(AND(C304&lt;&gt;"",C303&lt;&gt;"",C304=C303),"STALE","")</f>
        <v/>
      </c>
      <c r="M304" s="106">
        <f>IF(D304="","",ABS(D304-G$5))</f>
        <v>4.6181840284410958E-3</v>
      </c>
    </row>
    <row r="305" spans="2:13" ht="15.75" customHeight="1" x14ac:dyDescent="0.55000000000000004">
      <c r="B305" s="94">
        <v>44250</v>
      </c>
      <c r="C305" s="95">
        <v>1.2181</v>
      </c>
      <c r="D305" s="95">
        <f>IF(OR(C305="",C304=""),"",LN(C305/C304))</f>
        <v>2.2190270046584257E-3</v>
      </c>
      <c r="E305" s="95">
        <f>IF(D305="","",ABS(D305-$E$5)/$F$5)</f>
        <v>0.41252957145861308</v>
      </c>
      <c r="F305" s="96">
        <f>IF(D305="","",ABS(D305-$G$5)/$H$5)</f>
        <v>0.74203950412639141</v>
      </c>
      <c r="G305" s="96">
        <f>IF(D305="","",ABS(D305-$E$5)/SQRT(0.9*(IF(G304="",$F$5^2,(ABS(D304-$E$5)/MAX(G304,0.0000000001))^2))+0.1*(D305-$E$5)^2))</f>
        <v>0.47177613109046923</v>
      </c>
      <c r="H305" s="96" t="str">
        <f>IF(E305="","",IF(E305&gt;$I$5,"OUTLIER",""))</f>
        <v/>
      </c>
      <c r="I305" s="96" t="str">
        <f>IF(F305="","",IF(F305&gt;$I$5,"OUTLIER",""))</f>
        <v/>
      </c>
      <c r="J305" s="96" t="str">
        <f>IF(G305="","",IF(G305&gt;$I$5,"OUTLIER",""))</f>
        <v/>
      </c>
      <c r="K305" s="96" t="str">
        <f>IF(C305="","MISSING","")</f>
        <v/>
      </c>
      <c r="L305" s="96" t="str">
        <f>IF(AND(C305&lt;&gt;"",C304&lt;&gt;"",C305=C304),"STALE","")</f>
        <v/>
      </c>
      <c r="M305" s="106">
        <f>IF(D305="","",ABS(D305-G$5))</f>
        <v>2.2190270046584257E-3</v>
      </c>
    </row>
    <row r="306" spans="2:13" ht="15.75" customHeight="1" x14ac:dyDescent="0.55000000000000004">
      <c r="B306" s="94">
        <v>44251</v>
      </c>
      <c r="C306" s="95">
        <v>1.2168000000000001</v>
      </c>
      <c r="D306" s="95">
        <f>IF(OR(C306="",C305=""),"",LN(C306/C305))</f>
        <v>-1.0678057608299895E-3</v>
      </c>
      <c r="E306" s="95">
        <f>IF(D306="","",ABS(D306-$E$5)/$F$5)</f>
        <v>0.23899008836294725</v>
      </c>
      <c r="F306" s="96">
        <f>IF(D306="","",ABS(D306-$G$5)/$H$5)</f>
        <v>0.35707274206496487</v>
      </c>
      <c r="G306" s="96">
        <f>IF(D306="","",ABS(D306-$E$5)/SQRT(0.9*(IF(G305="",$F$5^2,(ABS(D305-$E$5)/MAX(G305,0.0000000001))^2))+0.1*(D306-$E$5)^2))</f>
        <v>0.28690930044358565</v>
      </c>
      <c r="H306" s="96" t="str">
        <f>IF(E306="","",IF(E306&gt;$I$5,"OUTLIER",""))</f>
        <v/>
      </c>
      <c r="I306" s="96" t="str">
        <f>IF(F306="","",IF(F306&gt;$I$5,"OUTLIER",""))</f>
        <v/>
      </c>
      <c r="J306" s="96" t="str">
        <f>IF(G306="","",IF(G306&gt;$I$5,"OUTLIER",""))</f>
        <v/>
      </c>
      <c r="K306" s="96" t="str">
        <f>IF(C306="","MISSING","")</f>
        <v/>
      </c>
      <c r="L306" s="96" t="str">
        <f>IF(AND(C306&lt;&gt;"",C305&lt;&gt;"",C306=C305),"STALE","")</f>
        <v/>
      </c>
      <c r="M306" s="106">
        <f>IF(D306="","",ABS(D306-G$5))</f>
        <v>1.0678057608299895E-3</v>
      </c>
    </row>
    <row r="307" spans="2:13" ht="15.75" customHeight="1" x14ac:dyDescent="0.55000000000000004">
      <c r="B307" s="94">
        <v>44252</v>
      </c>
      <c r="C307" s="95">
        <v>1.2079</v>
      </c>
      <c r="D307" s="95">
        <f>IF(OR(C307="",C306=""),"",LN(C307/C306))</f>
        <v>-7.3411473338505012E-3</v>
      </c>
      <c r="E307" s="95">
        <f>IF(D307="","",ABS(D307-$E$5)/$F$5)</f>
        <v>1.482498857812441</v>
      </c>
      <c r="F307" s="96">
        <f>IF(D307="","",ABS(D307-$G$5)/$H$5)</f>
        <v>2.4548693260124281</v>
      </c>
      <c r="G307" s="96">
        <f>IF(D307="","",ABS(D307-$E$5)/SQRT(0.9*(IF(G306="",$F$5^2,(ABS(D306-$E$5)/MAX(G306,0.0000000001))^2))+0.1*(D307-$E$5)^2))</f>
        <v>1.613460064420789</v>
      </c>
      <c r="H307" s="96" t="str">
        <f>IF(E307="","",IF(E307&gt;$I$5,"OUTLIER",""))</f>
        <v/>
      </c>
      <c r="I307" s="96" t="str">
        <f>IF(F307="","",IF(F307&gt;$I$5,"OUTLIER",""))</f>
        <v/>
      </c>
      <c r="J307" s="96" t="str">
        <f>IF(G307="","",IF(G307&gt;$I$5,"OUTLIER",""))</f>
        <v/>
      </c>
      <c r="K307" s="96" t="str">
        <f>IF(C307="","MISSING","")</f>
        <v/>
      </c>
      <c r="L307" s="96" t="str">
        <f>IF(AND(C307&lt;&gt;"",C306&lt;&gt;"",C307=C306),"STALE","")</f>
        <v/>
      </c>
      <c r="M307" s="106">
        <f>IF(D307="","",ABS(D307-G$5))</f>
        <v>7.3411473338505012E-3</v>
      </c>
    </row>
    <row r="308" spans="2:13" ht="15.75" customHeight="1" x14ac:dyDescent="0.55000000000000004">
      <c r="B308" s="94">
        <v>44253</v>
      </c>
      <c r="C308" s="95">
        <v>1.2061999999999999</v>
      </c>
      <c r="D308" s="95">
        <f>IF(OR(C308="",C307=""),"",LN(C308/C307))</f>
        <v>-1.4083925943463088E-3</v>
      </c>
      <c r="E308" s="95">
        <f>IF(D308="","",ABS(D308-$E$5)/$F$5)</f>
        <v>0.30650159069497451</v>
      </c>
      <c r="F308" s="96">
        <f>IF(D308="","",ABS(D308-$G$5)/$H$5)</f>
        <v>0.47096449936393919</v>
      </c>
      <c r="G308" s="96">
        <f>IF(D308="","",ABS(D308-$E$5)/SQRT(0.9*(IF(G307="",$F$5^2,(ABS(D307-$E$5)/MAX(G307,0.0000000001))^2))+0.1*(D308-$E$5)^2))</f>
        <v>0.34946769491454555</v>
      </c>
      <c r="H308" s="96" t="str">
        <f>IF(E308="","",IF(E308&gt;$I$5,"OUTLIER",""))</f>
        <v/>
      </c>
      <c r="I308" s="96" t="str">
        <f>IF(F308="","",IF(F308&gt;$I$5,"OUTLIER",""))</f>
        <v/>
      </c>
      <c r="J308" s="96" t="str">
        <f>IF(G308="","",IF(G308&gt;$I$5,"OUTLIER",""))</f>
        <v/>
      </c>
      <c r="K308" s="96" t="str">
        <f>IF(C308="","MISSING","")</f>
        <v/>
      </c>
      <c r="L308" s="96" t="str">
        <f>IF(AND(C308&lt;&gt;"",C307&lt;&gt;"",C308=C307),"STALE","")</f>
        <v/>
      </c>
      <c r="M308" s="106">
        <f>IF(D308="","",ABS(D308-G$5))</f>
        <v>1.4083925943463088E-3</v>
      </c>
    </row>
    <row r="309" spans="2:13" ht="15.75" customHeight="1" x14ac:dyDescent="0.55000000000000004">
      <c r="B309" s="94">
        <v>44256</v>
      </c>
      <c r="C309" s="95">
        <v>1.2070000000000001</v>
      </c>
      <c r="D309" s="95">
        <f>IF(OR(C309="",C308=""),"",LN(C309/C308))</f>
        <v>6.6302008064513592E-4</v>
      </c>
      <c r="E309" s="95">
        <f>IF(D309="","",ABS(D309-$E$5)/$F$5)</f>
        <v>0.10409614203145832</v>
      </c>
      <c r="F309" s="96">
        <f>IF(D309="","",ABS(D309-$G$5)/$H$5)</f>
        <v>0.22171298088528138</v>
      </c>
      <c r="G309" s="96">
        <f>IF(D309="","",ABS(D309-$E$5)/SQRT(0.9*(IF(G308="",$F$5^2,(ABS(D308-$E$5)/MAX(G308,0.0000000001))^2))+0.1*(D309-$E$5)^2))</f>
        <v>0.12501095260575407</v>
      </c>
      <c r="H309" s="96" t="str">
        <f>IF(E309="","",IF(E309&gt;$I$5,"OUTLIER",""))</f>
        <v/>
      </c>
      <c r="I309" s="96" t="str">
        <f>IF(F309="","",IF(F309&gt;$I$5,"OUTLIER",""))</f>
        <v/>
      </c>
      <c r="J309" s="96" t="str">
        <f>IF(G309="","",IF(G309&gt;$I$5,"OUTLIER",""))</f>
        <v/>
      </c>
      <c r="K309" s="96" t="str">
        <f>IF(C309="","MISSING","")</f>
        <v/>
      </c>
      <c r="L309" s="96" t="str">
        <f>IF(AND(C309&lt;&gt;"",C308&lt;&gt;"",C309=C308),"STALE","")</f>
        <v/>
      </c>
      <c r="M309" s="106">
        <f>IF(D309="","",ABS(D309-G$5))</f>
        <v>6.6302008064513592E-4</v>
      </c>
    </row>
    <row r="310" spans="2:13" ht="15.75" customHeight="1" x14ac:dyDescent="0.55000000000000004">
      <c r="B310" s="94">
        <v>44257</v>
      </c>
      <c r="C310" s="95">
        <v>1.2028000000000001</v>
      </c>
      <c r="D310" s="95">
        <f>IF(OR(C310="",C309=""),"",LN(C310/C309))</f>
        <v>-3.4857699831575334E-3</v>
      </c>
      <c r="E310" s="95">
        <f>IF(D310="","",ABS(D310-$E$5)/$F$5)</f>
        <v>0.71828165565309254</v>
      </c>
      <c r="F310" s="96">
        <f>IF(D310="","",ABS(D310-$G$5)/$H$5)</f>
        <v>1.1656365715112276</v>
      </c>
      <c r="G310" s="96">
        <f>IF(D310="","",ABS(D310-$E$5)/SQRT(0.9*(IF(G309="",$F$5^2,(ABS(D309-$E$5)/MAX(G309,0.0000000001))^2))+0.1*(D310-$E$5)^2))</f>
        <v>0.87385204711873954</v>
      </c>
      <c r="H310" s="96" t="str">
        <f>IF(E310="","",IF(E310&gt;$I$5,"OUTLIER",""))</f>
        <v/>
      </c>
      <c r="I310" s="96" t="str">
        <f>IF(F310="","",IF(F310&gt;$I$5,"OUTLIER",""))</f>
        <v/>
      </c>
      <c r="J310" s="96" t="str">
        <f>IF(G310="","",IF(G310&gt;$I$5,"OUTLIER",""))</f>
        <v/>
      </c>
      <c r="K310" s="96" t="str">
        <f>IF(C310="","MISSING","")</f>
        <v/>
      </c>
      <c r="L310" s="96" t="str">
        <f>IF(AND(C310&lt;&gt;"",C309&lt;&gt;"",C310=C309),"STALE","")</f>
        <v/>
      </c>
      <c r="M310" s="106">
        <f>IF(D310="","",ABS(D310-G$5))</f>
        <v>3.4857699831575334E-3</v>
      </c>
    </row>
    <row r="311" spans="2:13" ht="15.75" customHeight="1" x14ac:dyDescent="0.55000000000000004">
      <c r="B311" s="94">
        <v>44258</v>
      </c>
      <c r="C311" s="95">
        <v>1.1990000000000001</v>
      </c>
      <c r="D311" s="95">
        <f>IF(OR(C311="",C310=""),"",LN(C311/C310))</f>
        <v>-3.1642960868597291E-3</v>
      </c>
      <c r="E311" s="95">
        <f>IF(D311="","",ABS(D311-$E$5)/$F$5)</f>
        <v>0.6545587410720296</v>
      </c>
      <c r="F311" s="96">
        <f>IF(D311="","",ABS(D311-$G$5)/$H$5)</f>
        <v>1.058136153491249</v>
      </c>
      <c r="G311" s="96">
        <f>IF(D311="","",ABS(D311-$E$5)/SQRT(0.9*(IF(G310="",$F$5^2,(ABS(D310-$E$5)/MAX(G310,0.0000000001))^2))+0.1*(D311-$E$5)^2))</f>
        <v>0.81130721253077398</v>
      </c>
      <c r="H311" s="96" t="str">
        <f>IF(E311="","",IF(E311&gt;$I$5,"OUTLIER",""))</f>
        <v/>
      </c>
      <c r="I311" s="96" t="str">
        <f>IF(F311="","",IF(F311&gt;$I$5,"OUTLIER",""))</f>
        <v/>
      </c>
      <c r="J311" s="96" t="str">
        <f>IF(G311="","",IF(G311&gt;$I$5,"OUTLIER",""))</f>
        <v/>
      </c>
      <c r="K311" s="96" t="str">
        <f>IF(C311="","MISSING","")</f>
        <v/>
      </c>
      <c r="L311" s="96" t="str">
        <f>IF(AND(C311&lt;&gt;"",C310&lt;&gt;"",C311=C310),"STALE","")</f>
        <v/>
      </c>
      <c r="M311" s="106">
        <f>IF(D311="","",ABS(D311-G$5))</f>
        <v>3.1642960868597291E-3</v>
      </c>
    </row>
    <row r="312" spans="2:13" ht="15.75" customHeight="1" x14ac:dyDescent="0.55000000000000004">
      <c r="B312" s="94">
        <v>44259</v>
      </c>
      <c r="C312" s="95">
        <v>1.1933</v>
      </c>
      <c r="D312" s="95">
        <f>IF(OR(C312="",C311=""),"",LN(C312/C311))</f>
        <v>-4.765297651904297E-3</v>
      </c>
      <c r="E312" s="95">
        <f>IF(D312="","",ABS(D312-$E$5)/$F$5)</f>
        <v>0.97191105847130643</v>
      </c>
      <c r="F312" s="96">
        <f>IF(D312="","",ABS(D312-$G$5)/$H$5)</f>
        <v>1.593508821303427</v>
      </c>
      <c r="G312" s="96">
        <f>IF(D312="","",ABS(D312-$E$5)/SQRT(0.9*(IF(G311="",$F$5^2,(ABS(D311-$E$5)/MAX(G311,0.0000000001))^2))+0.1*(D312-$E$5)^2))</f>
        <v>1.1783660186162142</v>
      </c>
      <c r="H312" s="96" t="str">
        <f>IF(E312="","",IF(E312&gt;$I$5,"OUTLIER",""))</f>
        <v/>
      </c>
      <c r="I312" s="96" t="str">
        <f>IF(F312="","",IF(F312&gt;$I$5,"OUTLIER",""))</f>
        <v/>
      </c>
      <c r="J312" s="96" t="str">
        <f>IF(G312="","",IF(G312&gt;$I$5,"OUTLIER",""))</f>
        <v/>
      </c>
      <c r="K312" s="96" t="str">
        <f>IF(C312="","MISSING","")</f>
        <v/>
      </c>
      <c r="L312" s="96" t="str">
        <f>IF(AND(C312&lt;&gt;"",C311&lt;&gt;"",C312=C311),"STALE","")</f>
        <v/>
      </c>
      <c r="M312" s="106">
        <f>IF(D312="","",ABS(D312-G$5))</f>
        <v>4.765297651904297E-3</v>
      </c>
    </row>
    <row r="313" spans="2:13" ht="15.75" customHeight="1" x14ac:dyDescent="0.55000000000000004">
      <c r="B313" s="94">
        <v>44260</v>
      </c>
      <c r="C313" s="95">
        <v>1.1907000000000001</v>
      </c>
      <c r="D313" s="95">
        <f>IF(OR(C313="",C312=""),"",LN(C313/C312))</f>
        <v>-2.1812089184805625E-3</v>
      </c>
      <c r="E313" s="95">
        <f>IF(D313="","",ABS(D313-$E$5)/$F$5)</f>
        <v>0.45969010514915543</v>
      </c>
      <c r="F313" s="96">
        <f>IF(D313="","",ABS(D313-$G$5)/$H$5)</f>
        <v>0.72939318938776099</v>
      </c>
      <c r="G313" s="96">
        <f>IF(D313="","",ABS(D313-$E$5)/SQRT(0.9*(IF(G312="",$F$5^2,(ABS(D312-$E$5)/MAX(G312,0.0000000001))^2))+0.1*(D313-$E$5)^2))</f>
        <v>0.57760295065389067</v>
      </c>
      <c r="H313" s="96" t="str">
        <f>IF(E313="","",IF(E313&gt;$I$5,"OUTLIER",""))</f>
        <v/>
      </c>
      <c r="I313" s="96" t="str">
        <f>IF(F313="","",IF(F313&gt;$I$5,"OUTLIER",""))</f>
        <v/>
      </c>
      <c r="J313" s="96" t="str">
        <f>IF(G313="","",IF(G313&gt;$I$5,"OUTLIER",""))</f>
        <v/>
      </c>
      <c r="K313" s="96" t="str">
        <f>IF(C313="","MISSING","")</f>
        <v/>
      </c>
      <c r="L313" s="96" t="str">
        <f>IF(AND(C313&lt;&gt;"",C312&lt;&gt;"",C313=C312),"STALE","")</f>
        <v/>
      </c>
      <c r="M313" s="106">
        <f>IF(D313="","",ABS(D313-G$5))</f>
        <v>2.1812089184805625E-3</v>
      </c>
    </row>
    <row r="314" spans="2:13" ht="15.75" customHeight="1" x14ac:dyDescent="0.55000000000000004">
      <c r="B314" s="94">
        <v>44263</v>
      </c>
      <c r="C314" s="95">
        <v>1.1837</v>
      </c>
      <c r="D314" s="95">
        <f>IF(OR(C314="",C313=""),"",LN(C314/C313))</f>
        <v>-5.8962434972816124E-3</v>
      </c>
      <c r="E314" s="95">
        <f>IF(D314="","",ABS(D314-$E$5)/$F$5)</f>
        <v>1.1960884064013719</v>
      </c>
      <c r="F314" s="96">
        <f>IF(D314="","",ABS(D314-$G$5)/$H$5)</f>
        <v>1.9716955186873846</v>
      </c>
      <c r="G314" s="96">
        <f>IF(D314="","",ABS(D314-$E$5)/SQRT(0.9*(IF(G313="",$F$5^2,(ABS(D313-$E$5)/MAX(G313,0.0000000001))^2))+0.1*(D314-$E$5)^2))</f>
        <v>1.4163929466422929</v>
      </c>
      <c r="H314" s="96" t="str">
        <f>IF(E314="","",IF(E314&gt;$I$5,"OUTLIER",""))</f>
        <v/>
      </c>
      <c r="I314" s="96" t="str">
        <f>IF(F314="","",IF(F314&gt;$I$5,"OUTLIER",""))</f>
        <v/>
      </c>
      <c r="J314" s="96" t="str">
        <f>IF(G314="","",IF(G314&gt;$I$5,"OUTLIER",""))</f>
        <v/>
      </c>
      <c r="K314" s="96" t="str">
        <f>IF(C314="","MISSING","")</f>
        <v/>
      </c>
      <c r="L314" s="96" t="str">
        <f>IF(AND(C314&lt;&gt;"",C313&lt;&gt;"",C314=C313),"STALE","")</f>
        <v/>
      </c>
      <c r="M314" s="106">
        <f>IF(D314="","",ABS(D314-G$5))</f>
        <v>5.8962434972816124E-3</v>
      </c>
    </row>
    <row r="315" spans="2:13" ht="15.75" customHeight="1" x14ac:dyDescent="0.55000000000000004">
      <c r="B315" s="94">
        <v>44264</v>
      </c>
      <c r="C315" s="95">
        <v>1.1875</v>
      </c>
      <c r="D315" s="95">
        <f>IF(OR(C315="",C314=""),"",LN(C315/C314))</f>
        <v>3.205130948948331E-3</v>
      </c>
      <c r="E315" s="95">
        <f>IF(D315="","",ABS(D315-$E$5)/$F$5)</f>
        <v>0.60799619607009958</v>
      </c>
      <c r="F315" s="96">
        <f>IF(D315="","",ABS(D315-$G$5)/$H$5)</f>
        <v>1.0717912738443065</v>
      </c>
      <c r="G315" s="96">
        <f>IF(D315="","",ABS(D315-$E$5)/SQRT(0.9*(IF(G314="",$F$5^2,(ABS(D314-$E$5)/MAX(G314,0.0000000001))^2))+0.1*(D315-$E$5)^2))</f>
        <v>0.73797214352452334</v>
      </c>
      <c r="H315" s="96" t="str">
        <f>IF(E315="","",IF(E315&gt;$I$5,"OUTLIER",""))</f>
        <v/>
      </c>
      <c r="I315" s="96" t="str">
        <f>IF(F315="","",IF(F315&gt;$I$5,"OUTLIER",""))</f>
        <v/>
      </c>
      <c r="J315" s="96" t="str">
        <f>IF(G315="","",IF(G315&gt;$I$5,"OUTLIER",""))</f>
        <v/>
      </c>
      <c r="K315" s="96" t="str">
        <f>IF(C315="","MISSING","")</f>
        <v/>
      </c>
      <c r="L315" s="96" t="str">
        <f>IF(AND(C315&lt;&gt;"",C314&lt;&gt;"",C315=C314),"STALE","")</f>
        <v/>
      </c>
      <c r="M315" s="106">
        <f>IF(D315="","",ABS(D315-G$5))</f>
        <v>3.205130948948331E-3</v>
      </c>
    </row>
    <row r="316" spans="2:13" ht="15.75" customHeight="1" x14ac:dyDescent="0.55000000000000004">
      <c r="B316" s="94">
        <v>44265</v>
      </c>
      <c r="C316" s="95">
        <v>1.1950000000000001</v>
      </c>
      <c r="D316" s="95">
        <f>IF(OR(C316="",C315=""),"",LN(C316/C315))</f>
        <v>6.2959284568148309E-3</v>
      </c>
      <c r="E316" s="95">
        <f>IF(D316="","",ABS(D316-$E$5)/$F$5)</f>
        <v>1.2206575282943679</v>
      </c>
      <c r="F316" s="96">
        <f>IF(D316="","",ABS(D316-$G$5)/$H$5)</f>
        <v>2.1053496060672083</v>
      </c>
      <c r="G316" s="96">
        <f>IF(D316="","",ABS(D316-$E$5)/SQRT(0.9*(IF(G315="",$F$5^2,(ABS(D315-$E$5)/MAX(G315,0.0000000001))^2))+0.1*(D316-$E$5)^2))</f>
        <v>1.4002894520991922</v>
      </c>
      <c r="H316" s="96" t="str">
        <f>IF(E316="","",IF(E316&gt;$I$5,"OUTLIER",""))</f>
        <v/>
      </c>
      <c r="I316" s="96" t="str">
        <f>IF(F316="","",IF(F316&gt;$I$5,"OUTLIER",""))</f>
        <v/>
      </c>
      <c r="J316" s="96" t="str">
        <f>IF(G316="","",IF(G316&gt;$I$5,"OUTLIER",""))</f>
        <v/>
      </c>
      <c r="K316" s="96" t="str">
        <f>IF(C316="","MISSING","")</f>
        <v/>
      </c>
      <c r="L316" s="96" t="str">
        <f>IF(AND(C316&lt;&gt;"",C315&lt;&gt;"",C316=C315),"STALE","")</f>
        <v/>
      </c>
      <c r="M316" s="106">
        <f>IF(D316="","",ABS(D316-G$5))</f>
        <v>6.2959284568148309E-3</v>
      </c>
    </row>
    <row r="317" spans="2:13" ht="15.75" customHeight="1" x14ac:dyDescent="0.55000000000000004">
      <c r="B317" s="94">
        <v>44266</v>
      </c>
      <c r="C317" s="95">
        <v>1.1947000000000001</v>
      </c>
      <c r="D317" s="95">
        <f>IF(OR(C317="",C316=""),"",LN(C317/C316))</f>
        <v>-2.5107754243295505E-4</v>
      </c>
      <c r="E317" s="95">
        <f>IF(D317="","",ABS(D317-$E$5)/$F$5)</f>
        <v>7.7097309209751094E-2</v>
      </c>
      <c r="F317" s="96">
        <f>IF(D317="","",ABS(D317-$G$5)/$H$5)</f>
        <v>8.3959976464054592E-2</v>
      </c>
      <c r="G317" s="96">
        <f>IF(D317="","",ABS(D317-$E$5)/SQRT(0.9*(IF(G316="",$F$5^2,(ABS(D316-$E$5)/MAX(G316,0.0000000001))^2))+0.1*(D317-$E$5)^2))</f>
        <v>9.3186564906535749E-2</v>
      </c>
      <c r="H317" s="96" t="str">
        <f>IF(E317="","",IF(E317&gt;$I$5,"OUTLIER",""))</f>
        <v/>
      </c>
      <c r="I317" s="96" t="str">
        <f>IF(F317="","",IF(F317&gt;$I$5,"OUTLIER",""))</f>
        <v/>
      </c>
      <c r="J317" s="96" t="str">
        <f>IF(G317="","",IF(G317&gt;$I$5,"OUTLIER",""))</f>
        <v/>
      </c>
      <c r="K317" s="96" t="str">
        <f>IF(C317="","MISSING","")</f>
        <v/>
      </c>
      <c r="L317" s="96" t="str">
        <f>IF(AND(C317&lt;&gt;"",C316&lt;&gt;"",C317=C316),"STALE","")</f>
        <v/>
      </c>
      <c r="M317" s="106">
        <f>IF(D317="","",ABS(D317-G$5))</f>
        <v>2.5107754243295505E-4</v>
      </c>
    </row>
    <row r="318" spans="2:13" ht="15.75" customHeight="1" x14ac:dyDescent="0.55000000000000004">
      <c r="B318" s="94">
        <v>44267</v>
      </c>
      <c r="C318" s="95">
        <v>1.1952</v>
      </c>
      <c r="D318" s="95">
        <f>IF(OR(C318="",C317=""),"",LN(C318/C317))</f>
        <v>4.184275553746462E-4</v>
      </c>
      <c r="E318" s="95">
        <f>IF(D318="","",ABS(D318-$E$5)/$F$5)</f>
        <v>5.5612738637052336E-2</v>
      </c>
      <c r="F318" s="96">
        <f>IF(D318="","",ABS(D318-$G$5)/$H$5)</f>
        <v>0.13992158502406973</v>
      </c>
      <c r="G318" s="96">
        <f>IF(D318="","",ABS(D318-$E$5)/SQRT(0.9*(IF(G317="",$F$5^2,(ABS(D317-$E$5)/MAX(G317,0.0000000001))^2))+0.1*(D318-$E$5)^2))</f>
        <v>7.0836667442147977E-2</v>
      </c>
      <c r="H318" s="96" t="str">
        <f>IF(E318="","",IF(E318&gt;$I$5,"OUTLIER",""))</f>
        <v/>
      </c>
      <c r="I318" s="96" t="str">
        <f>IF(F318="","",IF(F318&gt;$I$5,"OUTLIER",""))</f>
        <v/>
      </c>
      <c r="J318" s="96" t="str">
        <f>IF(G318="","",IF(G318&gt;$I$5,"OUTLIER",""))</f>
        <v/>
      </c>
      <c r="K318" s="96" t="str">
        <f>IF(C318="","MISSING","")</f>
        <v/>
      </c>
      <c r="L318" s="96" t="str">
        <f>IF(AND(C318&lt;&gt;"",C317&lt;&gt;"",C318=C317),"STALE","")</f>
        <v/>
      </c>
      <c r="M318" s="106">
        <f>IF(D318="","",ABS(D318-G$5))</f>
        <v>4.184275553746462E-4</v>
      </c>
    </row>
    <row r="319" spans="2:13" ht="15.75" customHeight="1" x14ac:dyDescent="0.55000000000000004">
      <c r="B319" s="94">
        <v>44270</v>
      </c>
      <c r="C319" s="95">
        <v>1.1937</v>
      </c>
      <c r="D319" s="95">
        <f>IF(OR(C319="",C318=""),"",LN(C319/C318))</f>
        <v>-1.2558082775602304E-3</v>
      </c>
      <c r="E319" s="95">
        <f>IF(D319="","",ABS(D319-$E$5)/$F$5)</f>
        <v>0.27625615709385282</v>
      </c>
      <c r="F319" s="96">
        <f>IF(D319="","",ABS(D319-$G$5)/$H$5)</f>
        <v>0.41994051879600808</v>
      </c>
      <c r="G319" s="96">
        <f>IF(D319="","",ABS(D319-$E$5)/SQRT(0.9*(IF(G318="",$F$5^2,(ABS(D318-$E$5)/MAX(G318,0.0000000001))^2))+0.1*(D319-$E$5)^2))</f>
        <v>0.3683896714263834</v>
      </c>
      <c r="H319" s="96" t="str">
        <f>IF(E319="","",IF(E319&gt;$I$5,"OUTLIER",""))</f>
        <v/>
      </c>
      <c r="I319" s="96" t="str">
        <f>IF(F319="","",IF(F319&gt;$I$5,"OUTLIER",""))</f>
        <v/>
      </c>
      <c r="J319" s="96" t="str">
        <f>IF(G319="","",IF(G319&gt;$I$5,"OUTLIER",""))</f>
        <v/>
      </c>
      <c r="K319" s="96" t="str">
        <f>IF(C319="","MISSING","")</f>
        <v/>
      </c>
      <c r="L319" s="96" t="str">
        <f>IF(AND(C319&lt;&gt;"",C318&lt;&gt;"",C319=C318),"STALE","")</f>
        <v/>
      </c>
      <c r="M319" s="106">
        <f>IF(D319="","",ABS(D319-G$5))</f>
        <v>1.2558082775602304E-3</v>
      </c>
    </row>
    <row r="320" spans="2:13" ht="15.75" customHeight="1" x14ac:dyDescent="0.55000000000000004">
      <c r="B320" s="94">
        <v>44271</v>
      </c>
      <c r="C320" s="95">
        <v>1.1947000000000001</v>
      </c>
      <c r="D320" s="95">
        <f>IF(OR(C320="",C319=""),"",LN(C320/C319))</f>
        <v>8.3738072218544478E-4</v>
      </c>
      <c r="E320" s="95">
        <f>IF(D320="","",ABS(D320-$E$5)/$F$5)</f>
        <v>0.13865810303397694</v>
      </c>
      <c r="F320" s="96">
        <f>IF(D320="","",ABS(D320-$G$5)/$H$5)</f>
        <v>0.28001893377189174</v>
      </c>
      <c r="G320" s="96">
        <f>IF(D320="","",ABS(D320-$E$5)/SQRT(0.9*(IF(G319="",$F$5^2,(ABS(D319-$E$5)/MAX(G319,0.0000000001))^2))+0.1*(D320-$E$5)^2))</f>
        <v>0.19453428668744283</v>
      </c>
      <c r="H320" s="96" t="str">
        <f>IF(E320="","",IF(E320&gt;$I$5,"OUTLIER",""))</f>
        <v/>
      </c>
      <c r="I320" s="96" t="str">
        <f>IF(F320="","",IF(F320&gt;$I$5,"OUTLIER",""))</f>
        <v/>
      </c>
      <c r="J320" s="96" t="str">
        <f>IF(G320="","",IF(G320&gt;$I$5,"OUTLIER",""))</f>
        <v/>
      </c>
      <c r="K320" s="96" t="str">
        <f>IF(C320="","MISSING","")</f>
        <v/>
      </c>
      <c r="L320" s="96" t="str">
        <f>IF(AND(C320&lt;&gt;"",C319&lt;&gt;"",C320=C319),"STALE","")</f>
        <v/>
      </c>
      <c r="M320" s="106">
        <f>IF(D320="","",ABS(D320-G$5))</f>
        <v>8.3738072218544478E-4</v>
      </c>
    </row>
    <row r="321" spans="2:13" ht="15.75" customHeight="1" x14ac:dyDescent="0.55000000000000004">
      <c r="B321" s="94">
        <v>44272</v>
      </c>
      <c r="C321" s="95">
        <v>1.1887000000000001</v>
      </c>
      <c r="D321" s="95">
        <f>IF(OR(C321="",C320=""),"",LN(C321/C320))</f>
        <v>-5.0348348365994331E-3</v>
      </c>
      <c r="E321" s="95">
        <f>IF(D321="","",ABS(D321-$E$5)/$F$5)</f>
        <v>1.0253390201022479</v>
      </c>
      <c r="F321" s="96">
        <f>IF(D321="","",ABS(D321-$G$5)/$H$5)</f>
        <v>1.6836416761334607</v>
      </c>
      <c r="G321" s="96">
        <f>IF(D321="","",ABS(D321-$E$5)/SQRT(0.9*(IF(G320="",$F$5^2,(ABS(D320-$E$5)/MAX(G320,0.0000000001))^2))+0.1*(D321-$E$5)^2))</f>
        <v>1.3672787492106013</v>
      </c>
      <c r="H321" s="96" t="str">
        <f>IF(E321="","",IF(E321&gt;$I$5,"OUTLIER",""))</f>
        <v/>
      </c>
      <c r="I321" s="96" t="str">
        <f>IF(F321="","",IF(F321&gt;$I$5,"OUTLIER",""))</f>
        <v/>
      </c>
      <c r="J321" s="96" t="str">
        <f>IF(G321="","",IF(G321&gt;$I$5,"OUTLIER",""))</f>
        <v/>
      </c>
      <c r="K321" s="96" t="str">
        <f>IF(C321="","MISSING","")</f>
        <v/>
      </c>
      <c r="L321" s="96" t="str">
        <f>IF(AND(C321&lt;&gt;"",C320&lt;&gt;"",C321=C320),"STALE","")</f>
        <v/>
      </c>
      <c r="M321" s="106">
        <f>IF(D321="","",ABS(D321-G$5))</f>
        <v>5.0348348365994331E-3</v>
      </c>
    </row>
    <row r="322" spans="2:13" ht="15.75" customHeight="1" x14ac:dyDescent="0.55000000000000004">
      <c r="B322" s="94">
        <v>44273</v>
      </c>
      <c r="C322" s="95">
        <v>1.1889000000000001</v>
      </c>
      <c r="D322" s="95">
        <f>IF(OR(C322="",C321=""),"",LN(C322/C321))</f>
        <v>1.68236877920437E-4</v>
      </c>
      <c r="E322" s="95">
        <f>IF(D322="","",ABS(D322-$E$5)/$F$5)</f>
        <v>6.0196632676487788E-3</v>
      </c>
      <c r="F322" s="96">
        <f>IF(D322="","",ABS(D322-$G$5)/$H$5)</f>
        <v>5.6258174959465924E-2</v>
      </c>
      <c r="G322" s="96">
        <f>IF(D322="","",ABS(D322-$E$5)/SQRT(0.9*(IF(G321="",$F$5^2,(ABS(D321-$E$5)/MAX(G321,0.0000000001))^2))+0.1*(D322-$E$5)^2))</f>
        <v>8.4613365103556257E-3</v>
      </c>
      <c r="H322" s="96" t="str">
        <f>IF(E322="","",IF(E322&gt;$I$5,"OUTLIER",""))</f>
        <v/>
      </c>
      <c r="I322" s="96" t="str">
        <f>IF(F322="","",IF(F322&gt;$I$5,"OUTLIER",""))</f>
        <v/>
      </c>
      <c r="J322" s="96" t="str">
        <f>IF(G322="","",IF(G322&gt;$I$5,"OUTLIER",""))</f>
        <v/>
      </c>
      <c r="K322" s="96" t="str">
        <f>IF(C322="","MISSING","")</f>
        <v/>
      </c>
      <c r="L322" s="96" t="str">
        <f>IF(AND(C322&lt;&gt;"",C321&lt;&gt;"",C322=C321),"STALE","")</f>
        <v/>
      </c>
      <c r="M322" s="106">
        <f>IF(D322="","",ABS(D322-G$5))</f>
        <v>1.68236877920437E-4</v>
      </c>
    </row>
    <row r="323" spans="2:13" ht="15.75" customHeight="1" x14ac:dyDescent="0.55000000000000004">
      <c r="B323" s="94">
        <v>44274</v>
      </c>
      <c r="C323" s="95">
        <v>1.1892</v>
      </c>
      <c r="D323" s="95">
        <f>IF(OR(C323="",C322=""),"",LN(C323/C322))</f>
        <v>2.5230225944353169E-4</v>
      </c>
      <c r="E323" s="95">
        <f>IF(D323="","",ABS(D323-$E$5)/$F$5)</f>
        <v>2.2683197034191846E-2</v>
      </c>
      <c r="F323" s="96">
        <f>IF(D323="","",ABS(D323-$G$5)/$H$5)</f>
        <v>8.4369520106973586E-2</v>
      </c>
      <c r="G323" s="96">
        <f>IF(D323="","",ABS(D323-$E$5)/SQRT(0.9*(IF(G322="",$F$5^2,(ABS(D322-$E$5)/MAX(G322,0.0000000001))^2))+0.1*(D323-$E$5)^2))</f>
        <v>3.36066523794551E-2</v>
      </c>
      <c r="H323" s="96" t="str">
        <f>IF(E323="","",IF(E323&gt;$I$5,"OUTLIER",""))</f>
        <v/>
      </c>
      <c r="I323" s="96" t="str">
        <f>IF(F323="","",IF(F323&gt;$I$5,"OUTLIER",""))</f>
        <v/>
      </c>
      <c r="J323" s="96" t="str">
        <f>IF(G323="","",IF(G323&gt;$I$5,"OUTLIER",""))</f>
        <v/>
      </c>
      <c r="K323" s="96" t="str">
        <f>IF(C323="","MISSING","")</f>
        <v/>
      </c>
      <c r="L323" s="96" t="str">
        <f>IF(AND(C323&lt;&gt;"",C322&lt;&gt;"",C323=C322),"STALE","")</f>
        <v/>
      </c>
      <c r="M323" s="106">
        <f>IF(D323="","",ABS(D323-G$5))</f>
        <v>2.5230225944353169E-4</v>
      </c>
    </row>
    <row r="324" spans="2:13" ht="15.75" customHeight="1" x14ac:dyDescent="0.55000000000000004">
      <c r="B324" s="94">
        <v>44277</v>
      </c>
      <c r="C324" s="95">
        <v>1.1867000000000001</v>
      </c>
      <c r="D324" s="95">
        <f>IF(OR(C324="",C323=""),"",LN(C324/C323))</f>
        <v>-2.1044664528491294E-3</v>
      </c>
      <c r="E324" s="95">
        <f>IF(D324="","",ABS(D324-$E$5)/$F$5)</f>
        <v>0.44447812794512837</v>
      </c>
      <c r="F324" s="96">
        <f>IF(D324="","",ABS(D324-$G$5)/$H$5)</f>
        <v>0.7037306169976828</v>
      </c>
      <c r="G324" s="96">
        <f>IF(D324="","",ABS(D324-$E$5)/SQRT(0.9*(IF(G323="",$F$5^2,(ABS(D323-$E$5)/MAX(G323,0.0000000001))^2))+0.1*(D324-$E$5)^2))</f>
        <v>0.67800270291906584</v>
      </c>
      <c r="H324" s="96" t="str">
        <f>IF(E324="","",IF(E324&gt;$I$5,"OUTLIER",""))</f>
        <v/>
      </c>
      <c r="I324" s="96" t="str">
        <f>IF(F324="","",IF(F324&gt;$I$5,"OUTLIER",""))</f>
        <v/>
      </c>
      <c r="J324" s="96" t="str">
        <f>IF(G324="","",IF(G324&gt;$I$5,"OUTLIER",""))</f>
        <v/>
      </c>
      <c r="K324" s="96" t="str">
        <f>IF(C324="","MISSING","")</f>
        <v/>
      </c>
      <c r="L324" s="96" t="str">
        <f>IF(AND(C324&lt;&gt;"",C323&lt;&gt;"",C324=C323),"STALE","")</f>
        <v/>
      </c>
      <c r="M324" s="106">
        <f>IF(D324="","",ABS(D324-G$5))</f>
        <v>2.1044664528491294E-3</v>
      </c>
    </row>
    <row r="325" spans="2:13" ht="15.75" customHeight="1" x14ac:dyDescent="0.55000000000000004">
      <c r="B325" s="94">
        <v>44278</v>
      </c>
      <c r="C325" s="95">
        <v>1.1777</v>
      </c>
      <c r="D325" s="95">
        <f>IF(OR(C325="",C324=""),"",LN(C325/C324))</f>
        <v>-7.6129618235907413E-3</v>
      </c>
      <c r="E325" s="95">
        <f>IF(D325="","",ABS(D325-$E$5)/$F$5)</f>
        <v>1.5363782293915473</v>
      </c>
      <c r="F325" s="96">
        <f>IF(D325="","",ABS(D325-$G$5)/$H$5)</f>
        <v>2.5457637084412092</v>
      </c>
      <c r="G325" s="96">
        <f>IF(D325="","",ABS(D325-$E$5)/SQRT(0.9*(IF(G324="",$F$5^2,(ABS(D324-$E$5)/MAX(G324,0.0000000001))^2))+0.1*(D325-$E$5)^2))</f>
        <v>1.9467480144737002</v>
      </c>
      <c r="H325" s="96" t="str">
        <f>IF(E325="","",IF(E325&gt;$I$5,"OUTLIER",""))</f>
        <v/>
      </c>
      <c r="I325" s="96" t="str">
        <f>IF(F325="","",IF(F325&gt;$I$5,"OUTLIER",""))</f>
        <v/>
      </c>
      <c r="J325" s="96" t="str">
        <f>IF(G325="","",IF(G325&gt;$I$5,"OUTLIER",""))</f>
        <v/>
      </c>
      <c r="K325" s="96" t="str">
        <f>IF(C325="","MISSING","")</f>
        <v/>
      </c>
      <c r="L325" s="96" t="str">
        <f>IF(AND(C325&lt;&gt;"",C324&lt;&gt;"",C325=C324),"STALE","")</f>
        <v/>
      </c>
      <c r="M325" s="106">
        <f>IF(D325="","",ABS(D325-G$5))</f>
        <v>7.6129618235907413E-3</v>
      </c>
    </row>
    <row r="326" spans="2:13" ht="15.75" customHeight="1" x14ac:dyDescent="0.55000000000000004">
      <c r="B326" s="94">
        <v>44279</v>
      </c>
      <c r="C326" s="95">
        <v>1.1781999999999999</v>
      </c>
      <c r="D326" s="95">
        <f>IF(OR(C326="",C325=""),"",LN(C326/C325))</f>
        <v>4.2446624008407206E-4</v>
      </c>
      <c r="E326" s="95">
        <f>IF(D326="","",ABS(D326-$E$5)/$F$5)</f>
        <v>5.6809733461055847E-2</v>
      </c>
      <c r="F326" s="96">
        <f>IF(D326="","",ABS(D326-$G$5)/$H$5)</f>
        <v>0.14194091268342271</v>
      </c>
      <c r="G326" s="96">
        <f>IF(D326="","",ABS(D326-$E$5)/SQRT(0.9*(IF(G325="",$F$5^2,(ABS(D325-$E$5)/MAX(G325,0.0000000001))^2))+0.1*(D326-$E$5)^2))</f>
        <v>7.5855680457095995E-2</v>
      </c>
      <c r="H326" s="96" t="str">
        <f>IF(E326="","",IF(E326&gt;$I$5,"OUTLIER",""))</f>
        <v/>
      </c>
      <c r="I326" s="96" t="str">
        <f>IF(F326="","",IF(F326&gt;$I$5,"OUTLIER",""))</f>
        <v/>
      </c>
      <c r="J326" s="96" t="str">
        <f>IF(G326="","",IF(G326&gt;$I$5,"OUTLIER",""))</f>
        <v/>
      </c>
      <c r="K326" s="96" t="str">
        <f>IF(C326="","MISSING","")</f>
        <v/>
      </c>
      <c r="L326" s="96" t="str">
        <f>IF(AND(C326&lt;&gt;"",C325&lt;&gt;"",C326=C325),"STALE","")</f>
        <v/>
      </c>
      <c r="M326" s="106">
        <f>IF(D326="","",ABS(D326-G$5))</f>
        <v>4.2446624008407206E-4</v>
      </c>
    </row>
    <row r="327" spans="2:13" ht="15.75" customHeight="1" x14ac:dyDescent="0.55000000000000004">
      <c r="B327" s="94">
        <v>44280</v>
      </c>
      <c r="C327" s="95">
        <v>1.1796</v>
      </c>
      <c r="D327" s="95">
        <f>IF(OR(C327="",C326=""),"",LN(C327/C326))</f>
        <v>1.1875478535342875E-3</v>
      </c>
      <c r="E327" s="95">
        <f>IF(D327="","",ABS(D327-$E$5)/$F$5)</f>
        <v>0.20806862269672238</v>
      </c>
      <c r="F327" s="96">
        <f>IF(D327="","",ABS(D327-$G$5)/$H$5)</f>
        <v>0.39711432916905276</v>
      </c>
      <c r="G327" s="96">
        <f>IF(D327="","",ABS(D327-$E$5)/SQRT(0.9*(IF(G326="",$F$5^2,(ABS(D326-$E$5)/MAX(G326,0.0000000001))^2))+0.1*(D327-$E$5)^2))</f>
        <v>0.29160590159920785</v>
      </c>
      <c r="H327" s="96" t="str">
        <f>IF(E327="","",IF(E327&gt;$I$5,"OUTLIER",""))</f>
        <v/>
      </c>
      <c r="I327" s="96" t="str">
        <f>IF(F327="","",IF(F327&gt;$I$5,"OUTLIER",""))</f>
        <v/>
      </c>
      <c r="J327" s="96" t="str">
        <f>IF(G327="","",IF(G327&gt;$I$5,"OUTLIER",""))</f>
        <v/>
      </c>
      <c r="K327" s="96" t="str">
        <f>IF(C327="","MISSING","")</f>
        <v/>
      </c>
      <c r="L327" s="96" t="str">
        <f>IF(AND(C327&lt;&gt;"",C326&lt;&gt;"",C327=C326),"STALE","")</f>
        <v/>
      </c>
      <c r="M327" s="106">
        <f>IF(D327="","",ABS(D327-G$5))</f>
        <v>1.1875478535342875E-3</v>
      </c>
    </row>
    <row r="328" spans="2:13" ht="15.75" customHeight="1" x14ac:dyDescent="0.55000000000000004">
      <c r="B328" s="94">
        <v>44281</v>
      </c>
      <c r="C328" s="95">
        <v>1.1778999999999999</v>
      </c>
      <c r="D328" s="95">
        <f>IF(OR(C328="",C327=""),"",LN(C328/C327))</f>
        <v>-1.4422059763823762E-3</v>
      </c>
      <c r="E328" s="95">
        <f>IF(D328="","",ABS(D328-$E$5)/$F$5)</f>
        <v>0.3132041170275795</v>
      </c>
      <c r="F328" s="96">
        <f>IF(D328="","",ABS(D328-$G$5)/$H$5)</f>
        <v>0.48227164667949962</v>
      </c>
      <c r="G328" s="96">
        <f>IF(D328="","",ABS(D328-$E$5)/SQRT(0.9*(IF(G327="",$F$5^2,(ABS(D327-$E$5)/MAX(G327,0.0000000001))^2))+0.1*(D328-$E$5)^2))</f>
        <v>0.45782144476312697</v>
      </c>
      <c r="H328" s="96" t="str">
        <f>IF(E328="","",IF(E328&gt;$I$5,"OUTLIER",""))</f>
        <v/>
      </c>
      <c r="I328" s="96" t="str">
        <f>IF(F328="","",IF(F328&gt;$I$5,"OUTLIER",""))</f>
        <v/>
      </c>
      <c r="J328" s="96" t="str">
        <f>IF(G328="","",IF(G328&gt;$I$5,"OUTLIER",""))</f>
        <v/>
      </c>
      <c r="K328" s="96" t="str">
        <f>IF(C328="","MISSING","")</f>
        <v/>
      </c>
      <c r="L328" s="96" t="str">
        <f>IF(AND(C328&lt;&gt;"",C327&lt;&gt;"",C328=C327),"STALE","")</f>
        <v/>
      </c>
      <c r="M328" s="106">
        <f>IF(D328="","",ABS(D328-G$5))</f>
        <v>1.4422059763823762E-3</v>
      </c>
    </row>
    <row r="329" spans="2:13" ht="15.75" customHeight="1" x14ac:dyDescent="0.55000000000000004">
      <c r="B329" s="94">
        <v>44284</v>
      </c>
      <c r="C329" s="95">
        <v>1.1776</v>
      </c>
      <c r="D329" s="95">
        <f>IF(OR(C329="",C328=""),"",LN(C329/C328))</f>
        <v>-2.5472299012694433E-4</v>
      </c>
      <c r="E329" s="95">
        <f>IF(D329="","",ABS(D329-$E$5)/$F$5)</f>
        <v>7.7819913921017045E-2</v>
      </c>
      <c r="F329" s="96">
        <f>IF(D329="","",ABS(D329-$G$5)/$H$5)</f>
        <v>8.5179009037109232E-2</v>
      </c>
      <c r="G329" s="96">
        <f>IF(D329="","",ABS(D329-$E$5)/SQRT(0.9*(IF(G328="",$F$5^2,(ABS(D328-$E$5)/MAX(G328,0.0000000001))^2))+0.1*(D329-$E$5)^2))</f>
        <v>0.11981913681706707</v>
      </c>
      <c r="H329" s="96" t="str">
        <f>IF(E329="","",IF(E329&gt;$I$5,"OUTLIER",""))</f>
        <v/>
      </c>
      <c r="I329" s="96" t="str">
        <f>IF(F329="","",IF(F329&gt;$I$5,"OUTLIER",""))</f>
        <v/>
      </c>
      <c r="J329" s="96" t="str">
        <f>IF(G329="","",IF(G329&gt;$I$5,"OUTLIER",""))</f>
        <v/>
      </c>
      <c r="K329" s="96" t="str">
        <f>IF(C329="","MISSING","")</f>
        <v/>
      </c>
      <c r="L329" s="96" t="str">
        <f>IF(AND(C329&lt;&gt;"",C328&lt;&gt;"",C329=C328),"STALE","")</f>
        <v/>
      </c>
      <c r="M329" s="106">
        <f>IF(D329="","",ABS(D329-G$5))</f>
        <v>2.5472299012694433E-4</v>
      </c>
    </row>
    <row r="330" spans="2:13" ht="15.75" customHeight="1" x14ac:dyDescent="0.55000000000000004">
      <c r="B330" s="94">
        <v>44285</v>
      </c>
      <c r="C330" s="95">
        <v>1.1761999999999999</v>
      </c>
      <c r="D330" s="95">
        <f>IF(OR(C330="",C329=""),"",LN(C330/C329))</f>
        <v>-1.1895659487562362E-3</v>
      </c>
      <c r="E330" s="95">
        <f>IF(D330="","",ABS(D330-$E$5)/$F$5)</f>
        <v>0.26312552873291972</v>
      </c>
      <c r="F330" s="96">
        <f>IF(D330="","",ABS(D330-$G$5)/$H$5)</f>
        <v>0.3977891773681197</v>
      </c>
      <c r="G330" s="96">
        <f>IF(D330="","",ABS(D330-$E$5)/SQRT(0.9*(IF(G329="",$F$5^2,(ABS(D329-$E$5)/MAX(G329,0.0000000001))^2))+0.1*(D330-$E$5)^2))</f>
        <v>0.4232068866375055</v>
      </c>
      <c r="H330" s="96" t="str">
        <f>IF(E330="","",IF(E330&gt;$I$5,"OUTLIER",""))</f>
        <v/>
      </c>
      <c r="I330" s="96" t="str">
        <f>IF(F330="","",IF(F330&gt;$I$5,"OUTLIER",""))</f>
        <v/>
      </c>
      <c r="J330" s="96" t="str">
        <f>IF(G330="","",IF(G330&gt;$I$5,"OUTLIER",""))</f>
        <v/>
      </c>
      <c r="K330" s="96" t="str">
        <f>IF(C330="","MISSING","")</f>
        <v/>
      </c>
      <c r="L330" s="96" t="str">
        <f>IF(AND(C330&lt;&gt;"",C329&lt;&gt;"",C330=C329),"STALE","")</f>
        <v/>
      </c>
      <c r="M330" s="106">
        <f>IF(D330="","",ABS(D330-G$5))</f>
        <v>1.1895659487562362E-3</v>
      </c>
    </row>
    <row r="331" spans="2:13" ht="15.75" customHeight="1" x14ac:dyDescent="0.55000000000000004">
      <c r="B331" s="94">
        <v>44286</v>
      </c>
      <c r="C331" s="95">
        <v>1.171</v>
      </c>
      <c r="D331" s="95">
        <f>IF(OR(C331="",C330=""),"",LN(C331/C330))</f>
        <v>-4.4308184281381044E-3</v>
      </c>
      <c r="E331" s="95">
        <f>IF(D331="","",ABS(D331-$E$5)/$F$5)</f>
        <v>0.90561021336179059</v>
      </c>
      <c r="F331" s="96">
        <f>IF(D331="","",ABS(D331-$G$5)/$H$5)</f>
        <v>1.4816594401003123</v>
      </c>
      <c r="G331" s="96">
        <f>IF(D331="","",ABS(D331-$E$5)/SQRT(0.9*(IF(G330="",$F$5^2,(ABS(D330-$E$5)/MAX(G330,0.0000000001))^2))+0.1*(D331-$E$5)^2))</f>
        <v>1.3811713155990932</v>
      </c>
      <c r="H331" s="96" t="str">
        <f>IF(E331="","",IF(E331&gt;$I$5,"OUTLIER",""))</f>
        <v/>
      </c>
      <c r="I331" s="96" t="str">
        <f>IF(F331="","",IF(F331&gt;$I$5,"OUTLIER",""))</f>
        <v/>
      </c>
      <c r="J331" s="96" t="str">
        <f>IF(G331="","",IF(G331&gt;$I$5,"OUTLIER",""))</f>
        <v/>
      </c>
      <c r="K331" s="96" t="str">
        <f>IF(C331="","MISSING","")</f>
        <v/>
      </c>
      <c r="L331" s="96" t="str">
        <f>IF(AND(C331&lt;&gt;"",C330&lt;&gt;"",C331=C330),"STALE","")</f>
        <v/>
      </c>
      <c r="M331" s="106">
        <f>IF(D331="","",ABS(D331-G$5))</f>
        <v>4.4308184281381044E-3</v>
      </c>
    </row>
    <row r="332" spans="2:13" ht="15.75" customHeight="1" x14ac:dyDescent="0.55000000000000004">
      <c r="B332" s="94">
        <v>44287</v>
      </c>
      <c r="C332" s="95">
        <v>1.1763999999999999</v>
      </c>
      <c r="D332" s="95">
        <f>IF(OR(C332="",C331=""),"",LN(C332/C331))</f>
        <v>4.6008430821225582E-3</v>
      </c>
      <c r="E332" s="95">
        <f>IF(D332="","",ABS(D332-$E$5)/$F$5)</f>
        <v>0.8846558131222535</v>
      </c>
      <c r="F332" s="96">
        <f>IF(D332="","",ABS(D332-$G$5)/$H$5)</f>
        <v>1.5385154448569134</v>
      </c>
      <c r="G332" s="96">
        <f>IF(D332="","",ABS(D332-$E$5)/SQRT(0.9*(IF(G331="",$F$5^2,(ABS(D331-$E$5)/MAX(G331,0.0000000001))^2))+0.1*(D332-$E$5)^2))</f>
        <v>1.2970579917521623</v>
      </c>
      <c r="H332" s="96" t="str">
        <f>IF(E332="","",IF(E332&gt;$I$5,"OUTLIER",""))</f>
        <v/>
      </c>
      <c r="I332" s="96" t="str">
        <f>IF(F332="","",IF(F332&gt;$I$5,"OUTLIER",""))</f>
        <v/>
      </c>
      <c r="J332" s="96" t="str">
        <f>IF(G332="","",IF(G332&gt;$I$5,"OUTLIER",""))</f>
        <v/>
      </c>
      <c r="K332" s="96" t="str">
        <f>IF(C332="","MISSING","")</f>
        <v/>
      </c>
      <c r="L332" s="96" t="str">
        <f>IF(AND(C332&lt;&gt;"",C331&lt;&gt;"",C332=C331),"STALE","")</f>
        <v/>
      </c>
      <c r="M332" s="106">
        <f>IF(D332="","",ABS(D332-G$5))</f>
        <v>4.6008430821225582E-3</v>
      </c>
    </row>
    <row r="333" spans="2:13" ht="15.75" customHeight="1" x14ac:dyDescent="0.55000000000000004">
      <c r="B333" s="94">
        <v>44291</v>
      </c>
      <c r="C333" s="95">
        <v>1.1777</v>
      </c>
      <c r="D333" s="95">
        <f>IF(OR(C333="",C332=""),"",LN(C333/C332))</f>
        <v>1.1044561676628116E-3</v>
      </c>
      <c r="E333" s="95">
        <f>IF(D333="","",ABS(D333-$E$5)/$F$5)</f>
        <v>0.19159809596916633</v>
      </c>
      <c r="F333" s="96">
        <f>IF(D333="","",ABS(D333-$G$5)/$H$5)</f>
        <v>0.36932858647567496</v>
      </c>
      <c r="G333" s="96">
        <f>IF(D333="","",ABS(D333-$E$5)/SQRT(0.9*(IF(G332="",$F$5^2,(ABS(D332-$E$5)/MAX(G332,0.0000000001))^2))+0.1*(D333-$E$5)^2))</f>
        <v>0.2948216027673522</v>
      </c>
      <c r="H333" s="96" t="str">
        <f>IF(E333="","",IF(E333&gt;$I$5,"OUTLIER",""))</f>
        <v/>
      </c>
      <c r="I333" s="96" t="str">
        <f>IF(F333="","",IF(F333&gt;$I$5,"OUTLIER",""))</f>
        <v/>
      </c>
      <c r="J333" s="96" t="str">
        <f>IF(G333="","",IF(G333&gt;$I$5,"OUTLIER",""))</f>
        <v/>
      </c>
      <c r="K333" s="96" t="str">
        <f>IF(C333="","MISSING","")</f>
        <v/>
      </c>
      <c r="L333" s="96" t="str">
        <f>IF(AND(C333&lt;&gt;"",C332&lt;&gt;"",C333=C332),"STALE","")</f>
        <v/>
      </c>
      <c r="M333" s="106">
        <f>IF(D333="","",ABS(D333-G$5))</f>
        <v>1.1044561676628116E-3</v>
      </c>
    </row>
    <row r="334" spans="2:13" ht="15.75" customHeight="1" x14ac:dyDescent="0.55000000000000004">
      <c r="B334" s="94">
        <v>44292</v>
      </c>
      <c r="C334" s="95">
        <v>1.1781999999999999</v>
      </c>
      <c r="D334" s="95">
        <f>IF(OR(C334="",C333=""),"",LN(C334/C333))</f>
        <v>4.2446624008407206E-4</v>
      </c>
      <c r="E334" s="95">
        <f>IF(D334="","",ABS(D334-$E$5)/$F$5)</f>
        <v>5.6809733461055847E-2</v>
      </c>
      <c r="F334" s="96">
        <f>IF(D334="","",ABS(D334-$G$5)/$H$5)</f>
        <v>0.14194091268342271</v>
      </c>
      <c r="G334" s="96">
        <f>IF(D334="","",ABS(D334-$E$5)/SQRT(0.9*(IF(G333="",$F$5^2,(ABS(D333-$E$5)/MAX(G333,0.0000000001))^2))+0.1*(D334-$E$5)^2))</f>
        <v>9.2105447668125978E-2</v>
      </c>
      <c r="H334" s="96" t="str">
        <f>IF(E334="","",IF(E334&gt;$I$5,"OUTLIER",""))</f>
        <v/>
      </c>
      <c r="I334" s="96" t="str">
        <f>IF(F334="","",IF(F334&gt;$I$5,"OUTLIER",""))</f>
        <v/>
      </c>
      <c r="J334" s="96" t="str">
        <f>IF(G334="","",IF(G334&gt;$I$5,"OUTLIER",""))</f>
        <v/>
      </c>
      <c r="K334" s="96" t="str">
        <f>IF(C334="","MISSING","")</f>
        <v/>
      </c>
      <c r="L334" s="96" t="str">
        <f>IF(AND(C334&lt;&gt;"",C333&lt;&gt;"",C334=C333),"STALE","")</f>
        <v/>
      </c>
      <c r="M334" s="106">
        <f>IF(D334="","",ABS(D334-G$5))</f>
        <v>4.2446624008407206E-4</v>
      </c>
    </row>
    <row r="335" spans="2:13" ht="15.75" customHeight="1" x14ac:dyDescent="0.55000000000000004">
      <c r="B335" s="94">
        <v>44293</v>
      </c>
      <c r="C335" s="95">
        <v>1.1867000000000001</v>
      </c>
      <c r="D335" s="95">
        <f>IF(OR(C335="",C334=""),"",LN(C335/C334))</f>
        <v>7.1884955835065881E-3</v>
      </c>
      <c r="E335" s="95">
        <f>IF(D335="","",ABS(D335-$E$5)/$F$5)</f>
        <v>1.3975831805076795</v>
      </c>
      <c r="F335" s="96">
        <f>IF(D335="","",ABS(D335-$G$5)/$H$5)</f>
        <v>2.4038227957577596</v>
      </c>
      <c r="G335" s="96">
        <f>IF(D335="","",ABS(D335-$E$5)/SQRT(0.9*(IF(G334="",$F$5^2,(ABS(D334-$E$5)/MAX(G334,0.0000000001))^2))+0.1*(D335-$E$5)^2))</f>
        <v>1.9059136494906279</v>
      </c>
      <c r="H335" s="96" t="str">
        <f>IF(E335="","",IF(E335&gt;$I$5,"OUTLIER",""))</f>
        <v/>
      </c>
      <c r="I335" s="96" t="str">
        <f>IF(F335="","",IF(F335&gt;$I$5,"OUTLIER",""))</f>
        <v/>
      </c>
      <c r="J335" s="96" t="str">
        <f>IF(G335="","",IF(G335&gt;$I$5,"OUTLIER",""))</f>
        <v/>
      </c>
      <c r="K335" s="96" t="str">
        <f>IF(C335="","MISSING","")</f>
        <v/>
      </c>
      <c r="L335" s="96" t="str">
        <f>IF(AND(C335&lt;&gt;"",C334&lt;&gt;"",C335=C334),"STALE","")</f>
        <v/>
      </c>
      <c r="M335" s="106">
        <f>IF(D335="","",ABS(D335-G$5))</f>
        <v>7.1884955835065881E-3</v>
      </c>
    </row>
    <row r="336" spans="2:13" ht="15.75" customHeight="1" x14ac:dyDescent="0.55000000000000004">
      <c r="B336" s="94">
        <v>44294</v>
      </c>
      <c r="C336" s="95">
        <v>1.1899</v>
      </c>
      <c r="D336" s="95">
        <f>IF(OR(C336="",C335=""),"",LN(C336/C335))</f>
        <v>2.692924290014278E-3</v>
      </c>
      <c r="E336" s="95">
        <f>IF(D336="","",ABS(D336-$E$5)/$F$5)</f>
        <v>0.50646602036690602</v>
      </c>
      <c r="F336" s="96">
        <f>IF(D336="","",ABS(D336-$G$5)/$H$5)</f>
        <v>0.90051008870876748</v>
      </c>
      <c r="G336" s="96">
        <f>IF(D336="","",ABS(D336-$E$5)/SQRT(0.9*(IF(G335="",$F$5^2,(ABS(D335-$E$5)/MAX(G335,0.0000000001))^2))+0.1*(D336-$E$5)^2))</f>
        <v>0.70947907031233082</v>
      </c>
      <c r="H336" s="96" t="str">
        <f>IF(E336="","",IF(E336&gt;$I$5,"OUTLIER",""))</f>
        <v/>
      </c>
      <c r="I336" s="96" t="str">
        <f>IF(F336="","",IF(F336&gt;$I$5,"OUTLIER",""))</f>
        <v/>
      </c>
      <c r="J336" s="96" t="str">
        <f>IF(G336="","",IF(G336&gt;$I$5,"OUTLIER",""))</f>
        <v/>
      </c>
      <c r="K336" s="96" t="str">
        <f>IF(C336="","MISSING","")</f>
        <v/>
      </c>
      <c r="L336" s="96" t="str">
        <f>IF(AND(C336&lt;&gt;"",C335&lt;&gt;"",C336=C335),"STALE","")</f>
        <v/>
      </c>
      <c r="M336" s="106">
        <f>IF(D336="","",ABS(D336-G$5))</f>
        <v>2.692924290014278E-3</v>
      </c>
    </row>
    <row r="337" spans="2:13" ht="15.75" customHeight="1" x14ac:dyDescent="0.55000000000000004">
      <c r="B337" s="94">
        <v>44295</v>
      </c>
      <c r="C337" s="95">
        <v>1.1896</v>
      </c>
      <c r="D337" s="95">
        <f>IF(OR(C337="",C336=""),"",LN(C337/C336))</f>
        <v>-2.5215381516240537E-4</v>
      </c>
      <c r="E337" s="95">
        <f>IF(D337="","",ABS(D337-$E$5)/$F$5)</f>
        <v>7.7310649191611264E-2</v>
      </c>
      <c r="F337" s="96">
        <f>IF(D337="","",ABS(D337-$G$5)/$H$5)</f>
        <v>8.4319880548497678E-2</v>
      </c>
      <c r="G337" s="96">
        <f>IF(D337="","",ABS(D337-$E$5)/SQRT(0.9*(IF(G336="",$F$5^2,(ABS(D336-$E$5)/MAX(G336,0.0000000001))^2))+0.1*(D337-$E$5)^2))</f>
        <v>0.11408394645716756</v>
      </c>
      <c r="H337" s="96" t="str">
        <f>IF(E337="","",IF(E337&gt;$I$5,"OUTLIER",""))</f>
        <v/>
      </c>
      <c r="I337" s="96" t="str">
        <f>IF(F337="","",IF(F337&gt;$I$5,"OUTLIER",""))</f>
        <v/>
      </c>
      <c r="J337" s="96" t="str">
        <f>IF(G337="","",IF(G337&gt;$I$5,"OUTLIER",""))</f>
        <v/>
      </c>
      <c r="K337" s="96" t="str">
        <f>IF(C337="","MISSING","")</f>
        <v/>
      </c>
      <c r="L337" s="96" t="str">
        <f>IF(AND(C337&lt;&gt;"",C336&lt;&gt;"",C337=C336),"STALE","")</f>
        <v/>
      </c>
      <c r="M337" s="106">
        <f>IF(D337="","",ABS(D337-G$5))</f>
        <v>2.5215381516240537E-4</v>
      </c>
    </row>
    <row r="338" spans="2:13" ht="15.75" customHeight="1" x14ac:dyDescent="0.55000000000000004">
      <c r="B338" s="94">
        <v>44298</v>
      </c>
      <c r="C338" s="95">
        <v>1.19</v>
      </c>
      <c r="D338" s="95">
        <f>IF(OR(C338="",C337=""),"",LN(C338/C337))</f>
        <v>3.361909596297075E-4</v>
      </c>
      <c r="E338" s="95">
        <f>IF(D338="","",ABS(D338-$E$5)/$F$5)</f>
        <v>3.9311708828903891E-2</v>
      </c>
      <c r="F338" s="96">
        <f>IF(D338="","",ABS(D338-$G$5)/$H$5)</f>
        <v>0.11242178326432951</v>
      </c>
      <c r="G338" s="96">
        <f>IF(D338="","",ABS(D338-$E$5)/SQRT(0.9*(IF(G337="",$F$5^2,(ABS(D337-$E$5)/MAX(G337,0.0000000001))^2))+0.1*(D338-$E$5)^2))</f>
        <v>6.1137081714299539E-2</v>
      </c>
      <c r="H338" s="96" t="str">
        <f>IF(E338="","",IF(E338&gt;$I$5,"OUTLIER",""))</f>
        <v/>
      </c>
      <c r="I338" s="96" t="str">
        <f>IF(F338="","",IF(F338&gt;$I$5,"OUTLIER",""))</f>
        <v/>
      </c>
      <c r="J338" s="96" t="str">
        <f>IF(G338="","",IF(G338&gt;$I$5,"OUTLIER",""))</f>
        <v/>
      </c>
      <c r="K338" s="96" t="str">
        <f>IF(C338="","MISSING","")</f>
        <v/>
      </c>
      <c r="L338" s="96" t="str">
        <f>IF(AND(C338&lt;&gt;"",C337&lt;&gt;"",C338=C337),"STALE","")</f>
        <v/>
      </c>
      <c r="M338" s="106">
        <f>IF(D338="","",ABS(D338-G$5))</f>
        <v>3.361909596297075E-4</v>
      </c>
    </row>
    <row r="339" spans="2:13" ht="15.75" customHeight="1" x14ac:dyDescent="0.55000000000000004">
      <c r="B339" s="94">
        <v>44299</v>
      </c>
      <c r="C339" s="95">
        <v>1.1935</v>
      </c>
      <c r="D339" s="95">
        <f>IF(OR(C339="",C338=""),"",LN(C339/C338))</f>
        <v>2.9368596733097057E-3</v>
      </c>
      <c r="E339" s="95">
        <f>IF(D339="","",ABS(D339-$E$5)/$F$5)</f>
        <v>0.55481916434545664</v>
      </c>
      <c r="F339" s="96">
        <f>IF(D339="","",ABS(D339-$G$5)/$H$5)</f>
        <v>0.98208173721931968</v>
      </c>
      <c r="G339" s="96">
        <f>IF(D339="","",ABS(D339-$E$5)/SQRT(0.9*(IF(G338="",$F$5^2,(ABS(D338-$E$5)/MAX(G338,0.0000000001))^2))+0.1*(D339-$E$5)^2))</f>
        <v>0.87408629715669073</v>
      </c>
      <c r="H339" s="96" t="str">
        <f>IF(E339="","",IF(E339&gt;$I$5,"OUTLIER",""))</f>
        <v/>
      </c>
      <c r="I339" s="96" t="str">
        <f>IF(F339="","",IF(F339&gt;$I$5,"OUTLIER",""))</f>
        <v/>
      </c>
      <c r="J339" s="96" t="str">
        <f>IF(G339="","",IF(G339&gt;$I$5,"OUTLIER",""))</f>
        <v/>
      </c>
      <c r="K339" s="96" t="str">
        <f>IF(C339="","MISSING","")</f>
        <v/>
      </c>
      <c r="L339" s="96" t="str">
        <f>IF(AND(C339&lt;&gt;"",C338&lt;&gt;"",C339=C338),"STALE","")</f>
        <v/>
      </c>
      <c r="M339" s="106">
        <f>IF(D339="","",ABS(D339-G$5))</f>
        <v>2.9368596733097057E-3</v>
      </c>
    </row>
    <row r="340" spans="2:13" ht="15.75" customHeight="1" x14ac:dyDescent="0.55000000000000004">
      <c r="B340" s="94">
        <v>44300</v>
      </c>
      <c r="C340" s="95">
        <v>1.1975</v>
      </c>
      <c r="D340" s="95">
        <f>IF(OR(C340="",C339=""),"",LN(C340/C339))</f>
        <v>3.3458835061854798E-3</v>
      </c>
      <c r="E340" s="95">
        <f>IF(D340="","",ABS(D340-$E$5)/$F$5)</f>
        <v>0.63589632508580107</v>
      </c>
      <c r="F340" s="96">
        <f>IF(D340="","",ABS(D340-$G$5)/$H$5)</f>
        <v>1.1188587306880111</v>
      </c>
      <c r="G340" s="96">
        <f>IF(D340="","",ABS(D340-$E$5)/SQRT(0.9*(IF(G339="",$F$5^2,(ABS(D339-$E$5)/MAX(G339,0.0000000001))^2))+0.1*(D340-$E$5)^2))</f>
        <v>1.0016364647333131</v>
      </c>
      <c r="H340" s="96" t="str">
        <f>IF(E340="","",IF(E340&gt;$I$5,"OUTLIER",""))</f>
        <v/>
      </c>
      <c r="I340" s="96" t="str">
        <f>IF(F340="","",IF(F340&gt;$I$5,"OUTLIER",""))</f>
        <v/>
      </c>
      <c r="J340" s="96" t="str">
        <f>IF(G340="","",IF(G340&gt;$I$5,"OUTLIER",""))</f>
        <v/>
      </c>
      <c r="K340" s="96" t="str">
        <f>IF(C340="","MISSING","")</f>
        <v/>
      </c>
      <c r="L340" s="96" t="str">
        <f>IF(AND(C340&lt;&gt;"",C339&lt;&gt;"",C340=C339),"STALE","")</f>
        <v/>
      </c>
      <c r="M340" s="106">
        <f>IF(D340="","",ABS(D340-G$5))</f>
        <v>3.3458835061854798E-3</v>
      </c>
    </row>
    <row r="341" spans="2:13" ht="15.75" customHeight="1" x14ac:dyDescent="0.55000000000000004">
      <c r="B341" s="94">
        <v>44301</v>
      </c>
      <c r="C341" s="95">
        <v>1.1975</v>
      </c>
      <c r="D341" s="95">
        <f>IF(OR(C341="",C340=""),"",LN(C341/C340))</f>
        <v>0</v>
      </c>
      <c r="E341" s="95">
        <f>IF(D341="","",ABS(D341-$E$5)/$F$5)</f>
        <v>2.7328438474265301E-2</v>
      </c>
      <c r="F341" s="96">
        <f>IF(D341="","",ABS(D341-$G$5)/$H$5)</f>
        <v>0</v>
      </c>
      <c r="G341" s="96">
        <f>IF(D341="","",ABS(D341-$E$5)/SQRT(0.9*(IF(G340="",$F$5^2,(ABS(D340-$E$5)/MAX(G340,0.0000000001))^2))+0.1*(D341-$E$5)^2))</f>
        <v>4.53704064808928E-2</v>
      </c>
      <c r="H341" s="96" t="str">
        <f>IF(E341="","",IF(E341&gt;$I$5,"OUTLIER",""))</f>
        <v/>
      </c>
      <c r="I341" s="96" t="str">
        <f>IF(F341="","",IF(F341&gt;$I$5,"OUTLIER",""))</f>
        <v/>
      </c>
      <c r="J341" s="96" t="str">
        <f>IF(G341="","",IF(G341&gt;$I$5,"OUTLIER",""))</f>
        <v/>
      </c>
      <c r="K341" s="96" t="str">
        <f>IF(C341="","MISSING","")</f>
        <v/>
      </c>
      <c r="L341" s="96" t="str">
        <f>IF(AND(C341&lt;&gt;"",C340&lt;&gt;"",C341=C340),"STALE","")</f>
        <v>STALE</v>
      </c>
      <c r="M341" s="106">
        <f>IF(D341="","",ABS(D341-G$5))</f>
        <v>0</v>
      </c>
    </row>
    <row r="342" spans="2:13" ht="15.75" customHeight="1" x14ac:dyDescent="0.55000000000000004">
      <c r="B342" s="94">
        <v>44302</v>
      </c>
      <c r="C342" s="95">
        <v>1.1975</v>
      </c>
      <c r="D342" s="95">
        <f>IF(OR(C342="",C341=""),"",LN(C342/C341))</f>
        <v>0</v>
      </c>
      <c r="E342" s="95">
        <f>IF(D342="","",ABS(D342-$E$5)/$F$5)</f>
        <v>2.7328438474265301E-2</v>
      </c>
      <c r="F342" s="96">
        <f>IF(D342="","",ABS(D342-$G$5)/$H$5)</f>
        <v>0</v>
      </c>
      <c r="G342" s="96">
        <f>IF(D342="","",ABS(D342-$E$5)/SQRT(0.9*(IF(G341="",$F$5^2,(ABS(D341-$E$5)/MAX(G341,0.0000000001))^2))+0.1*(D342-$E$5)^2))</f>
        <v>4.7819139348155744E-2</v>
      </c>
      <c r="H342" s="96" t="str">
        <f>IF(E342="","",IF(E342&gt;$I$5,"OUTLIER",""))</f>
        <v/>
      </c>
      <c r="I342" s="96" t="str">
        <f>IF(F342="","",IF(F342&gt;$I$5,"OUTLIER",""))</f>
        <v/>
      </c>
      <c r="J342" s="96" t="str">
        <f>IF(G342="","",IF(G342&gt;$I$5,"OUTLIER",""))</f>
        <v/>
      </c>
      <c r="K342" s="96" t="str">
        <f>IF(C342="","MISSING","")</f>
        <v/>
      </c>
      <c r="L342" s="96" t="str">
        <f>IF(AND(C342&lt;&gt;"",C341&lt;&gt;"",C342=C341),"STALE","")</f>
        <v>STALE</v>
      </c>
      <c r="M342" s="106">
        <f>IF(D342="","",ABS(D342-G$5))</f>
        <v>0</v>
      </c>
    </row>
    <row r="343" spans="2:13" ht="15.75" customHeight="1" x14ac:dyDescent="0.55000000000000004">
      <c r="B343" s="94">
        <v>44305</v>
      </c>
      <c r="C343" s="95">
        <v>1.2019</v>
      </c>
      <c r="D343" s="95">
        <f>IF(OR(C343="",C342=""),"",LN(C343/C342))</f>
        <v>3.6675876736727343E-3</v>
      </c>
      <c r="E343" s="95">
        <f>IF(D343="","",ABS(D343-$E$5)/$F$5)</f>
        <v>0.69966488427908535</v>
      </c>
      <c r="F343" s="96">
        <f>IF(D343="","",ABS(D343-$G$5)/$H$5)</f>
        <v>1.2264361510693289</v>
      </c>
      <c r="G343" s="96">
        <f>IF(D343="","",ABS(D343-$E$5)/SQRT(0.9*(IF(G342="",$F$5^2,(ABS(D342-$E$5)/MAX(G342,0.0000000001))^2))+0.1*(D343-$E$5)^2))</f>
        <v>1.1948309009252649</v>
      </c>
      <c r="H343" s="96" t="str">
        <f>IF(E343="","",IF(E343&gt;$I$5,"OUTLIER",""))</f>
        <v/>
      </c>
      <c r="I343" s="96" t="str">
        <f>IF(F343="","",IF(F343&gt;$I$5,"OUTLIER",""))</f>
        <v/>
      </c>
      <c r="J343" s="96" t="str">
        <f>IF(G343="","",IF(G343&gt;$I$5,"OUTLIER",""))</f>
        <v/>
      </c>
      <c r="K343" s="96" t="str">
        <f>IF(C343="","MISSING","")</f>
        <v/>
      </c>
      <c r="L343" s="96" t="str">
        <f>IF(AND(C343&lt;&gt;"",C342&lt;&gt;"",C343=C342),"STALE","")</f>
        <v/>
      </c>
      <c r="M343" s="106">
        <f>IF(D343="","",ABS(D343-G$5))</f>
        <v>3.6675876736727343E-3</v>
      </c>
    </row>
    <row r="344" spans="2:13" ht="15.75" customHeight="1" x14ac:dyDescent="0.55000000000000004">
      <c r="B344" s="94">
        <v>44306</v>
      </c>
      <c r="C344" s="95">
        <v>1.2024999999999999</v>
      </c>
      <c r="D344" s="95">
        <f>IF(OR(C344="",C343=""),"",LN(C344/C343))</f>
        <v>4.9908502117303232E-4</v>
      </c>
      <c r="E344" s="95">
        <f>IF(D344="","",ABS(D344-$E$5)/$F$5)</f>
        <v>7.1600751544433974E-2</v>
      </c>
      <c r="F344" s="96">
        <f>IF(D344="","",ABS(D344-$G$5)/$H$5)</f>
        <v>0.16689332795440809</v>
      </c>
      <c r="G344" s="96">
        <f>IF(D344="","",ABS(D344-$E$5)/SQRT(0.9*(IF(G343="",$F$5^2,(ABS(D343-$E$5)/MAX(G343,0.0000000001))^2))+0.1*(D344-$E$5)^2))</f>
        <v>0.12878114019201986</v>
      </c>
      <c r="H344" s="96" t="str">
        <f>IF(E344="","",IF(E344&gt;$I$5,"OUTLIER",""))</f>
        <v/>
      </c>
      <c r="I344" s="96" t="str">
        <f>IF(F344="","",IF(F344&gt;$I$5,"OUTLIER",""))</f>
        <v/>
      </c>
      <c r="J344" s="96" t="str">
        <f>IF(G344="","",IF(G344&gt;$I$5,"OUTLIER",""))</f>
        <v/>
      </c>
      <c r="K344" s="96" t="str">
        <f>IF(C344="","MISSING","")</f>
        <v/>
      </c>
      <c r="L344" s="96" t="str">
        <f>IF(AND(C344&lt;&gt;"",C343&lt;&gt;"",C344=C343),"STALE","")</f>
        <v/>
      </c>
      <c r="M344" s="106">
        <f>IF(D344="","",ABS(D344-G$5))</f>
        <v>4.9908502117303232E-4</v>
      </c>
    </row>
    <row r="345" spans="2:13" ht="15.75" customHeight="1" x14ac:dyDescent="0.55000000000000004">
      <c r="B345" s="94">
        <v>44307</v>
      </c>
      <c r="C345" s="95">
        <v>1.2035</v>
      </c>
      <c r="D345" s="95">
        <f>IF(OR(C345="",C344=""),"",LN(C345/C344))</f>
        <v>8.3125524321050657E-4</v>
      </c>
      <c r="E345" s="95">
        <f>IF(D345="","",ABS(D345-$E$5)/$F$5)</f>
        <v>0.13744390375377633</v>
      </c>
      <c r="F345" s="96">
        <f>IF(D345="","",ABS(D345-$G$5)/$H$5)</f>
        <v>0.27797058223242976</v>
      </c>
      <c r="G345" s="96">
        <f>IF(D345="","",ABS(D345-$E$5)/SQRT(0.9*(IF(G344="",$F$5^2,(ABS(D344-$E$5)/MAX(G344,0.0000000001))^2))+0.1*(D345-$E$5)^2))</f>
        <v>0.25969849827874719</v>
      </c>
      <c r="H345" s="96" t="str">
        <f>IF(E345="","",IF(E345&gt;$I$5,"OUTLIER",""))</f>
        <v/>
      </c>
      <c r="I345" s="96" t="str">
        <f>IF(F345="","",IF(F345&gt;$I$5,"OUTLIER",""))</f>
        <v/>
      </c>
      <c r="J345" s="96" t="str">
        <f>IF(G345="","",IF(G345&gt;$I$5,"OUTLIER",""))</f>
        <v/>
      </c>
      <c r="K345" s="96" t="str">
        <f>IF(C345="","MISSING","")</f>
        <v/>
      </c>
      <c r="L345" s="96" t="str">
        <f>IF(AND(C345&lt;&gt;"",C344&lt;&gt;"",C345=C344),"STALE","")</f>
        <v/>
      </c>
      <c r="M345" s="106">
        <f>IF(D345="","",ABS(D345-G$5))</f>
        <v>8.3125524321050657E-4</v>
      </c>
    </row>
    <row r="346" spans="2:13" ht="15.75" customHeight="1" x14ac:dyDescent="0.55000000000000004">
      <c r="B346" s="94">
        <v>44308</v>
      </c>
      <c r="C346" s="95">
        <v>1.2012</v>
      </c>
      <c r="D346" s="95">
        <f>IF(OR(C346="",C345=""),"",LN(C346/C345))</f>
        <v>-1.9129211139514123E-3</v>
      </c>
      <c r="E346" s="95">
        <f>IF(D346="","",ABS(D346-$E$5)/$F$5)</f>
        <v>0.40650979704938173</v>
      </c>
      <c r="F346" s="96">
        <f>IF(D346="","",ABS(D346-$G$5)/$H$5)</f>
        <v>0.63967812552506897</v>
      </c>
      <c r="G346" s="96">
        <f>IF(D346="","",ABS(D346-$E$5)/SQRT(0.9*(IF(G345="",$F$5^2,(ABS(D345-$E$5)/MAX(G345,0.0000000001))^2))+0.1*(D346-$E$5)^2))</f>
        <v>0.78434358422169437</v>
      </c>
      <c r="H346" s="96" t="str">
        <f>IF(E346="","",IF(E346&gt;$I$5,"OUTLIER",""))</f>
        <v/>
      </c>
      <c r="I346" s="96" t="str">
        <f>IF(F346="","",IF(F346&gt;$I$5,"OUTLIER",""))</f>
        <v/>
      </c>
      <c r="J346" s="96" t="str">
        <f>IF(G346="","",IF(G346&gt;$I$5,"OUTLIER",""))</f>
        <v/>
      </c>
      <c r="K346" s="96" t="str">
        <f>IF(C346="","MISSING","")</f>
        <v/>
      </c>
      <c r="L346" s="96" t="str">
        <f>IF(AND(C346&lt;&gt;"",C345&lt;&gt;"",C346=C345),"STALE","")</f>
        <v/>
      </c>
      <c r="M346" s="106">
        <f>IF(D346="","",ABS(D346-G$5))</f>
        <v>1.9129211139514123E-3</v>
      </c>
    </row>
    <row r="347" spans="2:13" ht="15.75" customHeight="1" x14ac:dyDescent="0.55000000000000004">
      <c r="B347" s="94">
        <v>44309</v>
      </c>
      <c r="C347" s="95">
        <v>1.2069000000000001</v>
      </c>
      <c r="D347" s="95">
        <f>IF(OR(C347="",C346=""),"",LN(C347/C346))</f>
        <v>4.7340315146769344E-3</v>
      </c>
      <c r="E347" s="95">
        <f>IF(D347="","",ABS(D347-$E$5)/$F$5)</f>
        <v>0.91105657289960684</v>
      </c>
      <c r="F347" s="96">
        <f>IF(D347="","",ABS(D347-$G$5)/$H$5)</f>
        <v>1.5830534690632629</v>
      </c>
      <c r="G347" s="96">
        <f>IF(D347="","",ABS(D347-$E$5)/SQRT(0.9*(IF(G346="",$F$5^2,(ABS(D346-$E$5)/MAX(G346,0.0000000001))^2))+0.1*(D347-$E$5)^2))</f>
        <v>1.5987006795406709</v>
      </c>
      <c r="H347" s="96" t="str">
        <f>IF(E347="","",IF(E347&gt;$I$5,"OUTLIER",""))</f>
        <v/>
      </c>
      <c r="I347" s="96" t="str">
        <f>IF(F347="","",IF(F347&gt;$I$5,"OUTLIER",""))</f>
        <v/>
      </c>
      <c r="J347" s="96" t="str">
        <f>IF(G347="","",IF(G347&gt;$I$5,"OUTLIER",""))</f>
        <v/>
      </c>
      <c r="K347" s="96" t="str">
        <f>IF(C347="","MISSING","")</f>
        <v/>
      </c>
      <c r="L347" s="96" t="str">
        <f>IF(AND(C347&lt;&gt;"",C346&lt;&gt;"",C347=C346),"STALE","")</f>
        <v/>
      </c>
      <c r="M347" s="106">
        <f>IF(D347="","",ABS(D347-G$5))</f>
        <v>4.7340315146769344E-3</v>
      </c>
    </row>
    <row r="348" spans="2:13" ht="15.75" customHeight="1" x14ac:dyDescent="0.55000000000000004">
      <c r="B348" s="94">
        <v>44312</v>
      </c>
      <c r="C348" s="95">
        <v>1.21</v>
      </c>
      <c r="D348" s="95">
        <f>IF(OR(C348="",C347=""),"",LN(C348/C347))</f>
        <v>2.5652709669344242E-3</v>
      </c>
      <c r="E348" s="95">
        <f>IF(D348="","",ABS(D348-$E$5)/$F$5)</f>
        <v>0.48116243616835941</v>
      </c>
      <c r="F348" s="96">
        <f>IF(D348="","",ABS(D348-$G$5)/$H$5)</f>
        <v>0.85782299731267087</v>
      </c>
      <c r="G348" s="96">
        <f>IF(D348="","",ABS(D348-$E$5)/SQRT(0.9*(IF(G347="",$F$5^2,(ABS(D347-$E$5)/MAX(G347,0.0000000001))^2))+0.1*(D348-$E$5)^2))</f>
        <v>0.85672043749583382</v>
      </c>
      <c r="H348" s="96" t="str">
        <f>IF(E348="","",IF(E348&gt;$I$5,"OUTLIER",""))</f>
        <v/>
      </c>
      <c r="I348" s="96" t="str">
        <f>IF(F348="","",IF(F348&gt;$I$5,"OUTLIER",""))</f>
        <v/>
      </c>
      <c r="J348" s="96" t="str">
        <f>IF(G348="","",IF(G348&gt;$I$5,"OUTLIER",""))</f>
        <v/>
      </c>
      <c r="K348" s="96" t="str">
        <f>IF(C348="","MISSING","")</f>
        <v/>
      </c>
      <c r="L348" s="96" t="str">
        <f>IF(AND(C348&lt;&gt;"",C347&lt;&gt;"",C348=C347),"STALE","")</f>
        <v/>
      </c>
      <c r="M348" s="106">
        <f>IF(D348="","",ABS(D348-G$5))</f>
        <v>2.5652709669344242E-3</v>
      </c>
    </row>
    <row r="349" spans="2:13" ht="15.75" customHeight="1" x14ac:dyDescent="0.55000000000000004">
      <c r="B349" s="94">
        <v>44313</v>
      </c>
      <c r="C349" s="95">
        <v>1.2119</v>
      </c>
      <c r="D349" s="95">
        <f>IF(OR(C349="",C348=""),"",LN(C349/C348))</f>
        <v>1.5690163836550254E-3</v>
      </c>
      <c r="E349" s="95">
        <f>IF(D349="","",ABS(D349-$E$5)/$F$5)</f>
        <v>0.28368374056535611</v>
      </c>
      <c r="F349" s="96">
        <f>IF(D349="","",ABS(D349-$G$5)/$H$5)</f>
        <v>0.52467686821719195</v>
      </c>
      <c r="G349" s="96">
        <f>IF(D349="","",ABS(D349-$E$5)/SQRT(0.9*(IF(G348="",$F$5^2,(ABS(D348-$E$5)/MAX(G348,0.0000000001))^2))+0.1*(D349-$E$5)^2))</f>
        <v>0.52503779243306115</v>
      </c>
      <c r="H349" s="96" t="str">
        <f>IF(E349="","",IF(E349&gt;$I$5,"OUTLIER",""))</f>
        <v/>
      </c>
      <c r="I349" s="96" t="str">
        <f>IF(F349="","",IF(F349&gt;$I$5,"OUTLIER",""))</f>
        <v/>
      </c>
      <c r="J349" s="96" t="str">
        <f>IF(G349="","",IF(G349&gt;$I$5,"OUTLIER",""))</f>
        <v/>
      </c>
      <c r="K349" s="96" t="str">
        <f>IF(C349="","MISSING","")</f>
        <v/>
      </c>
      <c r="L349" s="96" t="str">
        <f>IF(AND(C349&lt;&gt;"",C348&lt;&gt;"",C349=C348),"STALE","")</f>
        <v/>
      </c>
      <c r="M349" s="106">
        <f>IF(D349="","",ABS(D349-G$5))</f>
        <v>1.5690163836550254E-3</v>
      </c>
    </row>
    <row r="350" spans="2:13" ht="15.75" customHeight="1" x14ac:dyDescent="0.55000000000000004">
      <c r="B350" s="94">
        <v>44314</v>
      </c>
      <c r="C350" s="95">
        <v>1.2133</v>
      </c>
      <c r="D350" s="95">
        <f>IF(OR(C350="",C349=""),"",LN(C350/C349))</f>
        <v>1.1545440833856835E-3</v>
      </c>
      <c r="E350" s="95">
        <f>IF(D350="","",ABS(D350-$E$5)/$F$5)</f>
        <v>0.20152657853620906</v>
      </c>
      <c r="F350" s="96">
        <f>IF(D350="","",ABS(D350-$G$5)/$H$5)</f>
        <v>0.38607791492805471</v>
      </c>
      <c r="G350" s="96">
        <f>IF(D350="","",ABS(D350-$E$5)/SQRT(0.9*(IF(G349="",$F$5^2,(ABS(D349-$E$5)/MAX(G349,0.0000000001))^2))+0.1*(D350-$E$5)^2))</f>
        <v>0.390154264791016</v>
      </c>
      <c r="H350" s="96" t="str">
        <f>IF(E350="","",IF(E350&gt;$I$5,"OUTLIER",""))</f>
        <v/>
      </c>
      <c r="I350" s="96" t="str">
        <f>IF(F350="","",IF(F350&gt;$I$5,"OUTLIER",""))</f>
        <v/>
      </c>
      <c r="J350" s="96" t="str">
        <f>IF(G350="","",IF(G350&gt;$I$5,"OUTLIER",""))</f>
        <v/>
      </c>
      <c r="K350" s="96" t="str">
        <f>IF(C350="","MISSING","")</f>
        <v/>
      </c>
      <c r="L350" s="96" t="str">
        <f>IF(AND(C350&lt;&gt;"",C349&lt;&gt;"",C350=C349),"STALE","")</f>
        <v/>
      </c>
      <c r="M350" s="106">
        <f>IF(D350="","",ABS(D350-G$5))</f>
        <v>1.1545440833856835E-3</v>
      </c>
    </row>
    <row r="351" spans="2:13" ht="15.75" customHeight="1" x14ac:dyDescent="0.55000000000000004">
      <c r="B351" s="94">
        <v>44315</v>
      </c>
      <c r="C351" s="95">
        <v>1.2131000000000001</v>
      </c>
      <c r="D351" s="95">
        <f>IF(OR(C351="",C350=""),"",LN(C351/C350))</f>
        <v>-1.6485328095365922E-4</v>
      </c>
      <c r="E351" s="95">
        <f>IF(D351="","",ABS(D351-$E$5)/$F$5)</f>
        <v>6.0005839848361685E-2</v>
      </c>
      <c r="F351" s="96">
        <f>IF(D351="","",ABS(D351-$G$5)/$H$5)</f>
        <v>5.5126704900687704E-2</v>
      </c>
      <c r="G351" s="96">
        <f>IF(D351="","",ABS(D351-$E$5)/SQRT(0.9*(IF(G350="",$F$5^2,(ABS(D350-$E$5)/MAX(G350,0.0000000001))^2))+0.1*(D351-$E$5)^2))</f>
        <v>0.12236322587223546</v>
      </c>
      <c r="H351" s="96" t="str">
        <f>IF(E351="","",IF(E351&gt;$I$5,"OUTLIER",""))</f>
        <v/>
      </c>
      <c r="I351" s="96" t="str">
        <f>IF(F351="","",IF(F351&gt;$I$5,"OUTLIER",""))</f>
        <v/>
      </c>
      <c r="J351" s="96" t="str">
        <f>IF(G351="","",IF(G351&gt;$I$5,"OUTLIER",""))</f>
        <v/>
      </c>
      <c r="K351" s="96" t="str">
        <f>IF(C351="","MISSING","")</f>
        <v/>
      </c>
      <c r="L351" s="96" t="str">
        <f>IF(AND(C351&lt;&gt;"",C350&lt;&gt;"",C351=C350),"STALE","")</f>
        <v/>
      </c>
      <c r="M351" s="106">
        <f>IF(D351="","",ABS(D351-G$5))</f>
        <v>1.6485328095365922E-4</v>
      </c>
    </row>
    <row r="352" spans="2:13" ht="15.75" customHeight="1" x14ac:dyDescent="0.55000000000000004">
      <c r="B352" s="94">
        <v>44316</v>
      </c>
      <c r="C352" s="95">
        <v>1.2034</v>
      </c>
      <c r="D352" s="95">
        <f>IF(OR(C352="",C351=""),"",LN(C352/C351))</f>
        <v>-8.0281829906223134E-3</v>
      </c>
      <c r="E352" s="95">
        <f>IF(D352="","",ABS(D352-$E$5)/$F$5)</f>
        <v>1.6186838326262536</v>
      </c>
      <c r="F352" s="96">
        <f>IF(D352="","",ABS(D352-$G$5)/$H$5)</f>
        <v>2.6846130817206104</v>
      </c>
      <c r="G352" s="96">
        <f>IF(D352="","",ABS(D352-$E$5)/SQRT(0.9*(IF(G351="",$F$5^2,(ABS(D351-$E$5)/MAX(G351,0.0000000001))^2))+0.1*(D352-$E$5)^2))</f>
        <v>2.3401531164415306</v>
      </c>
      <c r="H352" s="96" t="str">
        <f>IF(E352="","",IF(E352&gt;$I$5,"OUTLIER",""))</f>
        <v/>
      </c>
      <c r="I352" s="96" t="str">
        <f>IF(F352="","",IF(F352&gt;$I$5,"OUTLIER",""))</f>
        <v/>
      </c>
      <c r="J352" s="96" t="str">
        <f>IF(G352="","",IF(G352&gt;$I$5,"OUTLIER",""))</f>
        <v/>
      </c>
      <c r="K352" s="96" t="str">
        <f>IF(C352="","MISSING","")</f>
        <v/>
      </c>
      <c r="L352" s="96" t="str">
        <f>IF(AND(C352&lt;&gt;"",C351&lt;&gt;"",C352=C351),"STALE","")</f>
        <v/>
      </c>
      <c r="M352" s="106">
        <f>IF(D352="","",ABS(D352-G$5))</f>
        <v>8.0281829906223134E-3</v>
      </c>
    </row>
    <row r="353" spans="2:13" ht="15.75" customHeight="1" x14ac:dyDescent="0.55000000000000004">
      <c r="B353" s="94">
        <v>44319</v>
      </c>
      <c r="C353" s="95">
        <v>1.2018</v>
      </c>
      <c r="D353" s="95">
        <f>IF(OR(C353="",C352=""),"",LN(C353/C352))</f>
        <v>-1.330450886423831E-3</v>
      </c>
      <c r="E353" s="95">
        <f>IF(D353="","",ABS(D353-$E$5)/$F$5)</f>
        <v>0.29105189834531875</v>
      </c>
      <c r="F353" s="96">
        <f>IF(D353="","",ABS(D353-$G$5)/$H$5)</f>
        <v>0.44490090204126392</v>
      </c>
      <c r="G353" s="96">
        <f>IF(D353="","",ABS(D353-$E$5)/SQRT(0.9*(IF(G352="",$F$5^2,(ABS(D352-$E$5)/MAX(G352,0.0000000001))^2))+0.1*(D353-$E$5)^2))</f>
        <v>0.43923914911704914</v>
      </c>
      <c r="H353" s="96" t="str">
        <f>IF(E353="","",IF(E353&gt;$I$5,"OUTLIER",""))</f>
        <v/>
      </c>
      <c r="I353" s="96" t="str">
        <f>IF(F353="","",IF(F353&gt;$I$5,"OUTLIER",""))</f>
        <v/>
      </c>
      <c r="J353" s="96" t="str">
        <f>IF(G353="","",IF(G353&gt;$I$5,"OUTLIER",""))</f>
        <v/>
      </c>
      <c r="K353" s="96" t="str">
        <f>IF(C353="","MISSING","")</f>
        <v/>
      </c>
      <c r="L353" s="96" t="str">
        <f>IF(AND(C353&lt;&gt;"",C352&lt;&gt;"",C353=C352),"STALE","")</f>
        <v/>
      </c>
      <c r="M353" s="106">
        <f>IF(D353="","",ABS(D353-G$5))</f>
        <v>1.330450886423831E-3</v>
      </c>
    </row>
    <row r="354" spans="2:13" ht="15.75" customHeight="1" x14ac:dyDescent="0.55000000000000004">
      <c r="B354" s="94">
        <v>44320</v>
      </c>
      <c r="C354" s="95">
        <v>1.2019</v>
      </c>
      <c r="D354" s="95">
        <f>IF(OR(C354="",C353=""),"",LN(C354/C353))</f>
        <v>8.3205058915513297E-5</v>
      </c>
      <c r="E354" s="95">
        <f>IF(D354="","",ABS(D354-$E$5)/$F$5)</f>
        <v>1.0835438815363373E-2</v>
      </c>
      <c r="F354" s="96">
        <f>IF(D354="","",ABS(D354-$G$5)/$H$5)</f>
        <v>2.7823654479580576E-2</v>
      </c>
      <c r="G354" s="96">
        <f>IF(D354="","",ABS(D354-$E$5)/SQRT(0.9*(IF(G353="",$F$5^2,(ABS(D353-$E$5)/MAX(G353,0.0000000001))^2))+0.1*(D354-$E$5)^2))</f>
        <v>1.7236512682356722E-2</v>
      </c>
      <c r="H354" s="96" t="str">
        <f>IF(E354="","",IF(E354&gt;$I$5,"OUTLIER",""))</f>
        <v/>
      </c>
      <c r="I354" s="96" t="str">
        <f>IF(F354="","",IF(F354&gt;$I$5,"OUTLIER",""))</f>
        <v/>
      </c>
      <c r="J354" s="96" t="str">
        <f>IF(G354="","",IF(G354&gt;$I$5,"OUTLIER",""))</f>
        <v/>
      </c>
      <c r="K354" s="96" t="str">
        <f>IF(C354="","MISSING","")</f>
        <v/>
      </c>
      <c r="L354" s="96" t="str">
        <f>IF(AND(C354&lt;&gt;"",C353&lt;&gt;"",C354=C353),"STALE","")</f>
        <v/>
      </c>
      <c r="M354" s="106">
        <f>IF(D354="","",ABS(D354-G$5))</f>
        <v>8.3205058915513297E-5</v>
      </c>
    </row>
    <row r="355" spans="2:13" ht="15.75" customHeight="1" x14ac:dyDescent="0.55000000000000004">
      <c r="B355" s="94">
        <v>44321</v>
      </c>
      <c r="C355" s="95">
        <v>1.2104999999999999</v>
      </c>
      <c r="D355" s="95">
        <f>IF(OR(C355="",C354=""),"",LN(C355/C354))</f>
        <v>7.1298594193700392E-3</v>
      </c>
      <c r="E355" s="95">
        <f>IF(D355="","",ABS(D355-$E$5)/$F$5)</f>
        <v>1.3859602545977849</v>
      </c>
      <c r="F355" s="96">
        <f>IF(D355="","",ABS(D355-$G$5)/$H$5)</f>
        <v>2.3842149450788734</v>
      </c>
      <c r="G355" s="96">
        <f>IF(D355="","",ABS(D355-$E$5)/SQRT(0.9*(IF(G354="",$F$5^2,(ABS(D354-$E$5)/MAX(G354,0.0000000001))^2))+0.1*(D355-$E$5)^2))</f>
        <v>1.8726628591900112</v>
      </c>
      <c r="H355" s="96" t="str">
        <f>IF(E355="","",IF(E355&gt;$I$5,"OUTLIER",""))</f>
        <v/>
      </c>
      <c r="I355" s="96" t="str">
        <f>IF(F355="","",IF(F355&gt;$I$5,"OUTLIER",""))</f>
        <v/>
      </c>
      <c r="J355" s="96" t="str">
        <f>IF(G355="","",IF(G355&gt;$I$5,"OUTLIER",""))</f>
        <v/>
      </c>
      <c r="K355" s="96" t="str">
        <f>IF(C355="","MISSING","")</f>
        <v/>
      </c>
      <c r="L355" s="96" t="str">
        <f>IF(AND(C355&lt;&gt;"",C354&lt;&gt;"",C355=C354),"STALE","")</f>
        <v/>
      </c>
      <c r="M355" s="106">
        <f>IF(D355="","",ABS(D355-G$5))</f>
        <v>7.1298594193700392E-3</v>
      </c>
    </row>
    <row r="356" spans="2:13" ht="15.75" customHeight="1" x14ac:dyDescent="0.55000000000000004">
      <c r="B356" s="94">
        <v>44322</v>
      </c>
      <c r="C356" s="95">
        <v>1.2173</v>
      </c>
      <c r="D356" s="95">
        <f>IF(OR(C356="",C355=""),"",LN(C356/C355))</f>
        <v>5.6017940374375099E-3</v>
      </c>
      <c r="E356" s="95">
        <f>IF(D356="","",ABS(D356-$E$5)/$F$5)</f>
        <v>1.0830654288326398</v>
      </c>
      <c r="F356" s="96">
        <f>IF(D356="","",ABS(D356-$G$5)/$H$5)</f>
        <v>1.8732320341446922</v>
      </c>
      <c r="G356" s="96">
        <f>IF(D356="","",ABS(D356-$E$5)/SQRT(0.9*(IF(G355="",$F$5^2,(ABS(D355-$E$5)/MAX(G355,0.0000000001))^2))+0.1*(D356-$E$5)^2))</f>
        <v>1.3864072539732959</v>
      </c>
      <c r="H356" s="96" t="str">
        <f>IF(E356="","",IF(E356&gt;$I$5,"OUTLIER",""))</f>
        <v/>
      </c>
      <c r="I356" s="96" t="str">
        <f>IF(F356="","",IF(F356&gt;$I$5,"OUTLIER",""))</f>
        <v/>
      </c>
      <c r="J356" s="96" t="str">
        <f>IF(G356="","",IF(G356&gt;$I$5,"OUTLIER",""))</f>
        <v/>
      </c>
      <c r="K356" s="96" t="str">
        <f>IF(C356="","MISSING","")</f>
        <v/>
      </c>
      <c r="L356" s="96" t="str">
        <f>IF(AND(C356&lt;&gt;"",C355&lt;&gt;"",C356=C355),"STALE","")</f>
        <v/>
      </c>
      <c r="M356" s="106">
        <f>IF(D356="","",ABS(D356-G$5))</f>
        <v>5.6017940374375099E-3</v>
      </c>
    </row>
    <row r="357" spans="2:13" ht="15.75" customHeight="1" x14ac:dyDescent="0.55000000000000004">
      <c r="B357" s="94">
        <v>44323</v>
      </c>
      <c r="C357" s="95">
        <v>1.2164999999999999</v>
      </c>
      <c r="D357" s="95">
        <f>IF(OR(C357="",C356=""),"",LN(C357/C356))</f>
        <v>-6.5740819197340923E-4</v>
      </c>
      <c r="E357" s="95">
        <f>IF(D357="","",ABS(D357-$E$5)/$F$5)</f>
        <v>0.15764062414300473</v>
      </c>
      <c r="F357" s="96">
        <f>IF(D357="","",ABS(D357-$G$5)/$H$5)</f>
        <v>0.21983637321965202</v>
      </c>
      <c r="G357" s="96">
        <f>IF(D357="","",ABS(D357-$E$5)/SQRT(0.9*(IF(G356="",$F$5^2,(ABS(D356-$E$5)/MAX(G356,0.0000000001))^2))+0.1*(D357-$E$5)^2))</f>
        <v>0.21222803989743394</v>
      </c>
      <c r="H357" s="96" t="str">
        <f>IF(E357="","",IF(E357&gt;$I$5,"OUTLIER",""))</f>
        <v/>
      </c>
      <c r="I357" s="96" t="str">
        <f>IF(F357="","",IF(F357&gt;$I$5,"OUTLIER",""))</f>
        <v/>
      </c>
      <c r="J357" s="96" t="str">
        <f>IF(G357="","",IF(G357&gt;$I$5,"OUTLIER",""))</f>
        <v/>
      </c>
      <c r="K357" s="96" t="str">
        <f>IF(C357="","MISSING","")</f>
        <v/>
      </c>
      <c r="L357" s="96" t="str">
        <f>IF(AND(C357&lt;&gt;"",C356&lt;&gt;"",C357=C356),"STALE","")</f>
        <v/>
      </c>
      <c r="M357" s="106">
        <f>IF(D357="","",ABS(D357-G$5))</f>
        <v>6.5740819197340923E-4</v>
      </c>
    </row>
    <row r="358" spans="2:13" ht="15.75" customHeight="1" x14ac:dyDescent="0.55000000000000004">
      <c r="B358" s="94">
        <v>44326</v>
      </c>
      <c r="C358" s="95">
        <v>1.2142999999999999</v>
      </c>
      <c r="D358" s="95">
        <f>IF(OR(C358="",C357=""),"",LN(C358/C357))</f>
        <v>-1.810104163803992E-3</v>
      </c>
      <c r="E358" s="95">
        <f>IF(D358="","",ABS(D358-$E$5)/$F$5)</f>
        <v>0.38612930641800536</v>
      </c>
      <c r="F358" s="96">
        <f>IF(D358="","",ABS(D358-$G$5)/$H$5)</f>
        <v>0.60529628224735565</v>
      </c>
      <c r="G358" s="96">
        <f>IF(D358="","",ABS(D358-$E$5)/SQRT(0.9*(IF(G357="",$F$5^2,(ABS(D357-$E$5)/MAX(G357,0.0000000001))^2))+0.1*(D358-$E$5)^2))</f>
        <v>0.53991091828101079</v>
      </c>
      <c r="H358" s="96" t="str">
        <f>IF(E358="","",IF(E358&gt;$I$5,"OUTLIER",""))</f>
        <v/>
      </c>
      <c r="I358" s="96" t="str">
        <f>IF(F358="","",IF(F358&gt;$I$5,"OUTLIER",""))</f>
        <v/>
      </c>
      <c r="J358" s="96" t="str">
        <f>IF(G358="","",IF(G358&gt;$I$5,"OUTLIER",""))</f>
        <v/>
      </c>
      <c r="K358" s="96" t="str">
        <f>IF(C358="","MISSING","")</f>
        <v/>
      </c>
      <c r="L358" s="96" t="str">
        <f>IF(AND(C358&lt;&gt;"",C357&lt;&gt;"",C358=C357),"STALE","")</f>
        <v/>
      </c>
      <c r="M358" s="106">
        <f>IF(D358="","",ABS(D358-G$5))</f>
        <v>1.810104163803992E-3</v>
      </c>
    </row>
    <row r="359" spans="2:13" ht="15.75" customHeight="1" x14ac:dyDescent="0.55000000000000004">
      <c r="B359" s="94">
        <v>44327</v>
      </c>
      <c r="C359" s="95">
        <v>1.2141999999999999</v>
      </c>
      <c r="D359" s="95">
        <f>IF(OR(C359="",C358=""),"",LN(C359/C358))</f>
        <v>-8.235536343960375E-5</v>
      </c>
      <c r="E359" s="95">
        <f>IF(D359="","",ABS(D359-$E$5)/$F$5)</f>
        <v>4.3653010547429004E-2</v>
      </c>
      <c r="F359" s="96">
        <f>IF(D359="","",ABS(D359-$G$5)/$H$5)</f>
        <v>2.7539517509512737E-2</v>
      </c>
      <c r="G359" s="96">
        <f>IF(D359="","",ABS(D359-$E$5)/SQRT(0.9*(IF(G358="",$F$5^2,(ABS(D358-$E$5)/MAX(G358,0.0000000001))^2))+0.1*(D359-$E$5)^2))</f>
        <v>6.4326869653641164E-2</v>
      </c>
      <c r="H359" s="96" t="str">
        <f>IF(E359="","",IF(E359&gt;$I$5,"OUTLIER",""))</f>
        <v/>
      </c>
      <c r="I359" s="96" t="str">
        <f>IF(F359="","",IF(F359&gt;$I$5,"OUTLIER",""))</f>
        <v/>
      </c>
      <c r="J359" s="96" t="str">
        <f>IF(G359="","",IF(G359&gt;$I$5,"OUTLIER",""))</f>
        <v/>
      </c>
      <c r="K359" s="96" t="str">
        <f>IF(C359="","MISSING","")</f>
        <v/>
      </c>
      <c r="L359" s="96" t="str">
        <f>IF(AND(C359&lt;&gt;"",C358&lt;&gt;"",C359=C358),"STALE","")</f>
        <v/>
      </c>
      <c r="M359" s="106">
        <f>IF(D359="","",ABS(D359-G$5))</f>
        <v>8.235536343960375E-5</v>
      </c>
    </row>
    <row r="360" spans="2:13" ht="15.75" customHeight="1" x14ac:dyDescent="0.55000000000000004">
      <c r="B360" s="94">
        <v>44328</v>
      </c>
      <c r="C360" s="95">
        <v>1.2079</v>
      </c>
      <c r="D360" s="95">
        <f>IF(OR(C360="",C359=""),"",LN(C360/C359))</f>
        <v>-5.202109085100934E-3</v>
      </c>
      <c r="E360" s="95">
        <f>IF(D360="","",ABS(D360-$E$5)/$F$5)</f>
        <v>1.0584963083661703</v>
      </c>
      <c r="F360" s="96">
        <f>IF(D360="","",ABS(D360-$G$5)/$H$5)</f>
        <v>1.7395779491714154</v>
      </c>
      <c r="G360" s="96">
        <f>IF(D360="","",ABS(D360-$E$5)/SQRT(0.9*(IF(G359="",$F$5^2,(ABS(D359-$E$5)/MAX(G359,0.0000000001))^2))+0.1*(D360-$E$5)^2))</f>
        <v>1.4587746439904647</v>
      </c>
      <c r="H360" s="96" t="str">
        <f>IF(E360="","",IF(E360&gt;$I$5,"OUTLIER",""))</f>
        <v/>
      </c>
      <c r="I360" s="96" t="str">
        <f>IF(F360="","",IF(F360&gt;$I$5,"OUTLIER",""))</f>
        <v/>
      </c>
      <c r="J360" s="96" t="str">
        <f>IF(G360="","",IF(G360&gt;$I$5,"OUTLIER",""))</f>
        <v/>
      </c>
      <c r="K360" s="96" t="str">
        <f>IF(C360="","MISSING","")</f>
        <v/>
      </c>
      <c r="L360" s="96" t="str">
        <f>IF(AND(C360&lt;&gt;"",C359&lt;&gt;"",C360=C359),"STALE","")</f>
        <v/>
      </c>
      <c r="M360" s="106">
        <f>IF(D360="","",ABS(D360-G$5))</f>
        <v>5.202109085100934E-3</v>
      </c>
    </row>
    <row r="361" spans="2:13" ht="15.75" customHeight="1" x14ac:dyDescent="0.55000000000000004">
      <c r="B361" s="94">
        <v>44329</v>
      </c>
      <c r="C361" s="95">
        <v>1.2126999999999999</v>
      </c>
      <c r="D361" s="95">
        <f>IF(OR(C361="",C360=""),"",LN(C361/C360))</f>
        <v>3.9659640515133368E-3</v>
      </c>
      <c r="E361" s="95">
        <f>IF(D361="","",ABS(D361-$E$5)/$F$5)</f>
        <v>0.75880938296811784</v>
      </c>
      <c r="F361" s="96">
        <f>IF(D361="","",ABS(D361-$G$5)/$H$5)</f>
        <v>1.3262127914576916</v>
      </c>
      <c r="G361" s="96">
        <f>IF(D361="","",ABS(D361-$E$5)/SQRT(0.9*(IF(G360="",$F$5^2,(ABS(D360-$E$5)/MAX(G360,0.0000000001))^2))+0.1*(D361-$E$5)^2))</f>
        <v>1.04089819748917</v>
      </c>
      <c r="H361" s="96" t="str">
        <f>IF(E361="","",IF(E361&gt;$I$5,"OUTLIER",""))</f>
        <v/>
      </c>
      <c r="I361" s="96" t="str">
        <f>IF(F361="","",IF(F361&gt;$I$5,"OUTLIER",""))</f>
        <v/>
      </c>
      <c r="J361" s="96" t="str">
        <f>IF(G361="","",IF(G361&gt;$I$5,"OUTLIER",""))</f>
        <v/>
      </c>
      <c r="K361" s="96" t="str">
        <f>IF(C361="","MISSING","")</f>
        <v/>
      </c>
      <c r="L361" s="96" t="str">
        <f>IF(AND(C361&lt;&gt;"",C360&lt;&gt;"",C361=C360),"STALE","")</f>
        <v/>
      </c>
      <c r="M361" s="106">
        <f>IF(D361="","",ABS(D361-G$5))</f>
        <v>3.9659640515133368E-3</v>
      </c>
    </row>
    <row r="362" spans="2:13" ht="15.75" customHeight="1" x14ac:dyDescent="0.55000000000000004">
      <c r="B362" s="94">
        <v>44330</v>
      </c>
      <c r="C362" s="95">
        <v>1.2175</v>
      </c>
      <c r="D362" s="95">
        <f>IF(OR(C362="",C361=""),"",LN(C362/C361))</f>
        <v>3.9502972939988385E-3</v>
      </c>
      <c r="E362" s="95">
        <f>IF(D362="","",ABS(D362-$E$5)/$F$5)</f>
        <v>0.75570390080500693</v>
      </c>
      <c r="F362" s="96">
        <f>IF(D362="","",ABS(D362-$G$5)/$H$5)</f>
        <v>1.3209738498166383</v>
      </c>
      <c r="G362" s="96">
        <f>IF(D362="","",ABS(D362-$E$5)/SQRT(0.9*(IF(G361="",$F$5^2,(ABS(D361-$E$5)/MAX(G361,0.0000000001))^2))+0.1*(D362-$E$5)^2))</f>
        <v>1.0327921197739502</v>
      </c>
      <c r="H362" s="96" t="str">
        <f>IF(E362="","",IF(E362&gt;$I$5,"OUTLIER",""))</f>
        <v/>
      </c>
      <c r="I362" s="96" t="str">
        <f>IF(F362="","",IF(F362&gt;$I$5,"OUTLIER",""))</f>
        <v/>
      </c>
      <c r="J362" s="96" t="str">
        <f>IF(G362="","",IF(G362&gt;$I$5,"OUTLIER",""))</f>
        <v/>
      </c>
      <c r="K362" s="96" t="str">
        <f>IF(C362="","MISSING","")</f>
        <v/>
      </c>
      <c r="L362" s="96" t="str">
        <f>IF(AND(C362&lt;&gt;"",C361&lt;&gt;"",C362=C361),"STALE","")</f>
        <v/>
      </c>
      <c r="M362" s="106">
        <f>IF(D362="","",ABS(D362-G$5))</f>
        <v>3.9502972939988385E-3</v>
      </c>
    </row>
    <row r="363" spans="2:13" ht="15.75" customHeight="1" x14ac:dyDescent="0.55000000000000004">
      <c r="B363" s="94">
        <v>44333</v>
      </c>
      <c r="C363" s="95">
        <v>1.2224999999999999</v>
      </c>
      <c r="D363" s="95">
        <f>IF(OR(C363="",C362=""),"",LN(C363/C362))</f>
        <v>4.098366392282185E-3</v>
      </c>
      <c r="E363" s="95">
        <f>IF(D363="","",ABS(D363-$E$5)/$F$5)</f>
        <v>0.78505432275424047</v>
      </c>
      <c r="F363" s="96">
        <f>IF(D363="","",ABS(D363-$G$5)/$H$5)</f>
        <v>1.3704879476784304</v>
      </c>
      <c r="G363" s="96">
        <f>IF(D363="","",ABS(D363-$E$5)/SQRT(0.9*(IF(G362="",$F$5^2,(ABS(D362-$E$5)/MAX(G362,0.0000000001))^2))+0.1*(D363-$E$5)^2))</f>
        <v>1.0648879313075483</v>
      </c>
      <c r="H363" s="96" t="str">
        <f>IF(E363="","",IF(E363&gt;$I$5,"OUTLIER",""))</f>
        <v/>
      </c>
      <c r="I363" s="96" t="str">
        <f>IF(F363="","",IF(F363&gt;$I$5,"OUTLIER",""))</f>
        <v/>
      </c>
      <c r="J363" s="96" t="str">
        <f>IF(G363="","",IF(G363&gt;$I$5,"OUTLIER",""))</f>
        <v/>
      </c>
      <c r="K363" s="96" t="str">
        <f>IF(C363="","MISSING","")</f>
        <v/>
      </c>
      <c r="L363" s="96" t="str">
        <f>IF(AND(C363&lt;&gt;"",C362&lt;&gt;"",C363=C362),"STALE","")</f>
        <v/>
      </c>
      <c r="M363" s="106">
        <f>IF(D363="","",ABS(D363-G$5))</f>
        <v>4.098366392282185E-3</v>
      </c>
    </row>
    <row r="364" spans="2:13" ht="15.75" customHeight="1" x14ac:dyDescent="0.55000000000000004">
      <c r="B364" s="94">
        <v>44334</v>
      </c>
      <c r="C364" s="95">
        <v>1.222</v>
      </c>
      <c r="D364" s="95">
        <f>IF(OR(C364="",C363=""),"",LN(C364/C363))</f>
        <v>-4.0908161748638195E-4</v>
      </c>
      <c r="E364" s="95">
        <f>IF(D364="","",ABS(D364-$E$5)/$F$5)</f>
        <v>0.1084170533446286</v>
      </c>
      <c r="F364" s="96">
        <f>IF(D364="","",ABS(D364-$G$5)/$H$5)</f>
        <v>0.13679631656107002</v>
      </c>
      <c r="G364" s="96">
        <f>IF(D364="","",ABS(D364-$E$5)/SQRT(0.9*(IF(G363="",$F$5^2,(ABS(D363-$E$5)/MAX(G363,0.0000000001))^2))+0.1*(D364-$E$5)^2))</f>
        <v>0.15483151128228356</v>
      </c>
      <c r="H364" s="96" t="str">
        <f>IF(E364="","",IF(E364&gt;$I$5,"OUTLIER",""))</f>
        <v/>
      </c>
      <c r="I364" s="96" t="str">
        <f>IF(F364="","",IF(F364&gt;$I$5,"OUTLIER",""))</f>
        <v/>
      </c>
      <c r="J364" s="96" t="str">
        <f>IF(G364="","",IF(G364&gt;$I$5,"OUTLIER",""))</f>
        <v/>
      </c>
      <c r="K364" s="96" t="str">
        <f>IF(C364="","MISSING","")</f>
        <v/>
      </c>
      <c r="L364" s="96" t="str">
        <f>IF(AND(C364&lt;&gt;"",C363&lt;&gt;"",C364=C363),"STALE","")</f>
        <v/>
      </c>
      <c r="M364" s="106">
        <f>IF(D364="","",ABS(D364-G$5))</f>
        <v>4.0908161748638195E-4</v>
      </c>
    </row>
    <row r="365" spans="2:13" ht="15.75" customHeight="1" x14ac:dyDescent="0.55000000000000004">
      <c r="B365" s="94">
        <v>44335</v>
      </c>
      <c r="C365" s="95">
        <v>1.2213000000000001</v>
      </c>
      <c r="D365" s="95">
        <f>IF(OR(C365="",C364=""),"",LN(C365/C364))</f>
        <v>-5.7299555449773101E-4</v>
      </c>
      <c r="E365" s="95">
        <f>IF(D365="","",ABS(D365-$E$5)/$F$5)</f>
        <v>0.14090825691390346</v>
      </c>
      <c r="F365" s="96">
        <f>IF(D365="","",ABS(D365-$G$5)/$H$5)</f>
        <v>0.19160890617082496</v>
      </c>
      <c r="G365" s="96">
        <f>IF(D365="","",ABS(D365-$E$5)/SQRT(0.9*(IF(G364="",$F$5^2,(ABS(D364-$E$5)/MAX(G364,0.0000000001))^2))+0.1*(D365-$E$5)^2))</f>
        <v>0.21164211944561981</v>
      </c>
      <c r="H365" s="96" t="str">
        <f>IF(E365="","",IF(E365&gt;$I$5,"OUTLIER",""))</f>
        <v/>
      </c>
      <c r="I365" s="96" t="str">
        <f>IF(F365="","",IF(F365&gt;$I$5,"OUTLIER",""))</f>
        <v/>
      </c>
      <c r="J365" s="96" t="str">
        <f>IF(G365="","",IF(G365&gt;$I$5,"OUTLIER",""))</f>
        <v/>
      </c>
      <c r="K365" s="96" t="str">
        <f>IF(C365="","MISSING","")</f>
        <v/>
      </c>
      <c r="L365" s="96" t="str">
        <f>IF(AND(C365&lt;&gt;"",C364&lt;&gt;"",C365=C364),"STALE","")</f>
        <v/>
      </c>
      <c r="M365" s="106">
        <f>IF(D365="","",ABS(D365-G$5))</f>
        <v>5.7299555449773101E-4</v>
      </c>
    </row>
    <row r="366" spans="2:13" ht="15.75" customHeight="1" x14ac:dyDescent="0.55000000000000004">
      <c r="B366" s="94">
        <v>44336</v>
      </c>
      <c r="C366" s="95">
        <v>1.2202</v>
      </c>
      <c r="D366" s="95">
        <f>IF(OR(C366="",C365=""),"",LN(C366/C365))</f>
        <v>-9.0108545929090049E-4</v>
      </c>
      <c r="E366" s="95">
        <f>IF(D366="","",ABS(D366-$E$5)/$F$5)</f>
        <v>0.20594260408427742</v>
      </c>
      <c r="F366" s="96">
        <f>IF(D366="","",ABS(D366-$G$5)/$H$5)</f>
        <v>0.30132170811082365</v>
      </c>
      <c r="G366" s="96">
        <f>IF(D366="","",ABS(D366-$E$5)/SQRT(0.9*(IF(G365="",$F$5^2,(ABS(D365-$E$5)/MAX(G365,0.0000000001))^2))+0.1*(D366-$E$5)^2))</f>
        <v>0.32433533034937484</v>
      </c>
      <c r="H366" s="96" t="str">
        <f>IF(E366="","",IF(E366&gt;$I$5,"OUTLIER",""))</f>
        <v/>
      </c>
      <c r="I366" s="96" t="str">
        <f>IF(F366="","",IF(F366&gt;$I$5,"OUTLIER",""))</f>
        <v/>
      </c>
      <c r="J366" s="96" t="str">
        <f>IF(G366="","",IF(G366&gt;$I$5,"OUTLIER",""))</f>
        <v/>
      </c>
      <c r="K366" s="96" t="str">
        <f>IF(C366="","MISSING","")</f>
        <v/>
      </c>
      <c r="L366" s="96" t="str">
        <f>IF(AND(C366&lt;&gt;"",C365&lt;&gt;"",C366=C365),"STALE","")</f>
        <v/>
      </c>
      <c r="M366" s="106">
        <f>IF(D366="","",ABS(D366-G$5))</f>
        <v>9.0108545929090049E-4</v>
      </c>
    </row>
    <row r="367" spans="2:13" ht="15.75" customHeight="1" x14ac:dyDescent="0.55000000000000004">
      <c r="B367" s="94">
        <v>44337</v>
      </c>
      <c r="C367" s="95">
        <v>1.2221</v>
      </c>
      <c r="D367" s="95">
        <f>IF(OR(C367="",C366=""),"",LN(C367/C366))</f>
        <v>1.5559107262027047E-3</v>
      </c>
      <c r="E367" s="95">
        <f>IF(D367="","",ABS(D367-$E$5)/$F$5)</f>
        <v>0.28108592251549097</v>
      </c>
      <c r="F367" s="96">
        <f>IF(D367="","",ABS(D367-$G$5)/$H$5)</f>
        <v>0.52029435482877673</v>
      </c>
      <c r="G367" s="96">
        <f>IF(D367="","",ABS(D367-$E$5)/SQRT(0.9*(IF(G366="",$F$5^2,(ABS(D366-$E$5)/MAX(G366,0.0000000001))^2))+0.1*(D367-$E$5)^2))</f>
        <v>0.46162417572362002</v>
      </c>
      <c r="H367" s="96" t="str">
        <f>IF(E367="","",IF(E367&gt;$I$5,"OUTLIER",""))</f>
        <v/>
      </c>
      <c r="I367" s="96" t="str">
        <f>IF(F367="","",IF(F367&gt;$I$5,"OUTLIER",""))</f>
        <v/>
      </c>
      <c r="J367" s="96" t="str">
        <f>IF(G367="","",IF(G367&gt;$I$5,"OUTLIER",""))</f>
        <v/>
      </c>
      <c r="K367" s="96" t="str">
        <f>IF(C367="","MISSING","")</f>
        <v/>
      </c>
      <c r="L367" s="96" t="str">
        <f>IF(AND(C367&lt;&gt;"",C366&lt;&gt;"",C367=C366),"STALE","")</f>
        <v/>
      </c>
      <c r="M367" s="106">
        <f>IF(D367="","",ABS(D367-G$5))</f>
        <v>1.5559107262027047E-3</v>
      </c>
    </row>
    <row r="368" spans="2:13" ht="15.75" customHeight="1" x14ac:dyDescent="0.55000000000000004">
      <c r="B368" s="94">
        <v>44340</v>
      </c>
      <c r="C368" s="95">
        <v>1.2228000000000001</v>
      </c>
      <c r="D368" s="95">
        <f>IF(OR(C368="",C367=""),"",LN(C368/C367))</f>
        <v>5.7262057272467512E-4</v>
      </c>
      <c r="E368" s="95">
        <f>IF(D368="","",ABS(D368-$E$5)/$F$5)</f>
        <v>8.6177050659730706E-2</v>
      </c>
      <c r="F368" s="96">
        <f>IF(D368="","",ABS(D368-$G$5)/$H$5)</f>
        <v>0.19148351279420056</v>
      </c>
      <c r="G368" s="96">
        <f>IF(D368="","",ABS(D368-$E$5)/SQRT(0.9*(IF(G367="",$F$5^2,(ABS(D367-$E$5)/MAX(G367,0.0000000001))^2))+0.1*(D368-$E$5)^2))</f>
        <v>0.14901743505558301</v>
      </c>
      <c r="H368" s="96" t="str">
        <f>IF(E368="","",IF(E368&gt;$I$5,"OUTLIER",""))</f>
        <v/>
      </c>
      <c r="I368" s="96" t="str">
        <f>IF(F368="","",IF(F368&gt;$I$5,"OUTLIER",""))</f>
        <v/>
      </c>
      <c r="J368" s="96" t="str">
        <f>IF(G368="","",IF(G368&gt;$I$5,"OUTLIER",""))</f>
        <v/>
      </c>
      <c r="K368" s="96" t="str">
        <f>IF(C368="","MISSING","")</f>
        <v/>
      </c>
      <c r="L368" s="96" t="str">
        <f>IF(AND(C368&lt;&gt;"",C367&lt;&gt;"",C368=C367),"STALE","")</f>
        <v/>
      </c>
      <c r="M368" s="106">
        <f>IF(D368="","",ABS(D368-G$5))</f>
        <v>5.7262057272467512E-4</v>
      </c>
    </row>
    <row r="369" spans="2:13" ht="15.75" customHeight="1" x14ac:dyDescent="0.55000000000000004">
      <c r="B369" s="94">
        <v>44341</v>
      </c>
      <c r="C369" s="95">
        <v>1.2242999999999999</v>
      </c>
      <c r="D369" s="95">
        <f>IF(OR(C369="",C368=""),"",LN(C369/C368))</f>
        <v>1.225941063190177E-3</v>
      </c>
      <c r="E369" s="95">
        <f>IF(D369="","",ABS(D369-$E$5)/$F$5)</f>
        <v>0.21567896757252747</v>
      </c>
      <c r="F369" s="96">
        <f>IF(D369="","",ABS(D369-$G$5)/$H$5)</f>
        <v>0.40995296438848405</v>
      </c>
      <c r="G369" s="96">
        <f>IF(D369="","",ABS(D369-$E$5)/SQRT(0.9*(IF(G368="",$F$5^2,(ABS(D368-$E$5)/MAX(G368,0.0000000001))^2))+0.1*(D369-$E$5)^2))</f>
        <v>0.3901231259589325</v>
      </c>
      <c r="H369" s="96" t="str">
        <f>IF(E369="","",IF(E369&gt;$I$5,"OUTLIER",""))</f>
        <v/>
      </c>
      <c r="I369" s="96" t="str">
        <f>IF(F369="","",IF(F369&gt;$I$5,"OUTLIER",""))</f>
        <v/>
      </c>
      <c r="J369" s="96" t="str">
        <f>IF(G369="","",IF(G369&gt;$I$5,"OUTLIER",""))</f>
        <v/>
      </c>
      <c r="K369" s="96" t="str">
        <f>IF(C369="","MISSING","")</f>
        <v/>
      </c>
      <c r="L369" s="96" t="str">
        <f>IF(AND(C369&lt;&gt;"",C368&lt;&gt;"",C369=C368),"STALE","")</f>
        <v/>
      </c>
      <c r="M369" s="106">
        <f>IF(D369="","",ABS(D369-G$5))</f>
        <v>1.225941063190177E-3</v>
      </c>
    </row>
    <row r="370" spans="2:13" ht="15.75" customHeight="1" x14ac:dyDescent="0.55000000000000004">
      <c r="B370" s="94">
        <v>44342</v>
      </c>
      <c r="C370" s="95">
        <v>1.218</v>
      </c>
      <c r="D370" s="95">
        <f>IF(OR(C370="",C369=""),"",LN(C370/C369))</f>
        <v>-5.1590828100273357E-3</v>
      </c>
      <c r="E370" s="95">
        <f>IF(D370="","",ABS(D370-$E$5)/$F$5)</f>
        <v>1.0499675920914397</v>
      </c>
      <c r="F370" s="96">
        <f>IF(D370="","",ABS(D370-$G$5)/$H$5)</f>
        <v>1.7251900234035029</v>
      </c>
      <c r="G370" s="96">
        <f>IF(D370="","",ABS(D370-$E$5)/SQRT(0.9*(IF(G369="",$F$5^2,(ABS(D369-$E$5)/MAX(G369,0.0000000001))^2))+0.1*(D370-$E$5)^2))</f>
        <v>1.691472164282813</v>
      </c>
      <c r="H370" s="96" t="str">
        <f>IF(E370="","",IF(E370&gt;$I$5,"OUTLIER",""))</f>
        <v/>
      </c>
      <c r="I370" s="96" t="str">
        <f>IF(F370="","",IF(F370&gt;$I$5,"OUTLIER",""))</f>
        <v/>
      </c>
      <c r="J370" s="96" t="str">
        <f>IF(G370="","",IF(G370&gt;$I$5,"OUTLIER",""))</f>
        <v/>
      </c>
      <c r="K370" s="96" t="str">
        <f>IF(C370="","MISSING","")</f>
        <v/>
      </c>
      <c r="L370" s="96" t="str">
        <f>IF(AND(C370&lt;&gt;"",C369&lt;&gt;"",C370=C369),"STALE","")</f>
        <v/>
      </c>
      <c r="M370" s="106">
        <f>IF(D370="","",ABS(D370-G$5))</f>
        <v>5.1590828100273357E-3</v>
      </c>
    </row>
    <row r="371" spans="2:13" ht="15.75" customHeight="1" x14ac:dyDescent="0.55000000000000004">
      <c r="B371" s="94">
        <v>44343</v>
      </c>
      <c r="C371" s="95">
        <v>1.2195</v>
      </c>
      <c r="D371" s="95">
        <f>IF(OR(C371="",C370=""),"",LN(C371/C370))</f>
        <v>1.2307693861326667E-3</v>
      </c>
      <c r="E371" s="95">
        <f>IF(D371="","",ABS(D371-$E$5)/$F$5)</f>
        <v>0.21663604313597862</v>
      </c>
      <c r="F371" s="96">
        <f>IF(D371="","",ABS(D371-$G$5)/$H$5)</f>
        <v>0.41156754877816737</v>
      </c>
      <c r="G371" s="96">
        <f>IF(D371="","",ABS(D371-$E$5)/SQRT(0.9*(IF(G370="",$F$5^2,(ABS(D370-$E$5)/MAX(G370,0.0000000001))^2))+0.1*(D371-$E$5)^2))</f>
        <v>0.3654091814370482</v>
      </c>
      <c r="H371" s="96" t="str">
        <f>IF(E371="","",IF(E371&gt;$I$5,"OUTLIER",""))</f>
        <v/>
      </c>
      <c r="I371" s="96" t="str">
        <f>IF(F371="","",IF(F371&gt;$I$5,"OUTLIER",""))</f>
        <v/>
      </c>
      <c r="J371" s="96" t="str">
        <f>IF(G371="","",IF(G371&gt;$I$5,"OUTLIER",""))</f>
        <v/>
      </c>
      <c r="K371" s="96" t="str">
        <f>IF(C371="","MISSING","")</f>
        <v/>
      </c>
      <c r="L371" s="96" t="str">
        <f>IF(AND(C371&lt;&gt;"",C370&lt;&gt;"",C371=C370),"STALE","")</f>
        <v/>
      </c>
      <c r="M371" s="106">
        <f>IF(D371="","",ABS(D371-G$5))</f>
        <v>1.2307693861326667E-3</v>
      </c>
    </row>
    <row r="372" spans="2:13" ht="15.75" customHeight="1" x14ac:dyDescent="0.55000000000000004">
      <c r="B372" s="94">
        <v>44344</v>
      </c>
      <c r="C372" s="95">
        <v>1.2192000000000001</v>
      </c>
      <c r="D372" s="95">
        <f>IF(OR(C372="",C371=""),"",LN(C372/C371))</f>
        <v>-2.4603272359314263E-4</v>
      </c>
      <c r="E372" s="95">
        <f>IF(D372="","",ABS(D372-$E$5)/$F$5)</f>
        <v>7.6097319587861229E-2</v>
      </c>
      <c r="F372" s="96">
        <f>IF(D372="","",ABS(D372-$G$5)/$H$5)</f>
        <v>8.2272996151312464E-2</v>
      </c>
      <c r="G372" s="96">
        <f>IF(D372="","",ABS(D372-$E$5)/SQRT(0.9*(IF(G371="",$F$5^2,(ABS(D371-$E$5)/MAX(G371,0.0000000001))^2))+0.1*(D372-$E$5)^2))</f>
        <v>0.13517603364505876</v>
      </c>
      <c r="H372" s="96" t="str">
        <f>IF(E372="","",IF(E372&gt;$I$5,"OUTLIER",""))</f>
        <v/>
      </c>
      <c r="I372" s="96" t="str">
        <f>IF(F372="","",IF(F372&gt;$I$5,"OUTLIER",""))</f>
        <v/>
      </c>
      <c r="J372" s="96" t="str">
        <f>IF(G372="","",IF(G372&gt;$I$5,"OUTLIER",""))</f>
        <v/>
      </c>
      <c r="K372" s="96" t="str">
        <f>IF(C372="","MISSING","")</f>
        <v/>
      </c>
      <c r="L372" s="96" t="str">
        <f>IF(AND(C372&lt;&gt;"",C371&lt;&gt;"",C372=C371),"STALE","")</f>
        <v/>
      </c>
      <c r="M372" s="106">
        <f>IF(D372="","",ABS(D372-G$5))</f>
        <v>2.4603272359314263E-4</v>
      </c>
    </row>
    <row r="373" spans="2:13" ht="15.75" customHeight="1" x14ac:dyDescent="0.55000000000000004">
      <c r="B373" s="94">
        <v>44348</v>
      </c>
      <c r="C373" s="95">
        <v>1.2218</v>
      </c>
      <c r="D373" s="95">
        <f>IF(OR(C373="",C372=""),"",LN(C373/C372))</f>
        <v>2.1302752832847022E-3</v>
      </c>
      <c r="E373" s="95">
        <f>IF(D373="","",ABS(D373-$E$5)/$F$5)</f>
        <v>0.39493710617558131</v>
      </c>
      <c r="F373" s="96">
        <f>IF(D373="","",ABS(D373-$G$5)/$H$5)</f>
        <v>0.71236105353508883</v>
      </c>
      <c r="G373" s="96">
        <f>IF(D373="","",ABS(D373-$E$5)/SQRT(0.9*(IF(G372="",$F$5^2,(ABS(D372-$E$5)/MAX(G372,0.0000000001))^2))+0.1*(D373-$E$5)^2))</f>
        <v>0.72007127840402863</v>
      </c>
      <c r="H373" s="96" t="str">
        <f>IF(E373="","",IF(E373&gt;$I$5,"OUTLIER",""))</f>
        <v/>
      </c>
      <c r="I373" s="96" t="str">
        <f>IF(F373="","",IF(F373&gt;$I$5,"OUTLIER",""))</f>
        <v/>
      </c>
      <c r="J373" s="96" t="str">
        <f>IF(G373="","",IF(G373&gt;$I$5,"OUTLIER",""))</f>
        <v/>
      </c>
      <c r="K373" s="96" t="str">
        <f>IF(C373="","MISSING","")</f>
        <v/>
      </c>
      <c r="L373" s="96" t="str">
        <f>IF(AND(C373&lt;&gt;"",C372&lt;&gt;"",C373=C372),"STALE","")</f>
        <v/>
      </c>
      <c r="M373" s="106">
        <f>IF(D373="","",ABS(D373-G$5))</f>
        <v>2.1302752832847022E-3</v>
      </c>
    </row>
    <row r="374" spans="2:13" ht="15.75" customHeight="1" x14ac:dyDescent="0.55000000000000004">
      <c r="B374" s="94">
        <v>44349</v>
      </c>
      <c r="C374" s="95">
        <v>1.2228000000000001</v>
      </c>
      <c r="D374" s="95">
        <f>IF(OR(C374="",C373=""),"",LN(C374/C373))</f>
        <v>8.1812980101307121E-4</v>
      </c>
      <c r="E374" s="95">
        <f>IF(D374="","",ABS(D374-$E$5)/$F$5)</f>
        <v>0.13484216394964915</v>
      </c>
      <c r="F374" s="96">
        <f>IF(D374="","",ABS(D374-$G$5)/$H$5)</f>
        <v>0.27358145285312158</v>
      </c>
      <c r="G374" s="96">
        <f>IF(D374="","",ABS(D374-$E$5)/SQRT(0.9*(IF(G373="",$F$5^2,(ABS(D373-$E$5)/MAX(G373,0.0000000001))^2))+0.1*(D374-$E$5)^2))</f>
        <v>0.25828461894058063</v>
      </c>
      <c r="H374" s="96" t="str">
        <f>IF(E374="","",IF(E374&gt;$I$5,"OUTLIER",""))</f>
        <v/>
      </c>
      <c r="I374" s="96" t="str">
        <f>IF(F374="","",IF(F374&gt;$I$5,"OUTLIER",""))</f>
        <v/>
      </c>
      <c r="J374" s="96" t="str">
        <f>IF(G374="","",IF(G374&gt;$I$5,"OUTLIER",""))</f>
        <v/>
      </c>
      <c r="K374" s="96" t="str">
        <f>IF(C374="","MISSING","")</f>
        <v/>
      </c>
      <c r="L374" s="96" t="str">
        <f>IF(AND(C374&lt;&gt;"",C373&lt;&gt;"",C374=C373),"STALE","")</f>
        <v/>
      </c>
      <c r="M374" s="106">
        <f>IF(D374="","",ABS(D374-G$5))</f>
        <v>8.1812980101307121E-4</v>
      </c>
    </row>
    <row r="375" spans="2:13" ht="15.75" customHeight="1" x14ac:dyDescent="0.55000000000000004">
      <c r="B375" s="94">
        <v>44350</v>
      </c>
      <c r="C375" s="95">
        <v>1.2098</v>
      </c>
      <c r="D375" s="95">
        <f>IF(OR(C375="",C374=""),"",LN(C375/C374))</f>
        <v>-1.0688254343865633E-2</v>
      </c>
      <c r="E375" s="95">
        <f>IF(D375="","",ABS(D375-$E$5)/$F$5)</f>
        <v>2.1459661456674017</v>
      </c>
      <c r="F375" s="96">
        <f>IF(D375="","",ABS(D375-$G$5)/$H$5)</f>
        <v>3.5741371946573661</v>
      </c>
      <c r="G375" s="96">
        <f>IF(D375="","",ABS(D375-$E$5)/SQRT(0.9*(IF(G374="",$F$5^2,(ABS(D374-$E$5)/MAX(G374,0.0000000001))^2))+0.1*(D375-$E$5)^2))</f>
        <v>2.5543294430421564</v>
      </c>
      <c r="H375" s="96" t="str">
        <f>IF(E375="","",IF(E375&gt;$I$5,"OUTLIER",""))</f>
        <v/>
      </c>
      <c r="I375" s="96" t="str">
        <f>IF(F375="","",IF(F375&gt;$I$5,"OUTLIER",""))</f>
        <v>OUTLIER</v>
      </c>
      <c r="J375" s="96" t="str">
        <f>IF(G375="","",IF(G375&gt;$I$5,"OUTLIER",""))</f>
        <v/>
      </c>
      <c r="K375" s="96" t="str">
        <f>IF(C375="","MISSING","")</f>
        <v/>
      </c>
      <c r="L375" s="96" t="str">
        <f>IF(AND(C375&lt;&gt;"",C374&lt;&gt;"",C375=C374),"STALE","")</f>
        <v/>
      </c>
      <c r="M375" s="106">
        <f>IF(D375="","",ABS(D375-G$5))</f>
        <v>1.0688254343865633E-2</v>
      </c>
    </row>
    <row r="376" spans="2:13" ht="15.75" customHeight="1" x14ac:dyDescent="0.55000000000000004">
      <c r="B376" s="94">
        <v>44351</v>
      </c>
      <c r="C376" s="95">
        <v>1.2116</v>
      </c>
      <c r="D376" s="95">
        <f>IF(OR(C376="",C375=""),"",LN(C376/C375))</f>
        <v>1.4867434802684539E-3</v>
      </c>
      <c r="E376" s="95">
        <f>IF(D376="","",ABS(D376-$E$5)/$F$5)</f>
        <v>0.26737551381595348</v>
      </c>
      <c r="F376" s="96">
        <f>IF(D376="","",ABS(D376-$G$5)/$H$5)</f>
        <v>0.49716492523324102</v>
      </c>
      <c r="G376" s="96">
        <f>IF(D376="","",ABS(D376-$E$5)/SQRT(0.9*(IF(G375="",$F$5^2,(ABS(D375-$E$5)/MAX(G375,0.0000000001))^2))+0.1*(D376-$E$5)^2))</f>
        <v>0.33359864927231597</v>
      </c>
      <c r="H376" s="96" t="str">
        <f>IF(E376="","",IF(E376&gt;$I$5,"OUTLIER",""))</f>
        <v/>
      </c>
      <c r="I376" s="96" t="str">
        <f>IF(F376="","",IF(F376&gt;$I$5,"OUTLIER",""))</f>
        <v/>
      </c>
      <c r="J376" s="96" t="str">
        <f>IF(G376="","",IF(G376&gt;$I$5,"OUTLIER",""))</f>
        <v/>
      </c>
      <c r="K376" s="96" t="str">
        <f>IF(C376="","MISSING","")</f>
        <v/>
      </c>
      <c r="L376" s="96" t="str">
        <f>IF(AND(C376&lt;&gt;"",C375&lt;&gt;"",C376=C375),"STALE","")</f>
        <v/>
      </c>
      <c r="M376" s="106">
        <f>IF(D376="","",ABS(D376-G$5))</f>
        <v>1.4867434802684539E-3</v>
      </c>
    </row>
    <row r="377" spans="2:13" ht="15.75" customHeight="1" x14ac:dyDescent="0.55000000000000004">
      <c r="B377" s="94">
        <v>44354</v>
      </c>
      <c r="C377" s="95">
        <v>1.2161999999999999</v>
      </c>
      <c r="D377" s="95">
        <f>IF(OR(C377="",C376=""),"",LN(C377/C376))</f>
        <v>3.7894435329271165E-3</v>
      </c>
      <c r="E377" s="95">
        <f>IF(D377="","",ABS(D377-$E$5)/$F$5)</f>
        <v>0.72381928872651746</v>
      </c>
      <c r="F377" s="96">
        <f>IF(D377="","",ABS(D377-$G$5)/$H$5)</f>
        <v>1.2671845787298277</v>
      </c>
      <c r="G377" s="96">
        <f>IF(D377="","",ABS(D377-$E$5)/SQRT(0.9*(IF(G376="",$F$5^2,(ABS(D376-$E$5)/MAX(G376,0.0000000001))^2))+0.1*(D377-$E$5)^2))</f>
        <v>0.91153817174576801</v>
      </c>
      <c r="H377" s="96" t="str">
        <f>IF(E377="","",IF(E377&gt;$I$5,"OUTLIER",""))</f>
        <v/>
      </c>
      <c r="I377" s="96" t="str">
        <f>IF(F377="","",IF(F377&gt;$I$5,"OUTLIER",""))</f>
        <v/>
      </c>
      <c r="J377" s="96" t="str">
        <f>IF(G377="","",IF(G377&gt;$I$5,"OUTLIER",""))</f>
        <v/>
      </c>
      <c r="K377" s="96" t="str">
        <f>IF(C377="","MISSING","")</f>
        <v/>
      </c>
      <c r="L377" s="96" t="str">
        <f>IF(AND(C377&lt;&gt;"",C376&lt;&gt;"",C377=C376),"STALE","")</f>
        <v/>
      </c>
      <c r="M377" s="106">
        <f>IF(D377="","",ABS(D377-G$5))</f>
        <v>3.7894435329271165E-3</v>
      </c>
    </row>
    <row r="378" spans="2:13" ht="15.75" customHeight="1" x14ac:dyDescent="0.55000000000000004">
      <c r="B378" s="94">
        <v>44355</v>
      </c>
      <c r="C378" s="95">
        <v>1.2166999999999999</v>
      </c>
      <c r="D378" s="95">
        <f>IF(OR(C378="",C377=""),"",LN(C378/C377))</f>
        <v>4.1103210739403917E-4</v>
      </c>
      <c r="E378" s="95">
        <f>IF(D378="","",ABS(D378-$E$5)/$F$5)</f>
        <v>5.4146804682899008E-2</v>
      </c>
      <c r="F378" s="96">
        <f>IF(D378="","",ABS(D378-$G$5)/$H$5)</f>
        <v>0.13744855763828229</v>
      </c>
      <c r="G378" s="96">
        <f>IF(D378="","",ABS(D378-$E$5)/SQRT(0.9*(IF(G377="",$F$5^2,(ABS(D377-$E$5)/MAX(G377,0.0000000001))^2))+0.1*(D378-$E$5)^2))</f>
        <v>7.1859489392673073E-2</v>
      </c>
      <c r="H378" s="96" t="str">
        <f>IF(E378="","",IF(E378&gt;$I$5,"OUTLIER",""))</f>
        <v/>
      </c>
      <c r="I378" s="96" t="str">
        <f>IF(F378="","",IF(F378&gt;$I$5,"OUTLIER",""))</f>
        <v/>
      </c>
      <c r="J378" s="96" t="str">
        <f>IF(G378="","",IF(G378&gt;$I$5,"OUTLIER",""))</f>
        <v/>
      </c>
      <c r="K378" s="96" t="str">
        <f>IF(C378="","MISSING","")</f>
        <v/>
      </c>
      <c r="L378" s="96" t="str">
        <f>IF(AND(C378&lt;&gt;"",C377&lt;&gt;"",C378=C377),"STALE","")</f>
        <v/>
      </c>
      <c r="M378" s="106">
        <f>IF(D378="","",ABS(D378-G$5))</f>
        <v>4.1103210739403917E-4</v>
      </c>
    </row>
    <row r="379" spans="2:13" ht="15.75" customHeight="1" x14ac:dyDescent="0.55000000000000004">
      <c r="B379" s="94">
        <v>44356</v>
      </c>
      <c r="C379" s="95">
        <v>1.2181</v>
      </c>
      <c r="D379" s="95">
        <f>IF(OR(C379="",C378=""),"",LN(C379/C378))</f>
        <v>1.1499919125098914E-3</v>
      </c>
      <c r="E379" s="95">
        <f>IF(D379="","",ABS(D379-$E$5)/$F$5)</f>
        <v>0.20062424214368346</v>
      </c>
      <c r="F379" s="96">
        <f>IF(D379="","",ABS(D379-$G$5)/$H$5)</f>
        <v>0.38455567540042385</v>
      </c>
      <c r="G379" s="96">
        <f>IF(D379="","",ABS(D379-$E$5)/SQRT(0.9*(IF(G378="",$F$5^2,(ABS(D378-$E$5)/MAX(G378,0.0000000001))^2))+0.1*(D379-$E$5)^2))</f>
        <v>0.27955659076578782</v>
      </c>
      <c r="H379" s="96" t="str">
        <f>IF(E379="","",IF(E379&gt;$I$5,"OUTLIER",""))</f>
        <v/>
      </c>
      <c r="I379" s="96" t="str">
        <f>IF(F379="","",IF(F379&gt;$I$5,"OUTLIER",""))</f>
        <v/>
      </c>
      <c r="J379" s="96" t="str">
        <f>IF(G379="","",IF(G379&gt;$I$5,"OUTLIER",""))</f>
        <v/>
      </c>
      <c r="K379" s="96" t="str">
        <f>IF(C379="","MISSING","")</f>
        <v/>
      </c>
      <c r="L379" s="96" t="str">
        <f>IF(AND(C379&lt;&gt;"",C378&lt;&gt;"",C379=C378),"STALE","")</f>
        <v/>
      </c>
      <c r="M379" s="106">
        <f>IF(D379="","",ABS(D379-G$5))</f>
        <v>1.1499919125098914E-3</v>
      </c>
    </row>
    <row r="380" spans="2:13" ht="15.75" customHeight="1" x14ac:dyDescent="0.55000000000000004">
      <c r="B380" s="94">
        <v>44357</v>
      </c>
      <c r="C380" s="95">
        <v>1.212</v>
      </c>
      <c r="D380" s="95">
        <f>IF(OR(C380="",C379=""),"",LN(C380/C379))</f>
        <v>-5.0203800766534957E-3</v>
      </c>
      <c r="E380" s="95">
        <f>IF(D380="","",ABS(D380-$E$5)/$F$5)</f>
        <v>1.0224737814501135</v>
      </c>
      <c r="F380" s="96">
        <f>IF(D380="","",ABS(D380-$G$5)/$H$5)</f>
        <v>1.6788080247718358</v>
      </c>
      <c r="G380" s="96">
        <f>IF(D380="","",ABS(D380-$E$5)/SQRT(0.9*(IF(G379="",$F$5^2,(ABS(D379-$E$5)/MAX(G379,0.0000000001))^2))+0.1*(D380-$E$5)^2))</f>
        <v>1.3566021507336588</v>
      </c>
      <c r="H380" s="96" t="str">
        <f>IF(E380="","",IF(E380&gt;$I$5,"OUTLIER",""))</f>
        <v/>
      </c>
      <c r="I380" s="96" t="str">
        <f>IF(F380="","",IF(F380&gt;$I$5,"OUTLIER",""))</f>
        <v/>
      </c>
      <c r="J380" s="96" t="str">
        <f>IF(G380="","",IF(G380&gt;$I$5,"OUTLIER",""))</f>
        <v/>
      </c>
      <c r="K380" s="96" t="str">
        <f>IF(C380="","MISSING","")</f>
        <v/>
      </c>
      <c r="L380" s="96" t="str">
        <f>IF(AND(C380&lt;&gt;"",C379&lt;&gt;"",C380=C379),"STALE","")</f>
        <v/>
      </c>
      <c r="M380" s="106">
        <f>IF(D380="","",ABS(D380-G$5))</f>
        <v>5.0203800766534957E-3</v>
      </c>
    </row>
    <row r="381" spans="2:13" ht="15.75" customHeight="1" x14ac:dyDescent="0.55000000000000004">
      <c r="B381" s="94">
        <v>44358</v>
      </c>
      <c r="C381" s="95">
        <v>1.2107000000000001</v>
      </c>
      <c r="D381" s="95">
        <f>IF(OR(C381="",C380=""),"",LN(C381/C380))</f>
        <v>-1.0731829155650686E-3</v>
      </c>
      <c r="E381" s="95">
        <f>IF(D381="","",ABS(D381-$E$5)/$F$5)</f>
        <v>0.24005595397697888</v>
      </c>
      <c r="F381" s="96">
        <f>IF(D381="","",ABS(D381-$G$5)/$H$5)</f>
        <v>0.35887085503287941</v>
      </c>
      <c r="G381" s="96">
        <f>IF(D381="","",ABS(D381-$E$5)/SQRT(0.9*(IF(G380="",$F$5^2,(ABS(D380-$E$5)/MAX(G380,0.0000000001))^2))+0.1*(D381-$E$5)^2))</f>
        <v>0.33385482432719882</v>
      </c>
      <c r="H381" s="96" t="str">
        <f>IF(E381="","",IF(E381&gt;$I$5,"OUTLIER",""))</f>
        <v/>
      </c>
      <c r="I381" s="96" t="str">
        <f>IF(F381="","",IF(F381&gt;$I$5,"OUTLIER",""))</f>
        <v/>
      </c>
      <c r="J381" s="96" t="str">
        <f>IF(G381="","",IF(G381&gt;$I$5,"OUTLIER",""))</f>
        <v/>
      </c>
      <c r="K381" s="96" t="str">
        <f>IF(C381="","MISSING","")</f>
        <v/>
      </c>
      <c r="L381" s="96" t="str">
        <f>IF(AND(C381&lt;&gt;"",C380&lt;&gt;"",C381=C380),"STALE","")</f>
        <v/>
      </c>
      <c r="M381" s="106">
        <f>IF(D381="","",ABS(D381-G$5))</f>
        <v>1.0731829155650686E-3</v>
      </c>
    </row>
    <row r="382" spans="2:13" ht="15.75" customHeight="1" x14ac:dyDescent="0.55000000000000004">
      <c r="B382" s="94">
        <v>44361</v>
      </c>
      <c r="C382" s="95">
        <v>1.2119</v>
      </c>
      <c r="D382" s="95">
        <f>IF(OR(C382="",C381=""),"",LN(C382/C381))</f>
        <v>9.9067126074694318E-4</v>
      </c>
      <c r="E382" s="95">
        <f>IF(D382="","",ABS(D382-$E$5)/$F$5)</f>
        <v>0.16904352470376807</v>
      </c>
      <c r="F382" s="96">
        <f>IF(D382="","",ABS(D382-$G$5)/$H$5)</f>
        <v>0.33127907390657702</v>
      </c>
      <c r="G382" s="96">
        <f>IF(D382="","",ABS(D382-$E$5)/SQRT(0.9*(IF(G381="",$F$5^2,(ABS(D381-$E$5)/MAX(G381,0.0000000001))^2))+0.1*(D382-$E$5)^2))</f>
        <v>0.24705464177126074</v>
      </c>
      <c r="H382" s="96" t="str">
        <f>IF(E382="","",IF(E382&gt;$I$5,"OUTLIER",""))</f>
        <v/>
      </c>
      <c r="I382" s="96" t="str">
        <f>IF(F382="","",IF(F382&gt;$I$5,"OUTLIER",""))</f>
        <v/>
      </c>
      <c r="J382" s="96" t="str">
        <f>IF(G382="","",IF(G382&gt;$I$5,"OUTLIER",""))</f>
        <v/>
      </c>
      <c r="K382" s="96" t="str">
        <f>IF(C382="","MISSING","")</f>
        <v/>
      </c>
      <c r="L382" s="96" t="str">
        <f>IF(AND(C382&lt;&gt;"",C381&lt;&gt;"",C382=C381),"STALE","")</f>
        <v/>
      </c>
      <c r="M382" s="106">
        <f>IF(D382="","",ABS(D382-G$5))</f>
        <v>9.9067126074694318E-4</v>
      </c>
    </row>
    <row r="383" spans="2:13" ht="15.75" customHeight="1" x14ac:dyDescent="0.55000000000000004">
      <c r="B383" s="94">
        <v>44362</v>
      </c>
      <c r="C383" s="95">
        <v>1.2070000000000001</v>
      </c>
      <c r="D383" s="95">
        <f>IF(OR(C383="",C382=""),"",LN(C383/C382))</f>
        <v>-4.0514338769101037E-3</v>
      </c>
      <c r="E383" s="95">
        <f>IF(D383="","",ABS(D383-$E$5)/$F$5)</f>
        <v>0.83040818411559247</v>
      </c>
      <c r="F383" s="96">
        <f>IF(D383="","",ABS(D383-$G$5)/$H$5)</f>
        <v>1.3547937806579329</v>
      </c>
      <c r="G383" s="96">
        <f>IF(D383="","",ABS(D383-$E$5)/SQRT(0.9*(IF(G382="",$F$5^2,(ABS(D382-$E$5)/MAX(G382,0.0000000001))^2))+0.1*(D383-$E$5)^2))</f>
        <v>1.1859126335672288</v>
      </c>
      <c r="H383" s="96" t="str">
        <f>IF(E383="","",IF(E383&gt;$I$5,"OUTLIER",""))</f>
        <v/>
      </c>
      <c r="I383" s="96" t="str">
        <f>IF(F383="","",IF(F383&gt;$I$5,"OUTLIER",""))</f>
        <v/>
      </c>
      <c r="J383" s="96" t="str">
        <f>IF(G383="","",IF(G383&gt;$I$5,"OUTLIER",""))</f>
        <v/>
      </c>
      <c r="K383" s="96" t="str">
        <f>IF(C383="","MISSING","")</f>
        <v/>
      </c>
      <c r="L383" s="96" t="str">
        <f>IF(AND(C383&lt;&gt;"",C382&lt;&gt;"",C383=C382),"STALE","")</f>
        <v/>
      </c>
      <c r="M383" s="106">
        <f>IF(D383="","",ABS(D383-G$5))</f>
        <v>4.0514338769101037E-3</v>
      </c>
    </row>
    <row r="384" spans="2:13" ht="15.75" customHeight="1" x14ac:dyDescent="0.55000000000000004">
      <c r="B384" s="94">
        <v>44363</v>
      </c>
      <c r="C384" s="95">
        <v>1.1998</v>
      </c>
      <c r="D384" s="95">
        <f>IF(OR(C384="",C383=""),"",LN(C384/C383))</f>
        <v>-5.9830658785389049E-3</v>
      </c>
      <c r="E384" s="95">
        <f>IF(D384="","",ABS(D384-$E$5)/$F$5)</f>
        <v>1.2132984357328287</v>
      </c>
      <c r="F384" s="96">
        <f>IF(D384="","",ABS(D384-$G$5)/$H$5)</f>
        <v>2.0007288006618644</v>
      </c>
      <c r="G384" s="96">
        <f>IF(D384="","",ABS(D384-$E$5)/SQRT(0.9*(IF(G383="",$F$5^2,(ABS(D383-$E$5)/MAX(G383,0.0000000001))^2))+0.1*(D384-$E$5)^2))</f>
        <v>1.5815978140395761</v>
      </c>
      <c r="H384" s="96" t="str">
        <f>IF(E384="","",IF(E384&gt;$I$5,"OUTLIER",""))</f>
        <v/>
      </c>
      <c r="I384" s="96" t="str">
        <f>IF(F384="","",IF(F384&gt;$I$5,"OUTLIER",""))</f>
        <v/>
      </c>
      <c r="J384" s="96" t="str">
        <f>IF(G384="","",IF(G384&gt;$I$5,"OUTLIER",""))</f>
        <v/>
      </c>
      <c r="K384" s="96" t="str">
        <f>IF(C384="","MISSING","")</f>
        <v/>
      </c>
      <c r="L384" s="96" t="str">
        <f>IF(AND(C384&lt;&gt;"",C383&lt;&gt;"",C384=C383),"STALE","")</f>
        <v/>
      </c>
      <c r="M384" s="106">
        <f>IF(D384="","",ABS(D384-G$5))</f>
        <v>5.9830658785389049E-3</v>
      </c>
    </row>
    <row r="385" spans="2:13" ht="15.75" customHeight="1" x14ac:dyDescent="0.55000000000000004">
      <c r="B385" s="94">
        <v>44364</v>
      </c>
      <c r="C385" s="95">
        <v>1.1929000000000001</v>
      </c>
      <c r="D385" s="95">
        <f>IF(OR(C385="",C384=""),"",LN(C385/C384))</f>
        <v>-5.7675589310924478E-3</v>
      </c>
      <c r="E385" s="95">
        <f>IF(D385="","",ABS(D385-$E$5)/$F$5)</f>
        <v>1.170580408042535</v>
      </c>
      <c r="F385" s="96">
        <f>IF(D385="","",ABS(D385-$G$5)/$H$5)</f>
        <v>1.9286635810483803</v>
      </c>
      <c r="G385" s="96">
        <f>IF(D385="","",ABS(D385-$E$5)/SQRT(0.9*(IF(G384="",$F$5^2,(ABS(D384-$E$5)/MAX(G384,0.0000000001))^2))+0.1*(D385-$E$5)^2))</f>
        <v>1.4336568104281553</v>
      </c>
      <c r="H385" s="96" t="str">
        <f>IF(E385="","",IF(E385&gt;$I$5,"OUTLIER",""))</f>
        <v/>
      </c>
      <c r="I385" s="96" t="str">
        <f>IF(F385="","",IF(F385&gt;$I$5,"OUTLIER",""))</f>
        <v/>
      </c>
      <c r="J385" s="96" t="str">
        <f>IF(G385="","",IF(G385&gt;$I$5,"OUTLIER",""))</f>
        <v/>
      </c>
      <c r="K385" s="96" t="str">
        <f>IF(C385="","MISSING","")</f>
        <v/>
      </c>
      <c r="L385" s="96" t="str">
        <f>IF(AND(C385&lt;&gt;"",C384&lt;&gt;"",C385=C384),"STALE","")</f>
        <v/>
      </c>
      <c r="M385" s="106">
        <f>IF(D385="","",ABS(D385-G$5))</f>
        <v>5.7675589310924478E-3</v>
      </c>
    </row>
    <row r="386" spans="2:13" ht="15.75" customHeight="1" x14ac:dyDescent="0.55000000000000004">
      <c r="B386" s="94">
        <v>44365</v>
      </c>
      <c r="C386" s="95">
        <v>1.1911</v>
      </c>
      <c r="D386" s="95">
        <f>IF(OR(C386="",C385=""),"",LN(C386/C385))</f>
        <v>-1.5100674010449637E-3</v>
      </c>
      <c r="E386" s="95">
        <f>IF(D386="","",ABS(D386-$E$5)/$F$5)</f>
        <v>0.32665568437697751</v>
      </c>
      <c r="F386" s="96">
        <f>IF(D386="","",ABS(D386-$G$5)/$H$5)</f>
        <v>0.50496441148147109</v>
      </c>
      <c r="G386" s="96">
        <f>IF(D386="","",ABS(D386-$E$5)/SQRT(0.9*(IF(G385="",$F$5^2,(ABS(D385-$E$5)/MAX(G385,0.0000000001))^2))+0.1*(D386-$E$5)^2))</f>
        <v>0.41800852436742225</v>
      </c>
      <c r="H386" s="96" t="str">
        <f>IF(E386="","",IF(E386&gt;$I$5,"OUTLIER",""))</f>
        <v/>
      </c>
      <c r="I386" s="96" t="str">
        <f>IF(F386="","",IF(F386&gt;$I$5,"OUTLIER",""))</f>
        <v/>
      </c>
      <c r="J386" s="96" t="str">
        <f>IF(G386="","",IF(G386&gt;$I$5,"OUTLIER",""))</f>
        <v/>
      </c>
      <c r="K386" s="96" t="str">
        <f>IF(C386="","MISSING","")</f>
        <v/>
      </c>
      <c r="L386" s="96" t="str">
        <f>IF(AND(C386&lt;&gt;"",C385&lt;&gt;"",C386=C385),"STALE","")</f>
        <v/>
      </c>
      <c r="M386" s="106">
        <f>IF(D386="","",ABS(D386-G$5))</f>
        <v>1.5100674010449637E-3</v>
      </c>
    </row>
    <row r="387" spans="2:13" ht="15.75" customHeight="1" x14ac:dyDescent="0.55000000000000004">
      <c r="B387" s="94">
        <v>44368</v>
      </c>
      <c r="C387" s="95">
        <v>1.1862999999999999</v>
      </c>
      <c r="D387" s="95">
        <f>IF(OR(C387="",C386=""),"",LN(C387/C386))</f>
        <v>-4.0380302197977171E-3</v>
      </c>
      <c r="E387" s="95">
        <f>IF(D387="","",ABS(D387-$E$5)/$F$5)</f>
        <v>0.82775129624045596</v>
      </c>
      <c r="F387" s="96">
        <f>IF(D387="","",ABS(D387-$G$5)/$H$5)</f>
        <v>1.3503116166030225</v>
      </c>
      <c r="G387" s="96">
        <f>IF(D387="","",ABS(D387-$E$5)/SQRT(0.9*(IF(G386="",$F$5^2,(ABS(D386-$E$5)/MAX(G386,0.0000000001))^2))+0.1*(D387-$E$5)^2))</f>
        <v>1.0528386100998512</v>
      </c>
      <c r="H387" s="96" t="str">
        <f>IF(E387="","",IF(E387&gt;$I$5,"OUTLIER",""))</f>
        <v/>
      </c>
      <c r="I387" s="96" t="str">
        <f>IF(F387="","",IF(F387&gt;$I$5,"OUTLIER",""))</f>
        <v/>
      </c>
      <c r="J387" s="96" t="str">
        <f>IF(G387="","",IF(G387&gt;$I$5,"OUTLIER",""))</f>
        <v/>
      </c>
      <c r="K387" s="96" t="str">
        <f>IF(C387="","MISSING","")</f>
        <v/>
      </c>
      <c r="L387" s="96" t="str">
        <f>IF(AND(C387&lt;&gt;"",C386&lt;&gt;"",C387=C386),"STALE","")</f>
        <v/>
      </c>
      <c r="M387" s="106">
        <f>IF(D387="","",ABS(D387-G$5))</f>
        <v>4.0380302197977171E-3</v>
      </c>
    </row>
    <row r="388" spans="2:13" ht="15.75" customHeight="1" x14ac:dyDescent="0.55000000000000004">
      <c r="B388" s="94">
        <v>44369</v>
      </c>
      <c r="C388" s="95">
        <v>1.1943999999999999</v>
      </c>
      <c r="D388" s="95">
        <f>IF(OR(C388="",C387=""),"",LN(C388/C387))</f>
        <v>6.8047475579229985E-3</v>
      </c>
      <c r="E388" s="95">
        <f>IF(D388="","",ABS(D388-$E$5)/$F$5)</f>
        <v>1.3215162185038301</v>
      </c>
      <c r="F388" s="96">
        <f>IF(D388="","",ABS(D388-$G$5)/$H$5)</f>
        <v>2.275497996638264</v>
      </c>
      <c r="G388" s="96">
        <f>IF(D388="","",ABS(D388-$E$5)/SQRT(0.9*(IF(G387="",$F$5^2,(ABS(D387-$E$5)/MAX(G387,0.0000000001))^2))+0.1*(D388-$E$5)^2))</f>
        <v>1.5457093523146315</v>
      </c>
      <c r="H388" s="96" t="str">
        <f>IF(E388="","",IF(E388&gt;$I$5,"OUTLIER",""))</f>
        <v/>
      </c>
      <c r="I388" s="96" t="str">
        <f>IF(F388="","",IF(F388&gt;$I$5,"OUTLIER",""))</f>
        <v/>
      </c>
      <c r="J388" s="96" t="str">
        <f>IF(G388="","",IF(G388&gt;$I$5,"OUTLIER",""))</f>
        <v/>
      </c>
      <c r="K388" s="96" t="str">
        <f>IF(C388="","MISSING","")</f>
        <v/>
      </c>
      <c r="L388" s="96" t="str">
        <f>IF(AND(C388&lt;&gt;"",C387&lt;&gt;"",C388=C387),"STALE","")</f>
        <v/>
      </c>
      <c r="M388" s="106">
        <f>IF(D388="","",ABS(D388-G$5))</f>
        <v>6.8047475579229985E-3</v>
      </c>
    </row>
    <row r="389" spans="2:13" ht="15.75" customHeight="1" x14ac:dyDescent="0.55000000000000004">
      <c r="B389" s="94">
        <v>44370</v>
      </c>
      <c r="C389" s="95">
        <v>1.1942999999999999</v>
      </c>
      <c r="D389" s="95">
        <f>IF(OR(C389="",C388=""),"",LN(C389/C388))</f>
        <v>-8.3727550599448447E-5</v>
      </c>
      <c r="E389" s="95">
        <f>IF(D389="","",ABS(D389-$E$5)/$F$5)</f>
        <v>4.3925007018007167E-2</v>
      </c>
      <c r="F389" s="96">
        <f>IF(D389="","",ABS(D389-$G$5)/$H$5)</f>
        <v>2.7998374962586631E-2</v>
      </c>
      <c r="G389" s="96">
        <f>IF(D389="","",ABS(D389-$E$5)/SQRT(0.9*(IF(G388="",$F$5^2,(ABS(D388-$E$5)/MAX(G388,0.0000000001))^2))+0.1*(D389-$E$5)^2))</f>
        <v>5.4147978155997159E-2</v>
      </c>
      <c r="H389" s="96" t="str">
        <f>IF(E389="","",IF(E389&gt;$I$5,"OUTLIER",""))</f>
        <v/>
      </c>
      <c r="I389" s="96" t="str">
        <f>IF(F389="","",IF(F389&gt;$I$5,"OUTLIER",""))</f>
        <v/>
      </c>
      <c r="J389" s="96" t="str">
        <f>IF(G389="","",IF(G389&gt;$I$5,"OUTLIER",""))</f>
        <v/>
      </c>
      <c r="K389" s="96" t="str">
        <f>IF(C389="","MISSING","")</f>
        <v/>
      </c>
      <c r="L389" s="96" t="str">
        <f>IF(AND(C389&lt;&gt;"",C388&lt;&gt;"",C389=C388),"STALE","")</f>
        <v/>
      </c>
      <c r="M389" s="106">
        <f>IF(D389="","",ABS(D389-G$5))</f>
        <v>8.3727550599448447E-5</v>
      </c>
    </row>
    <row r="390" spans="2:13" ht="15.75" customHeight="1" x14ac:dyDescent="0.55000000000000004">
      <c r="B390" s="94">
        <v>44371</v>
      </c>
      <c r="C390" s="95">
        <v>1.1966000000000001</v>
      </c>
      <c r="D390" s="95">
        <f>IF(OR(C390="",C389=""),"",LN(C390/C389))</f>
        <v>1.9239622815502995E-3</v>
      </c>
      <c r="E390" s="95">
        <f>IF(D390="","",ABS(D390-$E$5)/$F$5)</f>
        <v>0.35404151266740691</v>
      </c>
      <c r="F390" s="96">
        <f>IF(D390="","",ABS(D390-$G$5)/$H$5)</f>
        <v>0.64337027641501088</v>
      </c>
      <c r="G390" s="96">
        <f>IF(D390="","",ABS(D390-$E$5)/SQRT(0.9*(IF(G389="",$F$5^2,(ABS(D389-$E$5)/MAX(G389,0.0000000001))^2))+0.1*(D390-$E$5)^2))</f>
        <v>0.45525581106240415</v>
      </c>
      <c r="H390" s="96" t="str">
        <f>IF(E390="","",IF(E390&gt;$I$5,"OUTLIER",""))</f>
        <v/>
      </c>
      <c r="I390" s="96" t="str">
        <f>IF(F390="","",IF(F390&gt;$I$5,"OUTLIER",""))</f>
        <v/>
      </c>
      <c r="J390" s="96" t="str">
        <f>IF(G390="","",IF(G390&gt;$I$5,"OUTLIER",""))</f>
        <v/>
      </c>
      <c r="K390" s="96" t="str">
        <f>IF(C390="","MISSING","")</f>
        <v/>
      </c>
      <c r="L390" s="96" t="str">
        <f>IF(AND(C390&lt;&gt;"",C389&lt;&gt;"",C390=C389),"STALE","")</f>
        <v/>
      </c>
      <c r="M390" s="106">
        <f>IF(D390="","",ABS(D390-G$5))</f>
        <v>1.9239622815502995E-3</v>
      </c>
    </row>
    <row r="391" spans="2:13" ht="15.75" customHeight="1" x14ac:dyDescent="0.55000000000000004">
      <c r="B391" s="94">
        <v>44372</v>
      </c>
      <c r="C391" s="95">
        <v>1.194</v>
      </c>
      <c r="D391" s="95">
        <f>IF(OR(C391="",C390=""),"",LN(C391/C390))</f>
        <v>-2.1751870033841496E-3</v>
      </c>
      <c r="E391" s="95">
        <f>IF(D391="","",ABS(D391-$E$5)/$F$5)</f>
        <v>0.45849643441656307</v>
      </c>
      <c r="F391" s="96">
        <f>IF(D391="","",ABS(D391-$G$5)/$H$5)</f>
        <v>0.72737946946337406</v>
      </c>
      <c r="G391" s="96">
        <f>IF(D391="","",ABS(D391-$E$5)/SQRT(0.9*(IF(G390="",$F$5^2,(ABS(D390-$E$5)/MAX(G390,0.0000000001))^2))+0.1*(D391-$E$5)^2))</f>
        <v>0.60979984572192503</v>
      </c>
      <c r="H391" s="96" t="str">
        <f>IF(E391="","",IF(E391&gt;$I$5,"OUTLIER",""))</f>
        <v/>
      </c>
      <c r="I391" s="96" t="str">
        <f>IF(F391="","",IF(F391&gt;$I$5,"OUTLIER",""))</f>
        <v/>
      </c>
      <c r="J391" s="96" t="str">
        <f>IF(G391="","",IF(G391&gt;$I$5,"OUTLIER",""))</f>
        <v/>
      </c>
      <c r="K391" s="96" t="str">
        <f>IF(C391="","MISSING","")</f>
        <v/>
      </c>
      <c r="L391" s="96" t="str">
        <f>IF(AND(C391&lt;&gt;"",C390&lt;&gt;"",C391=C390),"STALE","")</f>
        <v/>
      </c>
      <c r="M391" s="106">
        <f>IF(D391="","",ABS(D391-G$5))</f>
        <v>2.1751870033841496E-3</v>
      </c>
    </row>
    <row r="392" spans="2:13" ht="15.75" customHeight="1" x14ac:dyDescent="0.55000000000000004">
      <c r="B392" s="94">
        <v>44375</v>
      </c>
      <c r="C392" s="95">
        <v>1.1909000000000001</v>
      </c>
      <c r="D392" s="95">
        <f>IF(OR(C392="",C391=""),"",LN(C392/C391))</f>
        <v>-2.5996911785971691E-3</v>
      </c>
      <c r="E392" s="95">
        <f>IF(D392="","",ABS(D392-$E$5)/$F$5)</f>
        <v>0.54264212589549066</v>
      </c>
      <c r="F392" s="96">
        <f>IF(D392="","",ABS(D392-$G$5)/$H$5)</f>
        <v>0.86933306760047269</v>
      </c>
      <c r="G392" s="96">
        <f>IF(D392="","",ABS(D392-$E$5)/SQRT(0.9*(IF(G391="",$F$5^2,(ABS(D391-$E$5)/MAX(G391,0.0000000001))^2))+0.1*(D392-$E$5)^2))</f>
        <v>0.73965044944115144</v>
      </c>
      <c r="H392" s="96" t="str">
        <f>IF(E392="","",IF(E392&gt;$I$5,"OUTLIER",""))</f>
        <v/>
      </c>
      <c r="I392" s="96" t="str">
        <f>IF(F392="","",IF(F392&gt;$I$5,"OUTLIER",""))</f>
        <v/>
      </c>
      <c r="J392" s="96" t="str">
        <f>IF(G392="","",IF(G392&gt;$I$5,"OUTLIER",""))</f>
        <v/>
      </c>
      <c r="K392" s="96" t="str">
        <f>IF(C392="","MISSING","")</f>
        <v/>
      </c>
      <c r="L392" s="96" t="str">
        <f>IF(AND(C392&lt;&gt;"",C391&lt;&gt;"",C392=C391),"STALE","")</f>
        <v/>
      </c>
      <c r="M392" s="106">
        <f>IF(D392="","",ABS(D392-G$5))</f>
        <v>2.5996911785971691E-3</v>
      </c>
    </row>
    <row r="393" spans="2:13" ht="15.75" customHeight="1" x14ac:dyDescent="0.55000000000000004">
      <c r="B393" s="94">
        <v>44376</v>
      </c>
      <c r="C393" s="95">
        <v>1.1955</v>
      </c>
      <c r="D393" s="95">
        <f>IF(OR(C393="",C392=""),"",LN(C393/C392))</f>
        <v>3.8551841244292362E-3</v>
      </c>
      <c r="E393" s="95">
        <f>IF(D393="","",ABS(D393-$E$5)/$F$5)</f>
        <v>0.73685046215939054</v>
      </c>
      <c r="F393" s="96">
        <f>IF(D393="","",ABS(D393-$G$5)/$H$5)</f>
        <v>1.2891681399108317</v>
      </c>
      <c r="G393" s="96">
        <f>IF(D393="","",ABS(D393-$E$5)/SQRT(0.9*(IF(G392="",$F$5^2,(ABS(D392-$E$5)/MAX(G392,0.0000000001))^2))+0.1*(D393-$E$5)^2))</f>
        <v>1.0039276100396621</v>
      </c>
      <c r="H393" s="96" t="str">
        <f>IF(E393="","",IF(E393&gt;$I$5,"OUTLIER",""))</f>
        <v/>
      </c>
      <c r="I393" s="96" t="str">
        <f>IF(F393="","",IF(F393&gt;$I$5,"OUTLIER",""))</f>
        <v/>
      </c>
      <c r="J393" s="96" t="str">
        <f>IF(G393="","",IF(G393&gt;$I$5,"OUTLIER",""))</f>
        <v/>
      </c>
      <c r="K393" s="96" t="str">
        <f>IF(C393="","MISSING","")</f>
        <v/>
      </c>
      <c r="L393" s="96" t="str">
        <f>IF(AND(C393&lt;&gt;"",C392&lt;&gt;"",C393=C392),"STALE","")</f>
        <v/>
      </c>
      <c r="M393" s="106">
        <f>IF(D393="","",ABS(D393-G$5))</f>
        <v>3.8551841244292362E-3</v>
      </c>
    </row>
    <row r="394" spans="2:13" ht="15.75" customHeight="1" x14ac:dyDescent="0.55000000000000004">
      <c r="B394" s="94">
        <v>44377</v>
      </c>
      <c r="C394" s="95">
        <v>1.1839</v>
      </c>
      <c r="D394" s="95">
        <f>IF(OR(C394="",C393=""),"",LN(C394/C393))</f>
        <v>-9.7504344807889474E-3</v>
      </c>
      <c r="E394" s="95">
        <f>IF(D394="","",ABS(D394-$E$5)/$F$5)</f>
        <v>1.960070445532859</v>
      </c>
      <c r="F394" s="96">
        <f>IF(D394="","",ABS(D394-$G$5)/$H$5)</f>
        <v>3.2605315536730988</v>
      </c>
      <c r="G394" s="96">
        <f>IF(D394="","",ABS(D394-$E$5)/SQRT(0.9*(IF(G393="",$F$5^2,(ABS(D393-$E$5)/MAX(G393,0.0000000001))^2))+0.1*(D394-$E$5)^2))</f>
        <v>2.1025941521772218</v>
      </c>
      <c r="H394" s="96" t="str">
        <f>IF(E394="","",IF(E394&gt;$I$5,"OUTLIER",""))</f>
        <v/>
      </c>
      <c r="I394" s="96" t="str">
        <f>IF(F394="","",IF(F394&gt;$I$5,"OUTLIER",""))</f>
        <v>OUTLIER</v>
      </c>
      <c r="J394" s="96" t="str">
        <f>IF(G394="","",IF(G394&gt;$I$5,"OUTLIER",""))</f>
        <v/>
      </c>
      <c r="K394" s="96" t="str">
        <f>IF(C394="","MISSING","")</f>
        <v/>
      </c>
      <c r="L394" s="96" t="str">
        <f>IF(AND(C394&lt;&gt;"",C393&lt;&gt;"",C394=C393),"STALE","")</f>
        <v/>
      </c>
      <c r="M394" s="106">
        <f>IF(D394="","",ABS(D394-G$5))</f>
        <v>9.7504344807889474E-3</v>
      </c>
    </row>
    <row r="395" spans="2:13" ht="15.75" customHeight="1" x14ac:dyDescent="0.55000000000000004">
      <c r="B395" s="94">
        <v>44378</v>
      </c>
      <c r="C395" s="95">
        <v>1.1859</v>
      </c>
      <c r="D395" s="95">
        <f>IF(OR(C395="",C394=""),"",LN(C395/C394))</f>
        <v>1.6879065531589504E-3</v>
      </c>
      <c r="E395" s="95">
        <f>IF(D395="","",ABS(D395-$E$5)/$F$5)</f>
        <v>0.30725028267989368</v>
      </c>
      <c r="F395" s="96">
        <f>IF(D395="","",ABS(D395-$G$5)/$H$5)</f>
        <v>0.56443357340328992</v>
      </c>
      <c r="G395" s="96">
        <f>IF(D395="","",ABS(D395-$E$5)/SQRT(0.9*(IF(G394="",$F$5^2,(ABS(D394-$E$5)/MAX(G394,0.0000000001))^2))+0.1*(D395-$E$5)^2))</f>
        <v>0.34534209436023289</v>
      </c>
      <c r="H395" s="96" t="str">
        <f>IF(E395="","",IF(E395&gt;$I$5,"OUTLIER",""))</f>
        <v/>
      </c>
      <c r="I395" s="96" t="str">
        <f>IF(F395="","",IF(F395&gt;$I$5,"OUTLIER",""))</f>
        <v/>
      </c>
      <c r="J395" s="96" t="str">
        <f>IF(G395="","",IF(G395&gt;$I$5,"OUTLIER",""))</f>
        <v/>
      </c>
      <c r="K395" s="96" t="str">
        <f>IF(C395="","MISSING","")</f>
        <v/>
      </c>
      <c r="L395" s="96" t="str">
        <f>IF(AND(C395&lt;&gt;"",C394&lt;&gt;"",C395=C394),"STALE","")</f>
        <v/>
      </c>
      <c r="M395" s="106">
        <f>IF(D395="","",ABS(D395-G$5))</f>
        <v>1.6879065531589504E-3</v>
      </c>
    </row>
    <row r="396" spans="2:13" ht="15.75" customHeight="1" x14ac:dyDescent="0.55000000000000004">
      <c r="B396" s="94">
        <v>44379</v>
      </c>
      <c r="C396" s="95">
        <v>1.1861999999999999</v>
      </c>
      <c r="D396" s="95">
        <f>IF(OR(C396="",C395=""),"",LN(C396/C395))</f>
        <v>2.5294043387678194E-4</v>
      </c>
      <c r="E396" s="95">
        <f>IF(D396="","",ABS(D396-$E$5)/$F$5)</f>
        <v>2.2809696682736098E-2</v>
      </c>
      <c r="F396" s="96">
        <f>IF(D396="","",ABS(D396-$G$5)/$H$5)</f>
        <v>8.4582924738373311E-2</v>
      </c>
      <c r="G396" s="96">
        <f>IF(D396="","",ABS(D396-$E$5)/SQRT(0.9*(IF(G395="",$F$5^2,(ABS(D395-$E$5)/MAX(G395,0.0000000001))^2))+0.1*(D396-$E$5)^2))</f>
        <v>2.7023377294660041E-2</v>
      </c>
      <c r="H396" s="96" t="str">
        <f>IF(E396="","",IF(E396&gt;$I$5,"OUTLIER",""))</f>
        <v/>
      </c>
      <c r="I396" s="96" t="str">
        <f>IF(F396="","",IF(F396&gt;$I$5,"OUTLIER",""))</f>
        <v/>
      </c>
      <c r="J396" s="96" t="str">
        <f>IF(G396="","",IF(G396&gt;$I$5,"OUTLIER",""))</f>
        <v/>
      </c>
      <c r="K396" s="96" t="str">
        <f>IF(C396="","MISSING","")</f>
        <v/>
      </c>
      <c r="L396" s="96" t="str">
        <f>IF(AND(C396&lt;&gt;"",C395&lt;&gt;"",C396=C395),"STALE","")</f>
        <v/>
      </c>
      <c r="M396" s="106">
        <f>IF(D396="","",ABS(D396-G$5))</f>
        <v>2.5294043387678194E-4</v>
      </c>
    </row>
    <row r="397" spans="2:13" ht="15.75" customHeight="1" x14ac:dyDescent="0.55000000000000004">
      <c r="B397" s="94">
        <v>44383</v>
      </c>
      <c r="C397" s="95">
        <v>1.1845000000000001</v>
      </c>
      <c r="D397" s="95">
        <f>IF(OR(C397="",C396=""),"",LN(C397/C396))</f>
        <v>-1.4341758057858636E-3</v>
      </c>
      <c r="E397" s="95">
        <f>IF(D397="","",ABS(D397-$E$5)/$F$5)</f>
        <v>0.31161236764796924</v>
      </c>
      <c r="F397" s="96">
        <f>IF(D397="","",ABS(D397-$G$5)/$H$5)</f>
        <v>0.47958636894516948</v>
      </c>
      <c r="G397" s="96">
        <f>IF(D397="","",ABS(D397-$E$5)/SQRT(0.9*(IF(G396="",$F$5^2,(ABS(D396-$E$5)/MAX(G396,0.0000000001))^2))+0.1*(D397-$E$5)^2))</f>
        <v>0.38623339427795622</v>
      </c>
      <c r="H397" s="96" t="str">
        <f>IF(E397="","",IF(E397&gt;$I$5,"OUTLIER",""))</f>
        <v/>
      </c>
      <c r="I397" s="96" t="str">
        <f>IF(F397="","",IF(F397&gt;$I$5,"OUTLIER",""))</f>
        <v/>
      </c>
      <c r="J397" s="96" t="str">
        <f>IF(G397="","",IF(G397&gt;$I$5,"OUTLIER",""))</f>
        <v/>
      </c>
      <c r="K397" s="96" t="str">
        <f>IF(C397="","MISSING","")</f>
        <v/>
      </c>
      <c r="L397" s="96" t="str">
        <f>IF(AND(C397&lt;&gt;"",C396&lt;&gt;"",C397=C396),"STALE","")</f>
        <v/>
      </c>
      <c r="M397" s="106">
        <f>IF(D397="","",ABS(D397-G$5))</f>
        <v>1.4341758057858636E-3</v>
      </c>
    </row>
    <row r="398" spans="2:13" ht="15.75" customHeight="1" x14ac:dyDescent="0.55000000000000004">
      <c r="B398" s="94">
        <v>44384</v>
      </c>
      <c r="C398" s="95">
        <v>1.1832</v>
      </c>
      <c r="D398" s="95">
        <f>IF(OR(C398="",C397=""),"",LN(C398/C397))</f>
        <v>-1.0981122022501589E-3</v>
      </c>
      <c r="E398" s="95">
        <f>IF(D398="","",ABS(D398-$E$5)/$F$5)</f>
        <v>0.24499746501191913</v>
      </c>
      <c r="F398" s="96">
        <f>IF(D398="","",ABS(D398-$G$5)/$H$5)</f>
        <v>0.36720717337925152</v>
      </c>
      <c r="G398" s="96">
        <f>IF(D398="","",ABS(D398-$E$5)/SQRT(0.9*(IF(G397="",$F$5^2,(ABS(D397-$E$5)/MAX(G397,0.0000000001))^2))+0.1*(D398-$E$5)^2))</f>
        <v>0.31846515310032036</v>
      </c>
      <c r="H398" s="96" t="str">
        <f>IF(E398="","",IF(E398&gt;$I$5,"OUTLIER",""))</f>
        <v/>
      </c>
      <c r="I398" s="96" t="str">
        <f>IF(F398="","",IF(F398&gt;$I$5,"OUTLIER",""))</f>
        <v/>
      </c>
      <c r="J398" s="96" t="str">
        <f>IF(G398="","",IF(G398&gt;$I$5,"OUTLIER",""))</f>
        <v/>
      </c>
      <c r="K398" s="96" t="str">
        <f>IF(C398="","MISSING","")</f>
        <v/>
      </c>
      <c r="L398" s="96" t="str">
        <f>IF(AND(C398&lt;&gt;"",C397&lt;&gt;"",C398=C397),"STALE","")</f>
        <v/>
      </c>
      <c r="M398" s="106">
        <f>IF(D398="","",ABS(D398-G$5))</f>
        <v>1.0981122022501589E-3</v>
      </c>
    </row>
    <row r="399" spans="2:13" ht="15.75" customHeight="1" x14ac:dyDescent="0.55000000000000004">
      <c r="B399" s="94">
        <v>44385</v>
      </c>
      <c r="C399" s="95">
        <v>1.1827000000000001</v>
      </c>
      <c r="D399" s="95">
        <f>IF(OR(C399="",C398=""),"",LN(C399/C398))</f>
        <v>-4.2267213951877085E-4</v>
      </c>
      <c r="E399" s="95">
        <f>IF(D399="","",ABS(D399-$E$5)/$F$5)</f>
        <v>0.11111098179280254</v>
      </c>
      <c r="F399" s="96">
        <f>IF(D399="","",ABS(D399-$G$5)/$H$5)</f>
        <v>0.14134096798196835</v>
      </c>
      <c r="G399" s="96">
        <f>IF(D399="","",ABS(D399-$E$5)/SQRT(0.9*(IF(G398="",$F$5^2,(ABS(D398-$E$5)/MAX(G398,0.0000000001))^2))+0.1*(D399-$E$5)^2))</f>
        <v>0.15206642665137396</v>
      </c>
      <c r="H399" s="96" t="str">
        <f>IF(E399="","",IF(E399&gt;$I$5,"OUTLIER",""))</f>
        <v/>
      </c>
      <c r="I399" s="96" t="str">
        <f>IF(F399="","",IF(F399&gt;$I$5,"OUTLIER",""))</f>
        <v/>
      </c>
      <c r="J399" s="96" t="str">
        <f>IF(G399="","",IF(G399&gt;$I$5,"OUTLIER",""))</f>
        <v/>
      </c>
      <c r="K399" s="96" t="str">
        <f>IF(C399="","MISSING","")</f>
        <v/>
      </c>
      <c r="L399" s="96" t="str">
        <f>IF(AND(C399&lt;&gt;"",C398&lt;&gt;"",C399=C398),"STALE","")</f>
        <v/>
      </c>
      <c r="M399" s="106">
        <f>IF(D399="","",ABS(D399-G$5))</f>
        <v>4.2267213951877085E-4</v>
      </c>
    </row>
    <row r="400" spans="2:13" ht="15.75" customHeight="1" x14ac:dyDescent="0.55000000000000004">
      <c r="B400" s="94">
        <v>44386</v>
      </c>
      <c r="C400" s="95">
        <v>1.1849000000000001</v>
      </c>
      <c r="D400" s="95">
        <f>IF(OR(C400="",C399=""),"",LN(C400/C399))</f>
        <v>1.858422565623116E-3</v>
      </c>
      <c r="E400" s="95">
        <f>IF(D400="","",ABS(D400-$E$5)/$F$5)</f>
        <v>0.34105015701523239</v>
      </c>
      <c r="F400" s="96">
        <f>IF(D400="","",ABS(D400-$G$5)/$H$5)</f>
        <v>0.62145388774326604</v>
      </c>
      <c r="G400" s="96">
        <f>IF(D400="","",ABS(D400-$E$5)/SQRT(0.9*(IF(G399="",$F$5^2,(ABS(D399-$E$5)/MAX(G399,0.0000000001))^2))+0.1*(D400-$E$5)^2))</f>
        <v>0.48616021685229271</v>
      </c>
      <c r="H400" s="96" t="str">
        <f>IF(E400="","",IF(E400&gt;$I$5,"OUTLIER",""))</f>
        <v/>
      </c>
      <c r="I400" s="96" t="str">
        <f>IF(F400="","",IF(F400&gt;$I$5,"OUTLIER",""))</f>
        <v/>
      </c>
      <c r="J400" s="96" t="str">
        <f>IF(G400="","",IF(G400&gt;$I$5,"OUTLIER",""))</f>
        <v/>
      </c>
      <c r="K400" s="96" t="str">
        <f>IF(C400="","MISSING","")</f>
        <v/>
      </c>
      <c r="L400" s="96" t="str">
        <f>IF(AND(C400&lt;&gt;"",C399&lt;&gt;"",C400=C399),"STALE","")</f>
        <v/>
      </c>
      <c r="M400" s="106">
        <f>IF(D400="","",ABS(D400-G$5))</f>
        <v>1.858422565623116E-3</v>
      </c>
    </row>
    <row r="401" spans="2:13" ht="15.75" customHeight="1" x14ac:dyDescent="0.55000000000000004">
      <c r="B401" s="94">
        <v>44389</v>
      </c>
      <c r="C401" s="95">
        <v>1.1859999999999999</v>
      </c>
      <c r="D401" s="95">
        <f>IF(OR(C401="",C400=""),"",LN(C401/C400))</f>
        <v>9.2791773497644711E-4</v>
      </c>
      <c r="E401" s="95">
        <f>IF(D401="","",ABS(D401-$E$5)/$F$5)</f>
        <v>0.15660445077463811</v>
      </c>
      <c r="F401" s="96">
        <f>IF(D401="","",ABS(D401-$G$5)/$H$5)</f>
        <v>0.31029438329796066</v>
      </c>
      <c r="G401" s="96">
        <f>IF(D401="","",ABS(D401-$E$5)/SQRT(0.9*(IF(G400="",$F$5^2,(ABS(D400-$E$5)/MAX(G400,0.0000000001))^2))+0.1*(D401-$E$5)^2))</f>
        <v>0.2346631760348212</v>
      </c>
      <c r="H401" s="96" t="str">
        <f>IF(E401="","",IF(E401&gt;$I$5,"OUTLIER",""))</f>
        <v/>
      </c>
      <c r="I401" s="96" t="str">
        <f>IF(F401="","",IF(F401&gt;$I$5,"OUTLIER",""))</f>
        <v/>
      </c>
      <c r="J401" s="96" t="str">
        <f>IF(G401="","",IF(G401&gt;$I$5,"OUTLIER",""))</f>
        <v/>
      </c>
      <c r="K401" s="96" t="str">
        <f>IF(C401="","MISSING","")</f>
        <v/>
      </c>
      <c r="L401" s="96" t="str">
        <f>IF(AND(C401&lt;&gt;"",C400&lt;&gt;"",C401=C400),"STALE","")</f>
        <v/>
      </c>
      <c r="M401" s="106">
        <f>IF(D401="","",ABS(D401-G$5))</f>
        <v>9.2791773497644711E-4</v>
      </c>
    </row>
    <row r="402" spans="2:13" ht="15.75" customHeight="1" x14ac:dyDescent="0.55000000000000004">
      <c r="B402" s="94">
        <v>44390</v>
      </c>
      <c r="C402" s="95">
        <v>1.179</v>
      </c>
      <c r="D402" s="95">
        <f>IF(OR(C402="",C401=""),"",LN(C402/C401))</f>
        <v>-5.9196790202997313E-3</v>
      </c>
      <c r="E402" s="95">
        <f>IF(D402="","",ABS(D402-$E$5)/$F$5)</f>
        <v>1.2007338219347772</v>
      </c>
      <c r="F402" s="96">
        <f>IF(D402="","",ABS(D402-$G$5)/$H$5)</f>
        <v>1.9795323245679801</v>
      </c>
      <c r="G402" s="96">
        <f>IF(D402="","",ABS(D402-$E$5)/SQRT(0.9*(IF(G401="",$F$5^2,(ABS(D401-$E$5)/MAX(G401,0.0000000001))^2))+0.1*(D402-$E$5)^2))</f>
        <v>1.626469081755854</v>
      </c>
      <c r="H402" s="96" t="str">
        <f>IF(E402="","",IF(E402&gt;$I$5,"OUTLIER",""))</f>
        <v/>
      </c>
      <c r="I402" s="96" t="str">
        <f>IF(F402="","",IF(F402&gt;$I$5,"OUTLIER",""))</f>
        <v/>
      </c>
      <c r="J402" s="96" t="str">
        <f>IF(G402="","",IF(G402&gt;$I$5,"OUTLIER",""))</f>
        <v/>
      </c>
      <c r="K402" s="96" t="str">
        <f>IF(C402="","MISSING","")</f>
        <v/>
      </c>
      <c r="L402" s="96" t="str">
        <f>IF(AND(C402&lt;&gt;"",C401&lt;&gt;"",C402=C401),"STALE","")</f>
        <v/>
      </c>
      <c r="M402" s="106">
        <f>IF(D402="","",ABS(D402-G$5))</f>
        <v>5.9196790202997313E-3</v>
      </c>
    </row>
    <row r="403" spans="2:13" ht="15.75" customHeight="1" x14ac:dyDescent="0.55000000000000004">
      <c r="B403" s="94">
        <v>44391</v>
      </c>
      <c r="C403" s="95">
        <v>1.1798</v>
      </c>
      <c r="D403" s="95">
        <f>IF(OR(C403="",C402=""),"",LN(C403/C402))</f>
        <v>6.7831103160397716E-4</v>
      </c>
      <c r="E403" s="95">
        <f>IF(D403="","",ABS(D403-$E$5)/$F$5)</f>
        <v>0.10712713139959919</v>
      </c>
      <c r="F403" s="96">
        <f>IF(D403="","",ABS(D403-$G$5)/$H$5)</f>
        <v>0.2268262533435704</v>
      </c>
      <c r="G403" s="96">
        <f>IF(D403="","",ABS(D403-$E$5)/SQRT(0.9*(IF(G402="",$F$5^2,(ABS(D402-$E$5)/MAX(G402,0.0000000001))^2))+0.1*(D403-$E$5)^2))</f>
        <v>0.15278116935010194</v>
      </c>
      <c r="H403" s="96" t="str">
        <f>IF(E403="","",IF(E403&gt;$I$5,"OUTLIER",""))</f>
        <v/>
      </c>
      <c r="I403" s="96" t="str">
        <f>IF(F403="","",IF(F403&gt;$I$5,"OUTLIER",""))</f>
        <v/>
      </c>
      <c r="J403" s="96" t="str">
        <f>IF(G403="","",IF(G403&gt;$I$5,"OUTLIER",""))</f>
        <v/>
      </c>
      <c r="K403" s="96" t="str">
        <f>IF(C403="","MISSING","")</f>
        <v/>
      </c>
      <c r="L403" s="96" t="str">
        <f>IF(AND(C403&lt;&gt;"",C402&lt;&gt;"",C403=C402),"STALE","")</f>
        <v/>
      </c>
      <c r="M403" s="106">
        <f>IF(D403="","",ABS(D403-G$5))</f>
        <v>6.7831103160397716E-4</v>
      </c>
    </row>
    <row r="404" spans="2:13" ht="15.75" customHeight="1" x14ac:dyDescent="0.55000000000000004">
      <c r="B404" s="94">
        <v>44392</v>
      </c>
      <c r="C404" s="95">
        <v>1.1796</v>
      </c>
      <c r="D404" s="95">
        <f>IF(OR(C404="",C403=""),"",LN(C404/C403))</f>
        <v>-1.6953462785373576E-4</v>
      </c>
      <c r="E404" s="95">
        <f>IF(D404="","",ABS(D404-$E$5)/$F$5)</f>
        <v>6.0933781656618349E-2</v>
      </c>
      <c r="F404" s="96">
        <f>IF(D404="","",ABS(D404-$G$5)/$H$5)</f>
        <v>5.669214070885225E-2</v>
      </c>
      <c r="G404" s="96">
        <f>IF(D404="","",ABS(D404-$E$5)/SQRT(0.9*(IF(G403="",$F$5^2,(ABS(D403-$E$5)/MAX(G403,0.0000000001))^2))+0.1*(D404-$E$5)^2))</f>
        <v>9.1564072192458185E-2</v>
      </c>
      <c r="H404" s="96" t="str">
        <f>IF(E404="","",IF(E404&gt;$I$5,"OUTLIER",""))</f>
        <v/>
      </c>
      <c r="I404" s="96" t="str">
        <f>IF(F404="","",IF(F404&gt;$I$5,"OUTLIER",""))</f>
        <v/>
      </c>
      <c r="J404" s="96" t="str">
        <f>IF(G404="","",IF(G404&gt;$I$5,"OUTLIER",""))</f>
        <v/>
      </c>
      <c r="K404" s="96" t="str">
        <f>IF(C404="","MISSING","")</f>
        <v/>
      </c>
      <c r="L404" s="96" t="str">
        <f>IF(AND(C404&lt;&gt;"",C403&lt;&gt;"",C404=C403),"STALE","")</f>
        <v/>
      </c>
      <c r="M404" s="106">
        <f>IF(D404="","",ABS(D404-G$5))</f>
        <v>1.6953462785373576E-4</v>
      </c>
    </row>
    <row r="405" spans="2:13" ht="15.75" customHeight="1" x14ac:dyDescent="0.55000000000000004">
      <c r="B405" s="94">
        <v>44393</v>
      </c>
      <c r="C405" s="95">
        <v>1.1812</v>
      </c>
      <c r="D405" s="95">
        <f>IF(OR(C405="",C404=""),"",LN(C405/C404))</f>
        <v>1.355472928646419E-3</v>
      </c>
      <c r="E405" s="95">
        <f>IF(D405="","",ABS(D405-$E$5)/$F$5)</f>
        <v>0.24135491853791297</v>
      </c>
      <c r="F405" s="96">
        <f>IF(D405="","",ABS(D405-$G$5)/$H$5)</f>
        <v>0.45326823770869845</v>
      </c>
      <c r="G405" s="96">
        <f>IF(D405="","",ABS(D405-$E$5)/SQRT(0.9*(IF(G404="",$F$5^2,(ABS(D404-$E$5)/MAX(G404,0.0000000001))^2))+0.1*(D405-$E$5)^2))</f>
        <v>0.37953444021724086</v>
      </c>
      <c r="H405" s="96" t="str">
        <f>IF(E405="","",IF(E405&gt;$I$5,"OUTLIER",""))</f>
        <v/>
      </c>
      <c r="I405" s="96" t="str">
        <f>IF(F405="","",IF(F405&gt;$I$5,"OUTLIER",""))</f>
        <v/>
      </c>
      <c r="J405" s="96" t="str">
        <f>IF(G405="","",IF(G405&gt;$I$5,"OUTLIER",""))</f>
        <v/>
      </c>
      <c r="K405" s="96" t="str">
        <f>IF(C405="","MISSING","")</f>
        <v/>
      </c>
      <c r="L405" s="96" t="str">
        <f>IF(AND(C405&lt;&gt;"",C404&lt;&gt;"",C405=C404),"STALE","")</f>
        <v/>
      </c>
      <c r="M405" s="106">
        <f>IF(D405="","",ABS(D405-G$5))</f>
        <v>1.355472928646419E-3</v>
      </c>
    </row>
    <row r="406" spans="2:13" ht="15.75" customHeight="1" x14ac:dyDescent="0.55000000000000004">
      <c r="B406" s="94">
        <v>44396</v>
      </c>
      <c r="C406" s="95">
        <v>1.1767000000000001</v>
      </c>
      <c r="D406" s="95">
        <f>IF(OR(C406="",C405=""),"",LN(C406/C405))</f>
        <v>-3.8169603998843521E-3</v>
      </c>
      <c r="E406" s="95">
        <f>IF(D406="","",ABS(D406-$E$5)/$F$5)</f>
        <v>0.78393058976001351</v>
      </c>
      <c r="F406" s="96">
        <f>IF(D406="","",ABS(D406-$G$5)/$H$5)</f>
        <v>1.2763861802737448</v>
      </c>
      <c r="G406" s="96">
        <f>IF(D406="","",ABS(D406-$E$5)/SQRT(0.9*(IF(G405="",$F$5^2,(ABS(D405-$E$5)/MAX(G405,0.0000000001))^2))+0.1*(D406-$E$5)^2))</f>
        <v>1.2019098081827704</v>
      </c>
      <c r="H406" s="96" t="str">
        <f>IF(E406="","",IF(E406&gt;$I$5,"OUTLIER",""))</f>
        <v/>
      </c>
      <c r="I406" s="96" t="str">
        <f>IF(F406="","",IF(F406&gt;$I$5,"OUTLIER",""))</f>
        <v/>
      </c>
      <c r="J406" s="96" t="str">
        <f>IF(G406="","",IF(G406&gt;$I$5,"OUTLIER",""))</f>
        <v/>
      </c>
      <c r="K406" s="96" t="str">
        <f>IF(C406="","MISSING","")</f>
        <v/>
      </c>
      <c r="L406" s="96" t="str">
        <f>IF(AND(C406&lt;&gt;"",C405&lt;&gt;"",C406=C405),"STALE","")</f>
        <v/>
      </c>
      <c r="M406" s="106">
        <f>IF(D406="","",ABS(D406-G$5))</f>
        <v>3.8169603998843521E-3</v>
      </c>
    </row>
    <row r="407" spans="2:13" ht="15.75" customHeight="1" x14ac:dyDescent="0.55000000000000004">
      <c r="B407" s="94">
        <v>44397</v>
      </c>
      <c r="C407" s="95">
        <v>1.177</v>
      </c>
      <c r="D407" s="95">
        <f>IF(OR(C407="",C406=""),"",LN(C407/C406))</f>
        <v>2.549177903934702E-4</v>
      </c>
      <c r="E407" s="95">
        <f>IF(D407="","",ABS(D407-$E$5)/$F$5)</f>
        <v>2.3201650498770071E-2</v>
      </c>
      <c r="F407" s="96">
        <f>IF(D407="","",ABS(D407-$G$5)/$H$5)</f>
        <v>8.5244149971795066E-2</v>
      </c>
      <c r="G407" s="96">
        <f>IF(D407="","",ABS(D407-$E$5)/SQRT(0.9*(IF(G406="",$F$5^2,(ABS(D406-$E$5)/MAX(G406,0.0000000001))^2))+0.1*(D407-$E$5)^2))</f>
        <v>3.749396459452075E-2</v>
      </c>
      <c r="H407" s="96" t="str">
        <f>IF(E407="","",IF(E407&gt;$I$5,"OUTLIER",""))</f>
        <v/>
      </c>
      <c r="I407" s="96" t="str">
        <f>IF(F407="","",IF(F407&gt;$I$5,"OUTLIER",""))</f>
        <v/>
      </c>
      <c r="J407" s="96" t="str">
        <f>IF(G407="","",IF(G407&gt;$I$5,"OUTLIER",""))</f>
        <v/>
      </c>
      <c r="K407" s="96" t="str">
        <f>IF(C407="","MISSING","")</f>
        <v/>
      </c>
      <c r="L407" s="96" t="str">
        <f>IF(AND(C407&lt;&gt;"",C406&lt;&gt;"",C407=C406),"STALE","")</f>
        <v/>
      </c>
      <c r="M407" s="106">
        <f>IF(D407="","",ABS(D407-G$5))</f>
        <v>2.549177903934702E-4</v>
      </c>
    </row>
    <row r="408" spans="2:13" ht="15.75" customHeight="1" x14ac:dyDescent="0.55000000000000004">
      <c r="B408" s="94">
        <v>44398</v>
      </c>
      <c r="C408" s="95">
        <v>1.1786000000000001</v>
      </c>
      <c r="D408" s="95">
        <f>IF(OR(C408="",C407=""),"",LN(C408/C407))</f>
        <v>1.3584651435363901E-3</v>
      </c>
      <c r="E408" s="95">
        <f>IF(D408="","",ABS(D408-$E$5)/$F$5)</f>
        <v>0.24194803871357157</v>
      </c>
      <c r="F408" s="96">
        <f>IF(D408="","",ABS(D408-$G$5)/$H$5)</f>
        <v>0.45426883015238323</v>
      </c>
      <c r="G408" s="96">
        <f>IF(D408="","",ABS(D408-$E$5)/SQRT(0.9*(IF(G407="",$F$5^2,(ABS(D407-$E$5)/MAX(G407,0.0000000001))^2))+0.1*(D408-$E$5)^2))</f>
        <v>0.40868235348647064</v>
      </c>
      <c r="H408" s="96" t="str">
        <f>IF(E408="","",IF(E408&gt;$I$5,"OUTLIER",""))</f>
        <v/>
      </c>
      <c r="I408" s="96" t="str">
        <f>IF(F408="","",IF(F408&gt;$I$5,"OUTLIER",""))</f>
        <v/>
      </c>
      <c r="J408" s="96" t="str">
        <f>IF(G408="","",IF(G408&gt;$I$5,"OUTLIER",""))</f>
        <v/>
      </c>
      <c r="K408" s="96" t="str">
        <f>IF(C408="","MISSING","")</f>
        <v/>
      </c>
      <c r="L408" s="96" t="str">
        <f>IF(AND(C408&lt;&gt;"",C407&lt;&gt;"",C408=C407),"STALE","")</f>
        <v/>
      </c>
      <c r="M408" s="106">
        <f>IF(D408="","",ABS(D408-G$5))</f>
        <v>1.3584651435363901E-3</v>
      </c>
    </row>
    <row r="409" spans="2:13" ht="15.75" customHeight="1" x14ac:dyDescent="0.55000000000000004">
      <c r="B409" s="94">
        <v>44399</v>
      </c>
      <c r="C409" s="95">
        <v>1.1760999999999999</v>
      </c>
      <c r="D409" s="95">
        <f>IF(OR(C409="",C408=""),"",LN(C409/C408))</f>
        <v>-2.1234135468222314E-3</v>
      </c>
      <c r="E409" s="95">
        <f>IF(D409="","",ABS(D409-$E$5)/$F$5)</f>
        <v>0.44823384206285843</v>
      </c>
      <c r="F409" s="96">
        <f>IF(D409="","",ABS(D409-$G$5)/$H$5)</f>
        <v>0.71006649852905745</v>
      </c>
      <c r="G409" s="96">
        <f>IF(D409="","",ABS(D409-$E$5)/SQRT(0.9*(IF(G408="",$F$5^2,(ABS(D408-$E$5)/MAX(G408,0.0000000001))^2))+0.1*(D409-$E$5)^2))</f>
        <v>0.77381819766480164</v>
      </c>
      <c r="H409" s="96" t="str">
        <f>IF(E409="","",IF(E409&gt;$I$5,"OUTLIER",""))</f>
        <v/>
      </c>
      <c r="I409" s="96" t="str">
        <f>IF(F409="","",IF(F409&gt;$I$5,"OUTLIER",""))</f>
        <v/>
      </c>
      <c r="J409" s="96" t="str">
        <f>IF(G409="","",IF(G409&gt;$I$5,"OUTLIER",""))</f>
        <v/>
      </c>
      <c r="K409" s="96" t="str">
        <f>IF(C409="","MISSING","")</f>
        <v/>
      </c>
      <c r="L409" s="96" t="str">
        <f>IF(AND(C409&lt;&gt;"",C408&lt;&gt;"",C409=C408),"STALE","")</f>
        <v/>
      </c>
      <c r="M409" s="106">
        <f>IF(D409="","",ABS(D409-G$5))</f>
        <v>2.1234135468222314E-3</v>
      </c>
    </row>
    <row r="410" spans="2:13" ht="15.75" customHeight="1" x14ac:dyDescent="0.55000000000000004">
      <c r="B410" s="94">
        <v>44400</v>
      </c>
      <c r="C410" s="95">
        <v>1.1776</v>
      </c>
      <c r="D410" s="95">
        <f>IF(OR(C410="",C409=""),"",LN(C410/C409))</f>
        <v>1.2745891176208937E-3</v>
      </c>
      <c r="E410" s="95">
        <f>IF(D410="","",ABS(D410-$E$5)/$F$5)</f>
        <v>0.22532203922694172</v>
      </c>
      <c r="F410" s="96">
        <f>IF(D410="","",ABS(D410-$G$5)/$H$5)</f>
        <v>0.42622080525328665</v>
      </c>
      <c r="G410" s="96">
        <f>IF(D410="","",ABS(D410-$E$5)/SQRT(0.9*(IF(G409="",$F$5^2,(ABS(D409-$E$5)/MAX(G409,0.0000000001))^2))+0.1*(D410-$E$5)^2))</f>
        <v>0.40662705055371751</v>
      </c>
      <c r="H410" s="96" t="str">
        <f>IF(E410="","",IF(E410&gt;$I$5,"OUTLIER",""))</f>
        <v/>
      </c>
      <c r="I410" s="96" t="str">
        <f>IF(F410="","",IF(F410&gt;$I$5,"OUTLIER",""))</f>
        <v/>
      </c>
      <c r="J410" s="96" t="str">
        <f>IF(G410="","",IF(G410&gt;$I$5,"OUTLIER",""))</f>
        <v/>
      </c>
      <c r="K410" s="96" t="str">
        <f>IF(C410="","MISSING","")</f>
        <v/>
      </c>
      <c r="L410" s="96" t="str">
        <f>IF(AND(C410&lt;&gt;"",C409&lt;&gt;"",C410=C409),"STALE","")</f>
        <v/>
      </c>
      <c r="M410" s="106">
        <f>IF(D410="","",ABS(D410-G$5))</f>
        <v>1.2745891176208937E-3</v>
      </c>
    </row>
    <row r="411" spans="2:13" ht="15.75" customHeight="1" x14ac:dyDescent="0.55000000000000004">
      <c r="B411" s="94">
        <v>44403</v>
      </c>
      <c r="C411" s="95">
        <v>1.1768000000000001</v>
      </c>
      <c r="D411" s="95">
        <f>IF(OR(C411="",C410=""),"",LN(C411/C410))</f>
        <v>-6.7957868738399067E-4</v>
      </c>
      <c r="E411" s="95">
        <f>IF(D411="","",ABS(D411-$E$5)/$F$5)</f>
        <v>0.16203528449191087</v>
      </c>
      <c r="F411" s="96">
        <f>IF(D411="","",ABS(D411-$G$5)/$H$5)</f>
        <v>0.22725015565049567</v>
      </c>
      <c r="G411" s="96">
        <f>IF(D411="","",ABS(D411-$E$5)/SQRT(0.9*(IF(G410="",$F$5^2,(ABS(D410-$E$5)/MAX(G410,0.0000000001))^2))+0.1*(D411-$E$5)^2))</f>
        <v>0.30678038834121502</v>
      </c>
      <c r="H411" s="96" t="str">
        <f>IF(E411="","",IF(E411&gt;$I$5,"OUTLIER",""))</f>
        <v/>
      </c>
      <c r="I411" s="96" t="str">
        <f>IF(F411="","",IF(F411&gt;$I$5,"OUTLIER",""))</f>
        <v/>
      </c>
      <c r="J411" s="96" t="str">
        <f>IF(G411="","",IF(G411&gt;$I$5,"OUTLIER",""))</f>
        <v/>
      </c>
      <c r="K411" s="96" t="str">
        <f>IF(C411="","MISSING","")</f>
        <v/>
      </c>
      <c r="L411" s="96" t="str">
        <f>IF(AND(C411&lt;&gt;"",C410&lt;&gt;"",C411=C410),"STALE","")</f>
        <v/>
      </c>
      <c r="M411" s="106">
        <f>IF(D411="","",ABS(D411-G$5))</f>
        <v>6.7957868738399067E-4</v>
      </c>
    </row>
    <row r="412" spans="2:13" ht="15.75" customHeight="1" x14ac:dyDescent="0.55000000000000004">
      <c r="B412" s="94">
        <v>44404</v>
      </c>
      <c r="C412" s="95">
        <v>1.1832</v>
      </c>
      <c r="D412" s="95">
        <f>IF(OR(C412="",C411=""),"",LN(C412/C411))</f>
        <v>5.4237421093623582E-3</v>
      </c>
      <c r="E412" s="95">
        <f>IF(D412="","",ABS(D412-$E$5)/$F$5)</f>
        <v>1.047771776892652</v>
      </c>
      <c r="F412" s="96">
        <f>IF(D412="","",ABS(D412-$G$5)/$H$5)</f>
        <v>1.8136917202412248</v>
      </c>
      <c r="G412" s="96">
        <f>IF(D412="","",ABS(D412-$E$5)/SQRT(0.9*(IF(G411="",$F$5^2,(ABS(D411-$E$5)/MAX(G411,0.0000000001))^2))+0.1*(D412-$E$5)^2))</f>
        <v>1.7442058027025829</v>
      </c>
      <c r="H412" s="96" t="str">
        <f>IF(E412="","",IF(E412&gt;$I$5,"OUTLIER",""))</f>
        <v/>
      </c>
      <c r="I412" s="96" t="str">
        <f>IF(F412="","",IF(F412&gt;$I$5,"OUTLIER",""))</f>
        <v/>
      </c>
      <c r="J412" s="96" t="str">
        <f>IF(G412="","",IF(G412&gt;$I$5,"OUTLIER",""))</f>
        <v/>
      </c>
      <c r="K412" s="96" t="str">
        <f>IF(C412="","MISSING","")</f>
        <v/>
      </c>
      <c r="L412" s="96" t="str">
        <f>IF(AND(C412&lt;&gt;"",C411&lt;&gt;"",C412=C411),"STALE","")</f>
        <v/>
      </c>
      <c r="M412" s="106">
        <f>IF(D412="","",ABS(D412-G$5))</f>
        <v>5.4237421093623582E-3</v>
      </c>
    </row>
    <row r="413" spans="2:13" ht="15.75" customHeight="1" x14ac:dyDescent="0.55000000000000004">
      <c r="B413" s="94">
        <v>44405</v>
      </c>
      <c r="C413" s="95">
        <v>1.1861999999999999</v>
      </c>
      <c r="D413" s="95">
        <f>IF(OR(C413="",C412=""),"",LN(C413/C412))</f>
        <v>2.53228800803616E-3</v>
      </c>
      <c r="E413" s="95">
        <f>IF(D413="","",ABS(D413-$E$5)/$F$5)</f>
        <v>0.47462451723711968</v>
      </c>
      <c r="F413" s="96">
        <f>IF(D413="","",ABS(D413-$G$5)/$H$5)</f>
        <v>0.84679354232446702</v>
      </c>
      <c r="G413" s="96">
        <f>IF(D413="","",ABS(D413-$E$5)/SQRT(0.9*(IF(G412="",$F$5^2,(ABS(D412-$E$5)/MAX(G412,0.0000000001))^2))+0.1*(D413-$E$5)^2))</f>
        <v>0.80537404015035663</v>
      </c>
      <c r="H413" s="96" t="str">
        <f>IF(E413="","",IF(E413&gt;$I$5,"OUTLIER",""))</f>
        <v/>
      </c>
      <c r="I413" s="96" t="str">
        <f>IF(F413="","",IF(F413&gt;$I$5,"OUTLIER",""))</f>
        <v/>
      </c>
      <c r="J413" s="96" t="str">
        <f>IF(G413="","",IF(G413&gt;$I$5,"OUTLIER",""))</f>
        <v/>
      </c>
      <c r="K413" s="96" t="str">
        <f>IF(C413="","MISSING","")</f>
        <v/>
      </c>
      <c r="L413" s="96" t="str">
        <f>IF(AND(C413&lt;&gt;"",C412&lt;&gt;"",C413=C412),"STALE","")</f>
        <v/>
      </c>
      <c r="M413" s="106">
        <f>IF(D413="","",ABS(D413-G$5))</f>
        <v>2.53228800803616E-3</v>
      </c>
    </row>
    <row r="414" spans="2:13" ht="15.75" customHeight="1" x14ac:dyDescent="0.55000000000000004">
      <c r="B414" s="94">
        <v>44406</v>
      </c>
      <c r="C414" s="95">
        <v>1.1879999999999999</v>
      </c>
      <c r="D414" s="95">
        <f>IF(OR(C414="",C413=""),"",LN(C414/C413))</f>
        <v>1.516300517964008E-3</v>
      </c>
      <c r="E414" s="95">
        <f>IF(D414="","",ABS(D414-$E$5)/$F$5)</f>
        <v>0.27323434282208298</v>
      </c>
      <c r="F414" s="96">
        <f>IF(D414="","",ABS(D414-$G$5)/$H$5)</f>
        <v>0.50704875699779861</v>
      </c>
      <c r="G414" s="96">
        <f>IF(D414="","",ABS(D414-$E$5)/SQRT(0.9*(IF(G413="",$F$5^2,(ABS(D413-$E$5)/MAX(G413,0.0000000001))^2))+0.1*(D414-$E$5)^2))</f>
        <v>0.48298753737269551</v>
      </c>
      <c r="H414" s="96" t="str">
        <f>IF(E414="","",IF(E414&gt;$I$5,"OUTLIER",""))</f>
        <v/>
      </c>
      <c r="I414" s="96" t="str">
        <f>IF(F414="","",IF(F414&gt;$I$5,"OUTLIER",""))</f>
        <v/>
      </c>
      <c r="J414" s="96" t="str">
        <f>IF(G414="","",IF(G414&gt;$I$5,"OUTLIER",""))</f>
        <v/>
      </c>
      <c r="K414" s="96" t="str">
        <f>IF(C414="","MISSING","")</f>
        <v/>
      </c>
      <c r="L414" s="96" t="str">
        <f>IF(AND(C414&lt;&gt;"",C413&lt;&gt;"",C414=C413),"STALE","")</f>
        <v/>
      </c>
      <c r="M414" s="106">
        <f>IF(D414="","",ABS(D414-G$5))</f>
        <v>1.516300517964008E-3</v>
      </c>
    </row>
    <row r="415" spans="2:13" ht="15.75" customHeight="1" x14ac:dyDescent="0.55000000000000004">
      <c r="B415" s="94">
        <v>44407</v>
      </c>
      <c r="C415" s="95">
        <v>1.1872</v>
      </c>
      <c r="D415" s="95">
        <f>IF(OR(C415="",C414=""),"",LN(C415/C414))</f>
        <v>-6.73627509474165E-4</v>
      </c>
      <c r="E415" s="95">
        <f>IF(D415="","",ABS(D415-$E$5)/$F$5)</f>
        <v>0.16085563536340675</v>
      </c>
      <c r="F415" s="96">
        <f>IF(D415="","",ABS(D415-$G$5)/$H$5)</f>
        <v>0.2252600901416468</v>
      </c>
      <c r="G415" s="96">
        <f>IF(D415="","",ABS(D415-$E$5)/SQRT(0.9*(IF(G414="",$F$5^2,(ABS(D414-$E$5)/MAX(G414,0.0000000001))^2))+0.1*(D415-$E$5)^2))</f>
        <v>0.2983827393813781</v>
      </c>
      <c r="H415" s="96" t="str">
        <f>IF(E415="","",IF(E415&gt;$I$5,"OUTLIER",""))</f>
        <v/>
      </c>
      <c r="I415" s="96" t="str">
        <f>IF(F415="","",IF(F415&gt;$I$5,"OUTLIER",""))</f>
        <v/>
      </c>
      <c r="J415" s="96" t="str">
        <f>IF(G415="","",IF(G415&gt;$I$5,"OUTLIER",""))</f>
        <v/>
      </c>
      <c r="K415" s="96" t="str">
        <f>IF(C415="","MISSING","")</f>
        <v/>
      </c>
      <c r="L415" s="96" t="str">
        <f>IF(AND(C415&lt;&gt;"",C414&lt;&gt;"",C415=C414),"STALE","")</f>
        <v/>
      </c>
      <c r="M415" s="106">
        <f>IF(D415="","",ABS(D415-G$5))</f>
        <v>6.73627509474165E-4</v>
      </c>
    </row>
    <row r="416" spans="2:13" ht="15.75" customHeight="1" x14ac:dyDescent="0.55000000000000004">
      <c r="B416" s="94">
        <v>44410</v>
      </c>
      <c r="C416" s="95">
        <v>1.1891</v>
      </c>
      <c r="D416" s="95">
        <f>IF(OR(C416="",C415=""),"",LN(C416/C415))</f>
        <v>1.5991250304171736E-3</v>
      </c>
      <c r="E416" s="95">
        <f>IF(D416="","",ABS(D416-$E$5)/$F$5)</f>
        <v>0.28965191013641955</v>
      </c>
      <c r="F416" s="96">
        <f>IF(D416="","",ABS(D416-$G$5)/$H$5)</f>
        <v>0.5347451572764953</v>
      </c>
      <c r="G416" s="96">
        <f>IF(D416="","",ABS(D416-$E$5)/SQRT(0.9*(IF(G415="",$F$5^2,(ABS(D415-$E$5)/MAX(G415,0.0000000001))^2))+0.1*(D416-$E$5)^2))</f>
        <v>0.5574894364786207</v>
      </c>
      <c r="H416" s="96" t="str">
        <f>IF(E416="","",IF(E416&gt;$I$5,"OUTLIER",""))</f>
        <v/>
      </c>
      <c r="I416" s="96" t="str">
        <f>IF(F416="","",IF(F416&gt;$I$5,"OUTLIER",""))</f>
        <v/>
      </c>
      <c r="J416" s="96" t="str">
        <f>IF(G416="","",IF(G416&gt;$I$5,"OUTLIER",""))</f>
        <v/>
      </c>
      <c r="K416" s="96" t="str">
        <f>IF(C416="","MISSING","")</f>
        <v/>
      </c>
      <c r="L416" s="96" t="str">
        <f>IF(AND(C416&lt;&gt;"",C415&lt;&gt;"",C416=C415),"STALE","")</f>
        <v/>
      </c>
      <c r="M416" s="106">
        <f>IF(D416="","",ABS(D416-G$5))</f>
        <v>1.5991250304171736E-3</v>
      </c>
    </row>
    <row r="417" spans="2:13" ht="15.75" customHeight="1" x14ac:dyDescent="0.55000000000000004">
      <c r="B417" s="94">
        <v>44411</v>
      </c>
      <c r="C417" s="95">
        <v>1.1861999999999999</v>
      </c>
      <c r="D417" s="95">
        <f>IF(OR(C417="",C416=""),"",LN(C417/C416))</f>
        <v>-2.4417980389069647E-3</v>
      </c>
      <c r="E417" s="95">
        <f>IF(D417="","",ABS(D417-$E$5)/$F$5)</f>
        <v>0.51134437149214673</v>
      </c>
      <c r="F417" s="96">
        <f>IF(D417="","",ABS(D417-$G$5)/$H$5)</f>
        <v>0.81653382413262976</v>
      </c>
      <c r="G417" s="96">
        <f>IF(D417="","",ABS(D417-$E$5)/SQRT(0.9*(IF(G416="",$F$5^2,(ABS(D416-$E$5)/MAX(G416,0.0000000001))^2))+0.1*(D417-$E$5)^2))</f>
        <v>0.9857266441354755</v>
      </c>
      <c r="H417" s="96" t="str">
        <f>IF(E417="","",IF(E417&gt;$I$5,"OUTLIER",""))</f>
        <v/>
      </c>
      <c r="I417" s="96" t="str">
        <f>IF(F417="","",IF(F417&gt;$I$5,"OUTLIER",""))</f>
        <v/>
      </c>
      <c r="J417" s="96" t="str">
        <f>IF(G417="","",IF(G417&gt;$I$5,"OUTLIER",""))</f>
        <v/>
      </c>
      <c r="K417" s="96" t="str">
        <f>IF(C417="","MISSING","")</f>
        <v/>
      </c>
      <c r="L417" s="96" t="str">
        <f>IF(AND(C417&lt;&gt;"",C416&lt;&gt;"",C417=C416),"STALE","")</f>
        <v/>
      </c>
      <c r="M417" s="106">
        <f>IF(D417="","",ABS(D417-G$5))</f>
        <v>2.4417980389069647E-3</v>
      </c>
    </row>
    <row r="418" spans="2:13" ht="15.75" customHeight="1" x14ac:dyDescent="0.55000000000000004">
      <c r="B418" s="94">
        <v>44412</v>
      </c>
      <c r="C418" s="95">
        <v>1.1838</v>
      </c>
      <c r="D418" s="95">
        <f>IF(OR(C418="",C417=""),"",LN(C418/C417))</f>
        <v>-2.0253171480014882E-3</v>
      </c>
      <c r="E418" s="95">
        <f>IF(D418="","",ABS(D418-$E$5)/$F$5)</f>
        <v>0.42878906438494285</v>
      </c>
      <c r="F418" s="96">
        <f>IF(D418="","",ABS(D418-$G$5)/$H$5)</f>
        <v>0.67726320096453152</v>
      </c>
      <c r="G418" s="96">
        <f>IF(D418="","",ABS(D418-$E$5)/SQRT(0.9*(IF(G417="",$F$5^2,(ABS(D417-$E$5)/MAX(G417,0.0000000001))^2))+0.1*(D418-$E$5)^2))</f>
        <v>0.83999434687991759</v>
      </c>
      <c r="H418" s="96" t="str">
        <f>IF(E418="","",IF(E418&gt;$I$5,"OUTLIER",""))</f>
        <v/>
      </c>
      <c r="I418" s="96" t="str">
        <f>IF(F418="","",IF(F418&gt;$I$5,"OUTLIER",""))</f>
        <v/>
      </c>
      <c r="J418" s="96" t="str">
        <f>IF(G418="","",IF(G418&gt;$I$5,"OUTLIER",""))</f>
        <v/>
      </c>
      <c r="K418" s="96" t="str">
        <f>IF(C418="","MISSING","")</f>
        <v/>
      </c>
      <c r="L418" s="96" t="str">
        <f>IF(AND(C418&lt;&gt;"",C417&lt;&gt;"",C418=C417),"STALE","")</f>
        <v/>
      </c>
      <c r="M418" s="106">
        <f>IF(D418="","",ABS(D418-G$5))</f>
        <v>2.0253171480014882E-3</v>
      </c>
    </row>
    <row r="419" spans="2:13" ht="15.75" customHeight="1" x14ac:dyDescent="0.55000000000000004">
      <c r="B419" s="94">
        <v>44413</v>
      </c>
      <c r="C419" s="95">
        <v>1.1772</v>
      </c>
      <c r="D419" s="95">
        <f>IF(OR(C419="",C418=""),"",LN(C419/C418))</f>
        <v>-5.5908658973068759E-3</v>
      </c>
      <c r="E419" s="95">
        <f>IF(D419="","",ABS(D419-$E$5)/$F$5)</f>
        <v>1.1355561176455429</v>
      </c>
      <c r="F419" s="96">
        <f>IF(D419="","",ABS(D419-$G$5)/$H$5)</f>
        <v>1.8695776794808978</v>
      </c>
      <c r="G419" s="96">
        <f>IF(D419="","",ABS(D419-$E$5)/SQRT(0.9*(IF(G418="",$F$5^2,(ABS(D418-$E$5)/MAX(G418,0.0000000001))^2))+0.1*(D419-$E$5)^2))</f>
        <v>1.8835446610552109</v>
      </c>
      <c r="H419" s="96" t="str">
        <f>IF(E419="","",IF(E419&gt;$I$5,"OUTLIER",""))</f>
        <v/>
      </c>
      <c r="I419" s="96" t="str">
        <f>IF(F419="","",IF(F419&gt;$I$5,"OUTLIER",""))</f>
        <v/>
      </c>
      <c r="J419" s="96" t="str">
        <f>IF(G419="","",IF(G419&gt;$I$5,"OUTLIER",""))</f>
        <v/>
      </c>
      <c r="K419" s="96" t="str">
        <f>IF(C419="","MISSING","")</f>
        <v/>
      </c>
      <c r="L419" s="96" t="str">
        <f>IF(AND(C419&lt;&gt;"",C418&lt;&gt;"",C419=C418),"STALE","")</f>
        <v/>
      </c>
      <c r="M419" s="106">
        <f>IF(D419="","",ABS(D419-G$5))</f>
        <v>5.5908658973068759E-3</v>
      </c>
    </row>
    <row r="420" spans="2:13" ht="15.75" customHeight="1" x14ac:dyDescent="0.55000000000000004">
      <c r="B420" s="94">
        <v>44414</v>
      </c>
      <c r="C420" s="95">
        <v>1.1788000000000001</v>
      </c>
      <c r="D420" s="95">
        <f>IF(OR(C420="",C419=""),"",LN(C420/C419))</f>
        <v>1.3582345042219318E-3</v>
      </c>
      <c r="E420" s="95">
        <f>IF(D420="","",ABS(D420-$E$5)/$F$5)</f>
        <v>0.24190232113120014</v>
      </c>
      <c r="F420" s="96">
        <f>IF(D420="","",ABS(D420-$G$5)/$H$5)</f>
        <v>0.45419170469055992</v>
      </c>
      <c r="G420" s="96">
        <f>IF(D420="","",ABS(D420-$E$5)/SQRT(0.9*(IF(G419="",$F$5^2,(ABS(D419-$E$5)/MAX(G419,0.0000000001))^2))+0.1*(D420-$E$5)^2))</f>
        <v>0.419214227049374</v>
      </c>
      <c r="H420" s="96" t="str">
        <f>IF(E420="","",IF(E420&gt;$I$5,"OUTLIER",""))</f>
        <v/>
      </c>
      <c r="I420" s="96" t="str">
        <f>IF(F420="","",IF(F420&gt;$I$5,"OUTLIER",""))</f>
        <v/>
      </c>
      <c r="J420" s="96" t="str">
        <f>IF(G420="","",IF(G420&gt;$I$5,"OUTLIER",""))</f>
        <v/>
      </c>
      <c r="K420" s="96" t="str">
        <f>IF(C420="","MISSING","")</f>
        <v/>
      </c>
      <c r="L420" s="96" t="str">
        <f>IF(AND(C420&lt;&gt;"",C419&lt;&gt;"",C420=C419),"STALE","")</f>
        <v/>
      </c>
      <c r="M420" s="106">
        <f>IF(D420="","",ABS(D420-G$5))</f>
        <v>1.3582345042219318E-3</v>
      </c>
    </row>
    <row r="421" spans="2:13" ht="15.75" customHeight="1" x14ac:dyDescent="0.55000000000000004">
      <c r="B421" s="94">
        <v>44417</v>
      </c>
      <c r="C421" s="95">
        <v>1.1732</v>
      </c>
      <c r="D421" s="95">
        <f>IF(OR(C421="",C420=""),"",LN(C421/C420))</f>
        <v>-4.7619137602437026E-3</v>
      </c>
      <c r="E421" s="95">
        <f>IF(D421="","",ABS(D421-$E$5)/$F$5)</f>
        <v>0.97124029968895165</v>
      </c>
      <c r="F421" s="96">
        <f>IF(D421="","",ABS(D421-$G$5)/$H$5)</f>
        <v>1.5923772526994517</v>
      </c>
      <c r="G421" s="96">
        <f>IF(D421="","",ABS(D421-$E$5)/SQRT(0.9*(IF(G420="",$F$5^2,(ABS(D420-$E$5)/MAX(G420,0.0000000001))^2))+0.1*(D421-$E$5)^2))</f>
        <v>1.5473030687621185</v>
      </c>
      <c r="H421" s="96" t="str">
        <f>IF(E421="","",IF(E421&gt;$I$5,"OUTLIER",""))</f>
        <v/>
      </c>
      <c r="I421" s="96" t="str">
        <f>IF(F421="","",IF(F421&gt;$I$5,"OUTLIER",""))</f>
        <v/>
      </c>
      <c r="J421" s="96" t="str">
        <f>IF(G421="","",IF(G421&gt;$I$5,"OUTLIER",""))</f>
        <v/>
      </c>
      <c r="K421" s="96" t="str">
        <f>IF(C421="","MISSING","")</f>
        <v/>
      </c>
      <c r="L421" s="96" t="str">
        <f>IF(AND(C421&lt;&gt;"",C420&lt;&gt;"",C421=C420),"STALE","")</f>
        <v/>
      </c>
      <c r="M421" s="106">
        <f>IF(D421="","",ABS(D421-G$5))</f>
        <v>4.7619137602437026E-3</v>
      </c>
    </row>
    <row r="422" spans="2:13" ht="15.75" customHeight="1" x14ac:dyDescent="0.55000000000000004">
      <c r="B422" s="94">
        <v>44418</v>
      </c>
      <c r="C422" s="95">
        <v>1.1717</v>
      </c>
      <c r="D422" s="95">
        <f>IF(OR(C422="",C421=""),"",LN(C422/C421))</f>
        <v>-1.2793724291861436E-3</v>
      </c>
      <c r="E422" s="95">
        <f>IF(D422="","",ABS(D422-$E$5)/$F$5)</f>
        <v>0.2809270695334814</v>
      </c>
      <c r="F422" s="96">
        <f>IF(D422="","",ABS(D422-$G$5)/$H$5)</f>
        <v>0.42782033790183427</v>
      </c>
      <c r="G422" s="96">
        <f>IF(D422="","",ABS(D422-$E$5)/SQRT(0.9*(IF(G421="",$F$5^2,(ABS(D421-$E$5)/MAX(G421,0.0000000001))^2))+0.1*(D422-$E$5)^2))</f>
        <v>0.46659625389716342</v>
      </c>
      <c r="H422" s="96" t="str">
        <f>IF(E422="","",IF(E422&gt;$I$5,"OUTLIER",""))</f>
        <v/>
      </c>
      <c r="I422" s="96" t="str">
        <f>IF(F422="","",IF(F422&gt;$I$5,"OUTLIER",""))</f>
        <v/>
      </c>
      <c r="J422" s="96" t="str">
        <f>IF(G422="","",IF(G422&gt;$I$5,"OUTLIER",""))</f>
        <v/>
      </c>
      <c r="K422" s="96" t="str">
        <f>IF(C422="","MISSING","")</f>
        <v/>
      </c>
      <c r="L422" s="96" t="str">
        <f>IF(AND(C422&lt;&gt;"",C421&lt;&gt;"",C422=C421),"STALE","")</f>
        <v/>
      </c>
      <c r="M422" s="106">
        <f>IF(D422="","",ABS(D422-G$5))</f>
        <v>1.2793724291861436E-3</v>
      </c>
    </row>
    <row r="423" spans="2:13" ht="15.75" customHeight="1" x14ac:dyDescent="0.55000000000000004">
      <c r="B423" s="94">
        <v>44419</v>
      </c>
      <c r="C423" s="95">
        <v>1.1719999999999999</v>
      </c>
      <c r="D423" s="95">
        <f>IF(OR(C423="",C422=""),"",LN(C423/C422))</f>
        <v>2.560054628481009E-4</v>
      </c>
      <c r="E423" s="95">
        <f>IF(D423="","",ABS(D423-$E$5)/$F$5)</f>
        <v>2.3417250146880848E-2</v>
      </c>
      <c r="F423" s="96">
        <f>IF(D423="","",ABS(D423-$G$5)/$H$5)</f>
        <v>8.5607866108278197E-2</v>
      </c>
      <c r="G423" s="96">
        <f>IF(D423="","",ABS(D423-$E$5)/SQRT(0.9*(IF(G422="",$F$5^2,(ABS(D422-$E$5)/MAX(G422,0.0000000001))^2))+0.1*(D423-$E$5)^2))</f>
        <v>4.0994519793555423E-2</v>
      </c>
      <c r="H423" s="96" t="str">
        <f>IF(E423="","",IF(E423&gt;$I$5,"OUTLIER",""))</f>
        <v/>
      </c>
      <c r="I423" s="96" t="str">
        <f>IF(F423="","",IF(F423&gt;$I$5,"OUTLIER",""))</f>
        <v/>
      </c>
      <c r="J423" s="96" t="str">
        <f>IF(G423="","",IF(G423&gt;$I$5,"OUTLIER",""))</f>
        <v/>
      </c>
      <c r="K423" s="96" t="str">
        <f>IF(C423="","MISSING","")</f>
        <v/>
      </c>
      <c r="L423" s="96" t="str">
        <f>IF(AND(C423&lt;&gt;"",C422&lt;&gt;"",C423=C422),"STALE","")</f>
        <v/>
      </c>
      <c r="M423" s="106">
        <f>IF(D423="","",ABS(D423-G$5))</f>
        <v>2.560054628481009E-4</v>
      </c>
    </row>
    <row r="424" spans="2:13" ht="15.75" customHeight="1" x14ac:dyDescent="0.55000000000000004">
      <c r="B424" s="94">
        <v>44420</v>
      </c>
      <c r="C424" s="95">
        <v>1.1761999999999999</v>
      </c>
      <c r="D424" s="95">
        <f>IF(OR(C424="",C423=""),"",LN(C424/C423))</f>
        <v>3.5772118888976055E-3</v>
      </c>
      <c r="E424" s="95">
        <f>IF(D424="","",ABS(D424-$E$5)/$F$5)</f>
        <v>0.68175049533570731</v>
      </c>
      <c r="F424" s="96">
        <f>IF(D424="","",ABS(D424-$G$5)/$H$5)</f>
        <v>1.1962146159646252</v>
      </c>
      <c r="G424" s="96">
        <f>IF(D424="","",ABS(D424-$E$5)/SQRT(0.9*(IF(G423="",$F$5^2,(ABS(D423-$E$5)/MAX(G423,0.0000000001))^2))+0.1*(D424-$E$5)^2))</f>
        <v>1.1689338101697764</v>
      </c>
      <c r="H424" s="96" t="str">
        <f>IF(E424="","",IF(E424&gt;$I$5,"OUTLIER",""))</f>
        <v/>
      </c>
      <c r="I424" s="96" t="str">
        <f>IF(F424="","",IF(F424&gt;$I$5,"OUTLIER",""))</f>
        <v/>
      </c>
      <c r="J424" s="96" t="str">
        <f>IF(G424="","",IF(G424&gt;$I$5,"OUTLIER",""))</f>
        <v/>
      </c>
      <c r="K424" s="96" t="str">
        <f>IF(C424="","MISSING","")</f>
        <v/>
      </c>
      <c r="L424" s="96" t="str">
        <f>IF(AND(C424&lt;&gt;"",C423&lt;&gt;"",C424=C423),"STALE","")</f>
        <v/>
      </c>
      <c r="M424" s="106">
        <f>IF(D424="","",ABS(D424-G$5))</f>
        <v>3.5772118888976055E-3</v>
      </c>
    </row>
    <row r="425" spans="2:13" ht="15.75" customHeight="1" x14ac:dyDescent="0.55000000000000004">
      <c r="B425" s="94">
        <v>44421</v>
      </c>
      <c r="C425" s="95">
        <v>1.1775</v>
      </c>
      <c r="D425" s="95">
        <f>IF(OR(C425="",C424=""),"",LN(C425/C424))</f>
        <v>1.1046438647172325E-3</v>
      </c>
      <c r="E425" s="95">
        <f>IF(D425="","",ABS(D425-$E$5)/$F$5)</f>
        <v>0.1916353014888173</v>
      </c>
      <c r="F425" s="96">
        <f>IF(D425="","",ABS(D425-$G$5)/$H$5)</f>
        <v>0.36939135210624013</v>
      </c>
      <c r="G425" s="96">
        <f>IF(D425="","",ABS(D425-$E$5)/SQRT(0.9*(IF(G424="",$F$5^2,(ABS(D424-$E$5)/MAX(G424,0.0000000001))^2))+0.1*(D425-$E$5)^2))</f>
        <v>0.34429388872926908</v>
      </c>
      <c r="H425" s="96" t="str">
        <f>IF(E425="","",IF(E425&gt;$I$5,"OUTLIER",""))</f>
        <v/>
      </c>
      <c r="I425" s="96" t="str">
        <f>IF(F425="","",IF(F425&gt;$I$5,"OUTLIER",""))</f>
        <v/>
      </c>
      <c r="J425" s="96" t="str">
        <f>IF(G425="","",IF(G425&gt;$I$5,"OUTLIER",""))</f>
        <v/>
      </c>
      <c r="K425" s="96" t="str">
        <f>IF(C425="","MISSING","")</f>
        <v/>
      </c>
      <c r="L425" s="96" t="str">
        <f>IF(AND(C425&lt;&gt;"",C424&lt;&gt;"",C425=C424),"STALE","")</f>
        <v/>
      </c>
      <c r="M425" s="106">
        <f>IF(D425="","",ABS(D425-G$5))</f>
        <v>1.1046438647172325E-3</v>
      </c>
    </row>
    <row r="426" spans="2:13" ht="15.75" customHeight="1" x14ac:dyDescent="0.55000000000000004">
      <c r="B426" s="94">
        <v>44424</v>
      </c>
      <c r="C426" s="95">
        <v>1.1776</v>
      </c>
      <c r="D426" s="95">
        <f>IF(OR(C426="",C425=""),"",LN(C426/C425))</f>
        <v>8.4922084039021928E-5</v>
      </c>
      <c r="E426" s="95">
        <f>IF(D426="","",ABS(D426-$E$5)/$F$5)</f>
        <v>1.0495088178689839E-2</v>
      </c>
      <c r="F426" s="96">
        <f>IF(D426="","",ABS(D426-$G$5)/$H$5)</f>
        <v>2.8397825261885688E-2</v>
      </c>
      <c r="G426" s="96">
        <f>IF(D426="","",ABS(D426-$E$5)/SQRT(0.9*(IF(G425="",$F$5^2,(ABS(D425-$E$5)/MAX(G425,0.0000000001))^2))+0.1*(D426-$E$5)^2))</f>
        <v>1.9875133701022146E-2</v>
      </c>
      <c r="H426" s="96" t="str">
        <f>IF(E426="","",IF(E426&gt;$I$5,"OUTLIER",""))</f>
        <v/>
      </c>
      <c r="I426" s="96" t="str">
        <f>IF(F426="","",IF(F426&gt;$I$5,"OUTLIER",""))</f>
        <v/>
      </c>
      <c r="J426" s="96" t="str">
        <f>IF(G426="","",IF(G426&gt;$I$5,"OUTLIER",""))</f>
        <v/>
      </c>
      <c r="K426" s="96" t="str">
        <f>IF(C426="","MISSING","")</f>
        <v/>
      </c>
      <c r="L426" s="96" t="str">
        <f>IF(AND(C426&lt;&gt;"",C425&lt;&gt;"",C426=C425),"STALE","")</f>
        <v/>
      </c>
      <c r="M426" s="106">
        <f>IF(D426="","",ABS(D426-G$5))</f>
        <v>8.4922084039021928E-5</v>
      </c>
    </row>
    <row r="427" spans="2:13" ht="15.75" customHeight="1" x14ac:dyDescent="0.55000000000000004">
      <c r="B427" s="94">
        <v>44425</v>
      </c>
      <c r="C427" s="95">
        <v>1.1719999999999999</v>
      </c>
      <c r="D427" s="95">
        <f>IF(OR(C427="",C426=""),"",LN(C427/C426))</f>
        <v>-4.7667778376539295E-3</v>
      </c>
      <c r="E427" s="95">
        <f>IF(D427="","",ABS(D427-$E$5)/$F$5)</f>
        <v>0.97220446254290971</v>
      </c>
      <c r="F427" s="96">
        <f>IF(D427="","",ABS(D427-$G$5)/$H$5)</f>
        <v>1.5940037933327744</v>
      </c>
      <c r="G427" s="96">
        <f>IF(D427="","",ABS(D427-$E$5)/SQRT(0.9*(IF(G426="",$F$5^2,(ABS(D426-$E$5)/MAX(G426,0.0000000001))^2))+0.1*(D427-$E$5)^2))</f>
        <v>1.6540587201329551</v>
      </c>
      <c r="H427" s="96" t="str">
        <f>IF(E427="","",IF(E427&gt;$I$5,"OUTLIER",""))</f>
        <v/>
      </c>
      <c r="I427" s="96" t="str">
        <f>IF(F427="","",IF(F427&gt;$I$5,"OUTLIER",""))</f>
        <v/>
      </c>
      <c r="J427" s="96" t="str">
        <f>IF(G427="","",IF(G427&gt;$I$5,"OUTLIER",""))</f>
        <v/>
      </c>
      <c r="K427" s="96" t="str">
        <f>IF(C427="","MISSING","")</f>
        <v/>
      </c>
      <c r="L427" s="96" t="str">
        <f>IF(AND(C427&lt;&gt;"",C426&lt;&gt;"",C427=C426),"STALE","")</f>
        <v/>
      </c>
      <c r="M427" s="106">
        <f>IF(D427="","",ABS(D427-G$5))</f>
        <v>4.7667778376539295E-3</v>
      </c>
    </row>
    <row r="428" spans="2:13" ht="15.75" customHeight="1" x14ac:dyDescent="0.55000000000000004">
      <c r="B428" s="94">
        <v>44426</v>
      </c>
      <c r="C428" s="95">
        <v>1.1668000000000001</v>
      </c>
      <c r="D428" s="95">
        <f>IF(OR(C428="",C427=""),"",LN(C428/C427))</f>
        <v>-4.4467321433914594E-3</v>
      </c>
      <c r="E428" s="95">
        <f>IF(D428="","",ABS(D428-$E$5)/$F$5)</f>
        <v>0.90876464776357313</v>
      </c>
      <c r="F428" s="96">
        <f>IF(D428="","",ABS(D428-$G$5)/$H$5)</f>
        <v>1.4869809640613179</v>
      </c>
      <c r="G428" s="96">
        <f>IF(D428="","",ABS(D428-$E$5)/SQRT(0.9*(IF(G427="",$F$5^2,(ABS(D427-$E$5)/MAX(G427,0.0000000001))^2))+0.1*(D428-$E$5)^2))</f>
        <v>1.4486826759693048</v>
      </c>
      <c r="H428" s="96" t="str">
        <f>IF(E428="","",IF(E428&gt;$I$5,"OUTLIER",""))</f>
        <v/>
      </c>
      <c r="I428" s="96" t="str">
        <f>IF(F428="","",IF(F428&gt;$I$5,"OUTLIER",""))</f>
        <v/>
      </c>
      <c r="J428" s="96" t="str">
        <f>IF(G428="","",IF(G428&gt;$I$5,"OUTLIER",""))</f>
        <v/>
      </c>
      <c r="K428" s="96" t="str">
        <f>IF(C428="","MISSING","")</f>
        <v/>
      </c>
      <c r="L428" s="96" t="str">
        <f>IF(AND(C428&lt;&gt;"",C427&lt;&gt;"",C428=C427),"STALE","")</f>
        <v/>
      </c>
      <c r="M428" s="106">
        <f>IF(D428="","",ABS(D428-G$5))</f>
        <v>4.4467321433914594E-3</v>
      </c>
    </row>
    <row r="429" spans="2:13" ht="15.75" customHeight="1" x14ac:dyDescent="0.55000000000000004">
      <c r="B429" s="94">
        <v>44427</v>
      </c>
      <c r="C429" s="95">
        <v>1.1685000000000001</v>
      </c>
      <c r="D429" s="95">
        <f>IF(OR(C429="",C428=""),"",LN(C429/C428))</f>
        <v>1.4559159853463084E-3</v>
      </c>
      <c r="E429" s="95">
        <f>IF(D429="","",ABS(D429-$E$5)/$F$5)</f>
        <v>0.26126485336017496</v>
      </c>
      <c r="F429" s="96">
        <f>IF(D429="","",ABS(D429-$G$5)/$H$5)</f>
        <v>0.48685625436196928</v>
      </c>
      <c r="G429" s="96">
        <f>IF(D429="","",ABS(D429-$E$5)/SQRT(0.9*(IF(G428="",$F$5^2,(ABS(D428-$E$5)/MAX(G428,0.0000000001))^2))+0.1*(D429-$E$5)^2))</f>
        <v>0.43484670865516201</v>
      </c>
      <c r="H429" s="96" t="str">
        <f>IF(E429="","",IF(E429&gt;$I$5,"OUTLIER",""))</f>
        <v/>
      </c>
      <c r="I429" s="96" t="str">
        <f>IF(F429="","",IF(F429&gt;$I$5,"OUTLIER",""))</f>
        <v/>
      </c>
      <c r="J429" s="96" t="str">
        <f>IF(G429="","",IF(G429&gt;$I$5,"OUTLIER",""))</f>
        <v/>
      </c>
      <c r="K429" s="96" t="str">
        <f>IF(C429="","MISSING","")</f>
        <v/>
      </c>
      <c r="L429" s="96" t="str">
        <f>IF(AND(C429&lt;&gt;"",C428&lt;&gt;"",C429=C428),"STALE","")</f>
        <v/>
      </c>
      <c r="M429" s="106">
        <f>IF(D429="","",ABS(D429-G$5))</f>
        <v>1.4559159853463084E-3</v>
      </c>
    </row>
    <row r="430" spans="2:13" ht="15.75" customHeight="1" x14ac:dyDescent="0.55000000000000004">
      <c r="B430" s="94">
        <v>44428</v>
      </c>
      <c r="C430" s="95">
        <v>1.1697</v>
      </c>
      <c r="D430" s="95">
        <f>IF(OR(C430="",C429=""),"",LN(C430/C429))</f>
        <v>1.0264306777485728E-3</v>
      </c>
      <c r="E430" s="95">
        <f>IF(D430="","",ABS(D430-$E$5)/$F$5)</f>
        <v>0.17613179625957906</v>
      </c>
      <c r="F430" s="96">
        <f>IF(D430="","",ABS(D430-$G$5)/$H$5)</f>
        <v>0.34323697257298941</v>
      </c>
      <c r="G430" s="96">
        <f>IF(D430="","",ABS(D430-$E$5)/SQRT(0.9*(IF(G429="",$F$5^2,(ABS(D429-$E$5)/MAX(G429,0.0000000001))^2))+0.1*(D430-$E$5)^2))</f>
        <v>0.30754457709790256</v>
      </c>
      <c r="H430" s="96" t="str">
        <f>IF(E430="","",IF(E430&gt;$I$5,"OUTLIER",""))</f>
        <v/>
      </c>
      <c r="I430" s="96" t="str">
        <f>IF(F430="","",IF(F430&gt;$I$5,"OUTLIER",""))</f>
        <v/>
      </c>
      <c r="J430" s="96" t="str">
        <f>IF(G430="","",IF(G430&gt;$I$5,"OUTLIER",""))</f>
        <v/>
      </c>
      <c r="K430" s="96" t="str">
        <f>IF(C430="","MISSING","")</f>
        <v/>
      </c>
      <c r="L430" s="96" t="str">
        <f>IF(AND(C430&lt;&gt;"",C429&lt;&gt;"",C430=C429),"STALE","")</f>
        <v/>
      </c>
      <c r="M430" s="106">
        <f>IF(D430="","",ABS(D430-G$5))</f>
        <v>1.0264306777485728E-3</v>
      </c>
    </row>
    <row r="431" spans="2:13" ht="15.75" customHeight="1" x14ac:dyDescent="0.55000000000000004">
      <c r="B431" s="94">
        <v>44431</v>
      </c>
      <c r="C431" s="95">
        <v>1.1748000000000001</v>
      </c>
      <c r="D431" s="95">
        <f>IF(OR(C431="",C430=""),"",LN(C431/C430))</f>
        <v>4.3506146678037949E-3</v>
      </c>
      <c r="E431" s="95">
        <f>IF(D431="","",ABS(D431-$E$5)/$F$5)</f>
        <v>0.83505525750943288</v>
      </c>
      <c r="F431" s="96">
        <f>IF(D431="","",ABS(D431-$G$5)/$H$5)</f>
        <v>1.4548394156379674</v>
      </c>
      <c r="G431" s="96">
        <f>IF(D431="","",ABS(D431-$E$5)/SQRT(0.9*(IF(G430="",$F$5^2,(ABS(D430-$E$5)/MAX(G430,0.0000000001))^2))+0.1*(D431-$E$5)^2))</f>
        <v>1.3823412000099715</v>
      </c>
      <c r="H431" s="96" t="str">
        <f>IF(E431="","",IF(E431&gt;$I$5,"OUTLIER",""))</f>
        <v/>
      </c>
      <c r="I431" s="96" t="str">
        <f>IF(F431="","",IF(F431&gt;$I$5,"OUTLIER",""))</f>
        <v/>
      </c>
      <c r="J431" s="96" t="str">
        <f>IF(G431="","",IF(G431&gt;$I$5,"OUTLIER",""))</f>
        <v/>
      </c>
      <c r="K431" s="96" t="str">
        <f>IF(C431="","MISSING","")</f>
        <v/>
      </c>
      <c r="L431" s="96" t="str">
        <f>IF(AND(C431&lt;&gt;"",C430&lt;&gt;"",C431=C430),"STALE","")</f>
        <v/>
      </c>
      <c r="M431" s="106">
        <f>IF(D431="","",ABS(D431-G$5))</f>
        <v>4.3506146678037949E-3</v>
      </c>
    </row>
    <row r="432" spans="2:13" ht="15.75" customHeight="1" x14ac:dyDescent="0.55000000000000004">
      <c r="B432" s="94">
        <v>44432</v>
      </c>
      <c r="C432" s="95">
        <v>1.1757</v>
      </c>
      <c r="D432" s="95">
        <f>IF(OR(C432="",C431=""),"",LN(C432/C431))</f>
        <v>7.6579454923045537E-4</v>
      </c>
      <c r="E432" s="95">
        <f>IF(D432="","",ABS(D432-$E$5)/$F$5)</f>
        <v>0.1244682119201735</v>
      </c>
      <c r="F432" s="96">
        <f>IF(D432="","",ABS(D432-$G$5)/$H$5)</f>
        <v>0.25608061838847751</v>
      </c>
      <c r="G432" s="96">
        <f>IF(D432="","",ABS(D432-$E$5)/SQRT(0.9*(IF(G431="",$F$5^2,(ABS(D431-$E$5)/MAX(G431,0.0000000001))^2))+0.1*(D432-$E$5)^2))</f>
        <v>0.21667825923661038</v>
      </c>
      <c r="H432" s="96" t="str">
        <f>IF(E432="","",IF(E432&gt;$I$5,"OUTLIER",""))</f>
        <v/>
      </c>
      <c r="I432" s="96" t="str">
        <f>IF(F432="","",IF(F432&gt;$I$5,"OUTLIER",""))</f>
        <v/>
      </c>
      <c r="J432" s="96" t="str">
        <f>IF(G432="","",IF(G432&gt;$I$5,"OUTLIER",""))</f>
        <v/>
      </c>
      <c r="K432" s="96" t="str">
        <f>IF(C432="","MISSING","")</f>
        <v/>
      </c>
      <c r="L432" s="96" t="str">
        <f>IF(AND(C432&lt;&gt;"",C431&lt;&gt;"",C432=C431),"STALE","")</f>
        <v/>
      </c>
      <c r="M432" s="106">
        <f>IF(D432="","",ABS(D432-G$5))</f>
        <v>7.6579454923045537E-4</v>
      </c>
    </row>
    <row r="433" spans="2:13" ht="15.75" customHeight="1" x14ac:dyDescent="0.55000000000000004">
      <c r="B433" s="94">
        <v>44433</v>
      </c>
      <c r="C433" s="95">
        <v>1.1782999999999999</v>
      </c>
      <c r="D433" s="95">
        <f>IF(OR(C433="",C432=""),"",LN(C433/C432))</f>
        <v>2.209006845599402E-3</v>
      </c>
      <c r="E433" s="95">
        <f>IF(D433="","",ABS(D433-$E$5)/$F$5)</f>
        <v>0.41054336434456695</v>
      </c>
      <c r="F433" s="96">
        <f>IF(D433="","",ABS(D433-$G$5)/$H$5)</f>
        <v>0.73868877705375269</v>
      </c>
      <c r="G433" s="96">
        <f>IF(D433="","",ABS(D433-$E$5)/SQRT(0.9*(IF(G432="",$F$5^2,(ABS(D432-$E$5)/MAX(G432,0.0000000001))^2))+0.1*(D433-$E$5)^2))</f>
        <v>0.73283788212339607</v>
      </c>
      <c r="H433" s="96" t="str">
        <f>IF(E433="","",IF(E433&gt;$I$5,"OUTLIER",""))</f>
        <v/>
      </c>
      <c r="I433" s="96" t="str">
        <f>IF(F433="","",IF(F433&gt;$I$5,"OUTLIER",""))</f>
        <v/>
      </c>
      <c r="J433" s="96" t="str">
        <f>IF(G433="","",IF(G433&gt;$I$5,"OUTLIER",""))</f>
        <v/>
      </c>
      <c r="K433" s="96" t="str">
        <f>IF(C433="","MISSING","")</f>
        <v/>
      </c>
      <c r="L433" s="96" t="str">
        <f>IF(AND(C433&lt;&gt;"",C432&lt;&gt;"",C433=C432),"STALE","")</f>
        <v/>
      </c>
      <c r="M433" s="106">
        <f>IF(D433="","",ABS(D433-G$5))</f>
        <v>2.209006845599402E-3</v>
      </c>
    </row>
    <row r="434" spans="2:13" ht="15.75" customHeight="1" x14ac:dyDescent="0.55000000000000004">
      <c r="B434" s="94">
        <v>44434</v>
      </c>
      <c r="C434" s="95">
        <v>1.1774</v>
      </c>
      <c r="D434" s="95">
        <f>IF(OR(C434="",C433=""),"",LN(C434/C433))</f>
        <v>-7.6410412513400498E-4</v>
      </c>
      <c r="E434" s="95">
        <f>IF(D434="","",ABS(D434-$E$5)/$F$5)</f>
        <v>0.17879001111730841</v>
      </c>
      <c r="F434" s="96">
        <f>IF(D434="","",ABS(D434-$G$5)/$H$5)</f>
        <v>0.25551534295214434</v>
      </c>
      <c r="G434" s="96">
        <f>IF(D434="","",ABS(D434-$E$5)/SQRT(0.9*(IF(G433="",$F$5^2,(ABS(D433-$E$5)/MAX(G433,0.0000000001))^2))+0.1*(D434-$E$5)^2))</f>
        <v>0.33452390551345462</v>
      </c>
      <c r="H434" s="96" t="str">
        <f>IF(E434="","",IF(E434&gt;$I$5,"OUTLIER",""))</f>
        <v/>
      </c>
      <c r="I434" s="96" t="str">
        <f>IF(F434="","",IF(F434&gt;$I$5,"OUTLIER",""))</f>
        <v/>
      </c>
      <c r="J434" s="96" t="str">
        <f>IF(G434="","",IF(G434&gt;$I$5,"OUTLIER",""))</f>
        <v/>
      </c>
      <c r="K434" s="96" t="str">
        <f>IF(C434="","MISSING","")</f>
        <v/>
      </c>
      <c r="L434" s="96" t="str">
        <f>IF(AND(C434&lt;&gt;"",C433&lt;&gt;"",C434=C433),"STALE","")</f>
        <v/>
      </c>
      <c r="M434" s="106">
        <f>IF(D434="","",ABS(D434-G$5))</f>
        <v>7.6410412513400498E-4</v>
      </c>
    </row>
    <row r="435" spans="2:13" ht="15.75" customHeight="1" x14ac:dyDescent="0.55000000000000004">
      <c r="B435" s="94">
        <v>44435</v>
      </c>
      <c r="C435" s="95">
        <v>1.1772</v>
      </c>
      <c r="D435" s="95">
        <f>IF(OR(C435="",C434=""),"",LN(C435/C434))</f>
        <v>-1.6988023484321784E-4</v>
      </c>
      <c r="E435" s="95">
        <f>IF(D435="","",ABS(D435-$E$5)/$F$5)</f>
        <v>6.100228825986985E-2</v>
      </c>
      <c r="F435" s="96">
        <f>IF(D435="","",ABS(D435-$G$5)/$H$5)</f>
        <v>5.6807711199233626E-2</v>
      </c>
      <c r="G435" s="96">
        <f>IF(D435="","",ABS(D435-$E$5)/SQRT(0.9*(IF(G434="",$F$5^2,(ABS(D434-$E$5)/MAX(G434,0.0000000001))^2))+0.1*(D435-$E$5)^2))</f>
        <v>0.120224972356509</v>
      </c>
      <c r="H435" s="96" t="str">
        <f>IF(E435="","",IF(E435&gt;$I$5,"OUTLIER",""))</f>
        <v/>
      </c>
      <c r="I435" s="96" t="str">
        <f>IF(F435="","",IF(F435&gt;$I$5,"OUTLIER",""))</f>
        <v/>
      </c>
      <c r="J435" s="96" t="str">
        <f>IF(G435="","",IF(G435&gt;$I$5,"OUTLIER",""))</f>
        <v/>
      </c>
      <c r="K435" s="96" t="str">
        <f>IF(C435="","MISSING","")</f>
        <v/>
      </c>
      <c r="L435" s="96" t="str">
        <f>IF(AND(C435&lt;&gt;"",C434&lt;&gt;"",C435=C434),"STALE","")</f>
        <v/>
      </c>
      <c r="M435" s="106">
        <f>IF(D435="","",ABS(D435-G$5))</f>
        <v>1.6988023484321784E-4</v>
      </c>
    </row>
    <row r="436" spans="2:13" ht="15.75" customHeight="1" x14ac:dyDescent="0.55000000000000004">
      <c r="B436" s="94">
        <v>44438</v>
      </c>
      <c r="C436" s="95">
        <v>1.1791</v>
      </c>
      <c r="D436" s="95">
        <f>IF(OR(C436="",C435=""),"",LN(C436/C435))</f>
        <v>1.6126982233099954E-3</v>
      </c>
      <c r="E436" s="95">
        <f>IF(D436="","",ABS(D436-$E$5)/$F$5)</f>
        <v>0.29234240358320424</v>
      </c>
      <c r="F436" s="96">
        <f>IF(D436="","",ABS(D436-$G$5)/$H$5)</f>
        <v>0.53928401385753622</v>
      </c>
      <c r="G436" s="96">
        <f>IF(D436="","",ABS(D436-$E$5)/SQRT(0.9*(IF(G435="",$F$5^2,(ABS(D435-$E$5)/MAX(G435,0.0000000001))^2))+0.1*(D436-$E$5)^2))</f>
        <v>0.59642251242264221</v>
      </c>
      <c r="H436" s="96" t="str">
        <f>IF(E436="","",IF(E436&gt;$I$5,"OUTLIER",""))</f>
        <v/>
      </c>
      <c r="I436" s="96" t="str">
        <f>IF(F436="","",IF(F436&gt;$I$5,"OUTLIER",""))</f>
        <v/>
      </c>
      <c r="J436" s="96" t="str">
        <f>IF(G436="","",IF(G436&gt;$I$5,"OUTLIER",""))</f>
        <v/>
      </c>
      <c r="K436" s="96" t="str">
        <f>IF(C436="","MISSING","")</f>
        <v/>
      </c>
      <c r="L436" s="96" t="str">
        <f>IF(AND(C436&lt;&gt;"",C435&lt;&gt;"",C436=C435),"STALE","")</f>
        <v/>
      </c>
      <c r="M436" s="106">
        <f>IF(D436="","",ABS(D436-G$5))</f>
        <v>1.6126982233099954E-3</v>
      </c>
    </row>
    <row r="437" spans="2:13" ht="15.75" customHeight="1" x14ac:dyDescent="0.55000000000000004">
      <c r="B437" s="94">
        <v>44439</v>
      </c>
      <c r="C437" s="95">
        <v>1.1795</v>
      </c>
      <c r="D437" s="95">
        <f>IF(OR(C437="",C436=""),"",LN(C437/C436))</f>
        <v>3.3918426510207871E-4</v>
      </c>
      <c r="E437" s="95">
        <f>IF(D437="","",ABS(D437-$E$5)/$F$5)</f>
        <v>3.9905045181023259E-2</v>
      </c>
      <c r="F437" s="96">
        <f>IF(D437="","",ABS(D437-$G$5)/$H$5)</f>
        <v>0.11342274039723248</v>
      </c>
      <c r="G437" s="96">
        <f>IF(D437="","",ABS(D437-$E$5)/SQRT(0.9*(IF(G436="",$F$5^2,(ABS(D436-$E$5)/MAX(G436,0.0000000001))^2))+0.1*(D437-$E$5)^2))</f>
        <v>8.5784516841227357E-2</v>
      </c>
      <c r="H437" s="96" t="str">
        <f>IF(E437="","",IF(E437&gt;$I$5,"OUTLIER",""))</f>
        <v/>
      </c>
      <c r="I437" s="96" t="str">
        <f>IF(F437="","",IF(F437&gt;$I$5,"OUTLIER",""))</f>
        <v/>
      </c>
      <c r="J437" s="96" t="str">
        <f>IF(G437="","",IF(G437&gt;$I$5,"OUTLIER",""))</f>
        <v/>
      </c>
      <c r="K437" s="96" t="str">
        <f>IF(C437="","MISSING","")</f>
        <v/>
      </c>
      <c r="L437" s="96" t="str">
        <f>IF(AND(C437&lt;&gt;"",C436&lt;&gt;"",C437=C436),"STALE","")</f>
        <v/>
      </c>
      <c r="M437" s="106">
        <f>IF(D437="","",ABS(D437-G$5))</f>
        <v>3.3918426510207871E-4</v>
      </c>
    </row>
    <row r="438" spans="2:13" ht="15.75" customHeight="1" x14ac:dyDescent="0.55000000000000004">
      <c r="B438" s="94">
        <v>44440</v>
      </c>
      <c r="C438" s="95">
        <v>1.1834</v>
      </c>
      <c r="D438" s="95">
        <f>IF(OR(C438="",C437=""),"",LN(C438/C437))</f>
        <v>3.3010313948640233E-3</v>
      </c>
      <c r="E438" s="95">
        <f>IF(D438="","",ABS(D438-$E$5)/$F$5)</f>
        <v>0.62700568951186375</v>
      </c>
      <c r="F438" s="96">
        <f>IF(D438="","",ABS(D438-$G$5)/$H$5)</f>
        <v>1.1038602478511073</v>
      </c>
      <c r="G438" s="96">
        <f>IF(D438="","",ABS(D438-$E$5)/SQRT(0.9*(IF(G437="",$F$5^2,(ABS(D437-$E$5)/MAX(G437,0.0000000001))^2))+0.1*(D438-$E$5)^2))</f>
        <v>1.2959950669767744</v>
      </c>
      <c r="H438" s="96" t="str">
        <f>IF(E438="","",IF(E438&gt;$I$5,"OUTLIER",""))</f>
        <v/>
      </c>
      <c r="I438" s="96" t="str">
        <f>IF(F438="","",IF(F438&gt;$I$5,"OUTLIER",""))</f>
        <v/>
      </c>
      <c r="J438" s="96" t="str">
        <f>IF(G438="","",IF(G438&gt;$I$5,"OUTLIER",""))</f>
        <v/>
      </c>
      <c r="K438" s="96" t="str">
        <f>IF(C438="","MISSING","")</f>
        <v/>
      </c>
      <c r="L438" s="96" t="str">
        <f>IF(AND(C438&lt;&gt;"",C437&lt;&gt;"",C438=C437),"STALE","")</f>
        <v/>
      </c>
      <c r="M438" s="106">
        <f>IF(D438="","",ABS(D438-G$5))</f>
        <v>3.3010313948640233E-3</v>
      </c>
    </row>
    <row r="439" spans="2:13" ht="15.75" customHeight="1" x14ac:dyDescent="0.55000000000000004">
      <c r="B439" s="94">
        <v>44441</v>
      </c>
      <c r="C439" s="95">
        <v>1.1878</v>
      </c>
      <c r="D439" s="95">
        <f>IF(OR(C439="",C438=""),"",LN(C439/C438))</f>
        <v>3.7112053391662025E-3</v>
      </c>
      <c r="E439" s="95">
        <f>IF(D439="","",ABS(D439-$E$5)/$F$5)</f>
        <v>0.70831082662300382</v>
      </c>
      <c r="F439" s="96">
        <f>IF(D439="","",ABS(D439-$G$5)/$H$5)</f>
        <v>1.2410218369604773</v>
      </c>
      <c r="G439" s="96">
        <f>IF(D439="","",ABS(D439-$E$5)/SQRT(0.9*(IF(G438="",$F$5^2,(ABS(D438-$E$5)/MAX(G438,0.0000000001))^2))+0.1*(D439-$E$5)^2))</f>
        <v>1.3869030132168949</v>
      </c>
      <c r="H439" s="96" t="str">
        <f>IF(E439="","",IF(E439&gt;$I$5,"OUTLIER",""))</f>
        <v/>
      </c>
      <c r="I439" s="96" t="str">
        <f>IF(F439="","",IF(F439&gt;$I$5,"OUTLIER",""))</f>
        <v/>
      </c>
      <c r="J439" s="96" t="str">
        <f>IF(G439="","",IF(G439&gt;$I$5,"OUTLIER",""))</f>
        <v/>
      </c>
      <c r="K439" s="96" t="str">
        <f>IF(C439="","MISSING","")</f>
        <v/>
      </c>
      <c r="L439" s="96" t="str">
        <f>IF(AND(C439&lt;&gt;"",C438&lt;&gt;"",C439=C438),"STALE","")</f>
        <v/>
      </c>
      <c r="M439" s="106">
        <f>IF(D439="","",ABS(D439-G$5))</f>
        <v>3.7112053391662025E-3</v>
      </c>
    </row>
    <row r="440" spans="2:13" ht="15.75" customHeight="1" x14ac:dyDescent="0.55000000000000004">
      <c r="B440" s="94">
        <v>44442</v>
      </c>
      <c r="C440" s="95">
        <v>1.1875</v>
      </c>
      <c r="D440" s="95">
        <f>IF(OR(C440="",C439=""),"",LN(C440/C439))</f>
        <v>-2.5259967296358069E-4</v>
      </c>
      <c r="E440" s="95">
        <f>IF(D440="","",ABS(D440-$E$5)/$F$5)</f>
        <v>7.7399027622665206E-2</v>
      </c>
      <c r="F440" s="96">
        <f>IF(D440="","",ABS(D440-$G$5)/$H$5)</f>
        <v>8.4468974769072946E-2</v>
      </c>
      <c r="G440" s="96">
        <f>IF(D440="","",ABS(D440-$E$5)/SQRT(0.9*(IF(G439="",$F$5^2,(ABS(D439-$E$5)/MAX(G439,0.0000000001))^2))+0.1*(D440-$E$5)^2))</f>
        <v>0.15954493357057864</v>
      </c>
      <c r="H440" s="96" t="str">
        <f>IF(E440="","",IF(E440&gt;$I$5,"OUTLIER",""))</f>
        <v/>
      </c>
      <c r="I440" s="96" t="str">
        <f>IF(F440="","",IF(F440&gt;$I$5,"OUTLIER",""))</f>
        <v/>
      </c>
      <c r="J440" s="96" t="str">
        <f>IF(G440="","",IF(G440&gt;$I$5,"OUTLIER",""))</f>
        <v/>
      </c>
      <c r="K440" s="96" t="str">
        <f>IF(C440="","MISSING","")</f>
        <v/>
      </c>
      <c r="L440" s="96" t="str">
        <f>IF(AND(C440&lt;&gt;"",C439&lt;&gt;"",C440=C439),"STALE","")</f>
        <v/>
      </c>
      <c r="M440" s="106">
        <f>IF(D440="","",ABS(D440-G$5))</f>
        <v>2.5259967296358069E-4</v>
      </c>
    </row>
    <row r="441" spans="2:13" ht="15.75" customHeight="1" x14ac:dyDescent="0.55000000000000004">
      <c r="B441" s="94">
        <v>44446</v>
      </c>
      <c r="C441" s="95">
        <v>1.1878</v>
      </c>
      <c r="D441" s="95">
        <f>IF(OR(C441="",C440=""),"",LN(C441/C440))</f>
        <v>2.5259967296346772E-4</v>
      </c>
      <c r="E441" s="95">
        <f>IF(D441="","",ABS(D441-$E$5)/$F$5)</f>
        <v>2.274215067411221E-2</v>
      </c>
      <c r="F441" s="96">
        <f>IF(D441="","",ABS(D441-$G$5)/$H$5)</f>
        <v>8.4468974769035171E-2</v>
      </c>
      <c r="G441" s="96">
        <f>IF(D441="","",ABS(D441-$E$5)/SQRT(0.9*(IF(G440="",$F$5^2,(ABS(D440-$E$5)/MAX(G440,0.0000000001))^2))+0.1*(D441-$E$5)^2))</f>
        <v>4.9408853162941545E-2</v>
      </c>
      <c r="H441" s="96" t="str">
        <f>IF(E441="","",IF(E441&gt;$I$5,"OUTLIER",""))</f>
        <v/>
      </c>
      <c r="I441" s="96" t="str">
        <f>IF(F441="","",IF(F441&gt;$I$5,"OUTLIER",""))</f>
        <v/>
      </c>
      <c r="J441" s="96" t="str">
        <f>IF(G441="","",IF(G441&gt;$I$5,"OUTLIER",""))</f>
        <v/>
      </c>
      <c r="K441" s="96" t="str">
        <f>IF(C441="","MISSING","")</f>
        <v/>
      </c>
      <c r="L441" s="96" t="str">
        <f>IF(AND(C441&lt;&gt;"",C440&lt;&gt;"",C441=C440),"STALE","")</f>
        <v/>
      </c>
      <c r="M441" s="106">
        <f>IF(D441="","",ABS(D441-G$5))</f>
        <v>2.5259967296346772E-4</v>
      </c>
    </row>
    <row r="442" spans="2:13" ht="15.75" customHeight="1" x14ac:dyDescent="0.55000000000000004">
      <c r="B442" s="94">
        <v>44447</v>
      </c>
      <c r="C442" s="95">
        <v>1.1812</v>
      </c>
      <c r="D442" s="95">
        <f>IF(OR(C442="",C441=""),"",LN(C442/C441))</f>
        <v>-5.5719857119921456E-3</v>
      </c>
      <c r="E442" s="95">
        <f>IF(D442="","",ABS(D442-$E$5)/$F$5)</f>
        <v>1.1318136662367646</v>
      </c>
      <c r="F442" s="96">
        <f>IF(D442="","",ABS(D442-$G$5)/$H$5)</f>
        <v>1.8632641721106198</v>
      </c>
      <c r="G442" s="96">
        <f>IF(D442="","",ABS(D442-$E$5)/SQRT(0.9*(IF(G441="",$F$5^2,(ABS(D441-$E$5)/MAX(G441,0.0000000001))^2))+0.1*(D442-$E$5)^2))</f>
        <v>2.0046196288927098</v>
      </c>
      <c r="H442" s="96" t="str">
        <f>IF(E442="","",IF(E442&gt;$I$5,"OUTLIER",""))</f>
        <v/>
      </c>
      <c r="I442" s="96" t="str">
        <f>IF(F442="","",IF(F442&gt;$I$5,"OUTLIER",""))</f>
        <v/>
      </c>
      <c r="J442" s="96" t="str">
        <f>IF(G442="","",IF(G442&gt;$I$5,"OUTLIER",""))</f>
        <v/>
      </c>
      <c r="K442" s="96" t="str">
        <f>IF(C442="","MISSING","")</f>
        <v/>
      </c>
      <c r="L442" s="96" t="str">
        <f>IF(AND(C442&lt;&gt;"",C441&lt;&gt;"",C442=C441),"STALE","")</f>
        <v/>
      </c>
      <c r="M442" s="106">
        <f>IF(D442="","",ABS(D442-G$5))</f>
        <v>5.5719857119921456E-3</v>
      </c>
    </row>
    <row r="443" spans="2:13" ht="15.75" customHeight="1" x14ac:dyDescent="0.55000000000000004">
      <c r="B443" s="94">
        <v>44448</v>
      </c>
      <c r="C443" s="95">
        <v>1.1818</v>
      </c>
      <c r="D443" s="95">
        <f>IF(OR(C443="",C442=""),"",LN(C443/C442))</f>
        <v>5.0782904180655367E-4</v>
      </c>
      <c r="E443" s="95">
        <f>IF(D443="","",ABS(D443-$E$5)/$F$5)</f>
        <v>7.333400107524117E-2</v>
      </c>
      <c r="F443" s="96">
        <f>IF(D443="","",ABS(D443-$G$5)/$H$5)</f>
        <v>0.16981731613542073</v>
      </c>
      <c r="G443" s="96">
        <f>IF(D443="","",ABS(D443-$E$5)/SQRT(0.9*(IF(G442="",$F$5^2,(ABS(D442-$E$5)/MAX(G442,0.0000000001))^2))+0.1*(D443-$E$5)^2))</f>
        <v>0.1367837519884397</v>
      </c>
      <c r="H443" s="96" t="str">
        <f>IF(E443="","",IF(E443&gt;$I$5,"OUTLIER",""))</f>
        <v/>
      </c>
      <c r="I443" s="96" t="str">
        <f>IF(F443="","",IF(F443&gt;$I$5,"OUTLIER",""))</f>
        <v/>
      </c>
      <c r="J443" s="96" t="str">
        <f>IF(G443="","",IF(G443&gt;$I$5,"OUTLIER",""))</f>
        <v/>
      </c>
      <c r="K443" s="96" t="str">
        <f>IF(C443="","MISSING","")</f>
        <v/>
      </c>
      <c r="L443" s="96" t="str">
        <f>IF(AND(C443&lt;&gt;"",C442&lt;&gt;"",C443=C442),"STALE","")</f>
        <v/>
      </c>
      <c r="M443" s="106">
        <f>IF(D443="","",ABS(D443-G$5))</f>
        <v>5.0782904180655367E-4</v>
      </c>
    </row>
    <row r="444" spans="2:13" ht="15.75" customHeight="1" x14ac:dyDescent="0.55000000000000004">
      <c r="B444" s="94">
        <v>44449</v>
      </c>
      <c r="C444" s="95">
        <v>1.1822999999999999</v>
      </c>
      <c r="D444" s="95">
        <f>IF(OR(C444="",C443=""),"",LN(C444/C443))</f>
        <v>4.2299395749333633E-4</v>
      </c>
      <c r="E444" s="95">
        <f>IF(D444="","",ABS(D444-$E$5)/$F$5)</f>
        <v>5.65178959624313E-2</v>
      </c>
      <c r="F444" s="96">
        <f>IF(D444="","",ABS(D444-$G$5)/$H$5)</f>
        <v>0.1414485834592763</v>
      </c>
      <c r="G444" s="96">
        <f>IF(D444="","",ABS(D444-$E$5)/SQRT(0.9*(IF(G443="",$F$5^2,(ABS(D443-$E$5)/MAX(G443,0.0000000001))^2))+0.1*(D444-$E$5)^2))</f>
        <v>0.11105187616027687</v>
      </c>
      <c r="H444" s="96" t="str">
        <f>IF(E444="","",IF(E444&gt;$I$5,"OUTLIER",""))</f>
        <v/>
      </c>
      <c r="I444" s="96" t="str">
        <f>IF(F444="","",IF(F444&gt;$I$5,"OUTLIER",""))</f>
        <v/>
      </c>
      <c r="J444" s="96" t="str">
        <f>IF(G444="","",IF(G444&gt;$I$5,"OUTLIER",""))</f>
        <v/>
      </c>
      <c r="K444" s="96" t="str">
        <f>IF(C444="","MISSING","")</f>
        <v/>
      </c>
      <c r="L444" s="96" t="str">
        <f>IF(AND(C444&lt;&gt;"",C443&lt;&gt;"",C444=C443),"STALE","")</f>
        <v/>
      </c>
      <c r="M444" s="106">
        <f>IF(D444="","",ABS(D444-G$5))</f>
        <v>4.2299395749333633E-4</v>
      </c>
    </row>
    <row r="445" spans="2:13" ht="15.75" customHeight="1" x14ac:dyDescent="0.55000000000000004">
      <c r="B445" s="94">
        <v>44452</v>
      </c>
      <c r="C445" s="95">
        <v>1.1811</v>
      </c>
      <c r="D445" s="95">
        <f>IF(OR(C445="",C444=""),"",LN(C445/C444))</f>
        <v>-1.0154862512660209E-3</v>
      </c>
      <c r="E445" s="95">
        <f>IF(D445="","",ABS(D445-$E$5)/$F$5)</f>
        <v>0.22861925677362469</v>
      </c>
      <c r="F445" s="96">
        <f>IF(D445="","",ABS(D445-$G$5)/$H$5)</f>
        <v>0.33957717177605828</v>
      </c>
      <c r="G445" s="96">
        <f>IF(D445="","",ABS(D445-$E$5)/SQRT(0.9*(IF(G444="",$F$5^2,(ABS(D444-$E$5)/MAX(G444,0.0000000001))^2))+0.1*(D445-$E$5)^2))</f>
        <v>0.46829174322136552</v>
      </c>
      <c r="H445" s="96" t="str">
        <f>IF(E445="","",IF(E445&gt;$I$5,"OUTLIER",""))</f>
        <v/>
      </c>
      <c r="I445" s="96" t="str">
        <f>IF(F445="","",IF(F445&gt;$I$5,"OUTLIER",""))</f>
        <v/>
      </c>
      <c r="J445" s="96" t="str">
        <f>IF(G445="","",IF(G445&gt;$I$5,"OUTLIER",""))</f>
        <v/>
      </c>
      <c r="K445" s="96" t="str">
        <f>IF(C445="","MISSING","")</f>
        <v/>
      </c>
      <c r="L445" s="96" t="str">
        <f>IF(AND(C445&lt;&gt;"",C444&lt;&gt;"",C445=C444),"STALE","")</f>
        <v/>
      </c>
      <c r="M445" s="106">
        <f>IF(D445="","",ABS(D445-G$5))</f>
        <v>1.0154862512660209E-3</v>
      </c>
    </row>
    <row r="446" spans="2:13" ht="15.75" customHeight="1" x14ac:dyDescent="0.55000000000000004">
      <c r="B446" s="94">
        <v>44453</v>
      </c>
      <c r="C446" s="95">
        <v>1.179</v>
      </c>
      <c r="D446" s="95">
        <f>IF(OR(C446="",C445=""),"",LN(C446/C445))</f>
        <v>-1.7795860804305892E-3</v>
      </c>
      <c r="E446" s="95">
        <f>IF(D446="","",ABS(D446-$E$5)/$F$5)</f>
        <v>0.38007997786481051</v>
      </c>
      <c r="F446" s="96">
        <f>IF(D446="","",ABS(D446-$G$5)/$H$5)</f>
        <v>0.59509107816207529</v>
      </c>
      <c r="G446" s="96">
        <f>IF(D446="","",ABS(D446-$E$5)/SQRT(0.9*(IF(G445="",$F$5^2,(ABS(D445-$E$5)/MAX(G445,0.0000000001))^2))+0.1*(D446-$E$5)^2))</f>
        <v>0.79433686697449724</v>
      </c>
      <c r="H446" s="96" t="str">
        <f>IF(E446="","",IF(E446&gt;$I$5,"OUTLIER",""))</f>
        <v/>
      </c>
      <c r="I446" s="96" t="str">
        <f>IF(F446="","",IF(F446&gt;$I$5,"OUTLIER",""))</f>
        <v/>
      </c>
      <c r="J446" s="96" t="str">
        <f>IF(G446="","",IF(G446&gt;$I$5,"OUTLIER",""))</f>
        <v/>
      </c>
      <c r="K446" s="96" t="str">
        <f>IF(C446="","MISSING","")</f>
        <v/>
      </c>
      <c r="L446" s="96" t="str">
        <f>IF(AND(C446&lt;&gt;"",C445&lt;&gt;"",C446=C445),"STALE","")</f>
        <v/>
      </c>
      <c r="M446" s="106">
        <f>IF(D446="","",ABS(D446-G$5))</f>
        <v>1.7795860804305892E-3</v>
      </c>
    </row>
    <row r="447" spans="2:13" ht="15.75" customHeight="1" x14ac:dyDescent="0.55000000000000004">
      <c r="B447" s="94">
        <v>44454</v>
      </c>
      <c r="C447" s="95">
        <v>1.1798</v>
      </c>
      <c r="D447" s="95">
        <f>IF(OR(C447="",C446=""),"",LN(C447/C446))</f>
        <v>6.7831103160397716E-4</v>
      </c>
      <c r="E447" s="95">
        <f>IF(D447="","",ABS(D447-$E$5)/$F$5)</f>
        <v>0.10712713139959919</v>
      </c>
      <c r="F447" s="96">
        <f>IF(D447="","",ABS(D447-$G$5)/$H$5)</f>
        <v>0.2268262533435704</v>
      </c>
      <c r="G447" s="96">
        <f>IF(D447="","",ABS(D447-$E$5)/SQRT(0.9*(IF(G446="",$F$5^2,(ABS(D446-$E$5)/MAX(G446,0.0000000001))^2))+0.1*(D447-$E$5)^2))</f>
        <v>0.23534333488039616</v>
      </c>
      <c r="H447" s="96" t="str">
        <f>IF(E447="","",IF(E447&gt;$I$5,"OUTLIER",""))</f>
        <v/>
      </c>
      <c r="I447" s="96" t="str">
        <f>IF(F447="","",IF(F447&gt;$I$5,"OUTLIER",""))</f>
        <v/>
      </c>
      <c r="J447" s="96" t="str">
        <f>IF(G447="","",IF(G447&gt;$I$5,"OUTLIER",""))</f>
        <v/>
      </c>
      <c r="K447" s="96" t="str">
        <f>IF(C447="","MISSING","")</f>
        <v/>
      </c>
      <c r="L447" s="96" t="str">
        <f>IF(AND(C447&lt;&gt;"",C446&lt;&gt;"",C447=C446),"STALE","")</f>
        <v/>
      </c>
      <c r="M447" s="106">
        <f>IF(D447="","",ABS(D447-G$5))</f>
        <v>6.7831103160397716E-4</v>
      </c>
    </row>
    <row r="448" spans="2:13" ht="15.75" customHeight="1" x14ac:dyDescent="0.55000000000000004">
      <c r="B448" s="94">
        <v>44455</v>
      </c>
      <c r="C448" s="95">
        <v>1.1767000000000001</v>
      </c>
      <c r="D448" s="95">
        <f>IF(OR(C448="",C447=""),"",LN(C448/C447))</f>
        <v>-2.6310220990915846E-3</v>
      </c>
      <c r="E448" s="95">
        <f>IF(D448="","",ABS(D448-$E$5)/$F$5)</f>
        <v>0.54885257593017156</v>
      </c>
      <c r="F448" s="96">
        <f>IF(D448="","",ABS(D448-$G$5)/$H$5)</f>
        <v>0.87981008327387056</v>
      </c>
      <c r="G448" s="96">
        <f>IF(D448="","",ABS(D448-$E$5)/SQRT(0.9*(IF(G447="",$F$5^2,(ABS(D447-$E$5)/MAX(G447,0.0000000001))^2))+0.1*(D448-$E$5)^2))</f>
        <v>1.1792889628359997</v>
      </c>
      <c r="H448" s="96" t="str">
        <f>IF(E448="","",IF(E448&gt;$I$5,"OUTLIER",""))</f>
        <v/>
      </c>
      <c r="I448" s="96" t="str">
        <f>IF(F448="","",IF(F448&gt;$I$5,"OUTLIER",""))</f>
        <v/>
      </c>
      <c r="J448" s="96" t="str">
        <f>IF(G448="","",IF(G448&gt;$I$5,"OUTLIER",""))</f>
        <v/>
      </c>
      <c r="K448" s="96" t="str">
        <f>IF(C448="","MISSING","")</f>
        <v/>
      </c>
      <c r="L448" s="96" t="str">
        <f>IF(AND(C448&lt;&gt;"",C447&lt;&gt;"",C448=C447),"STALE","")</f>
        <v/>
      </c>
      <c r="M448" s="106">
        <f>IF(D448="","",ABS(D448-G$5))</f>
        <v>2.6310220990915846E-3</v>
      </c>
    </row>
    <row r="449" spans="2:13" ht="15.75" customHeight="1" x14ac:dyDescent="0.55000000000000004">
      <c r="B449" s="94">
        <v>44456</v>
      </c>
      <c r="C449" s="95">
        <v>1.1774</v>
      </c>
      <c r="D449" s="95">
        <f>IF(OR(C449="",C448=""),"",LN(C449/C448))</f>
        <v>5.9470712427771332E-4</v>
      </c>
      <c r="E449" s="95">
        <f>IF(D449="","",ABS(D449-$E$5)/$F$5)</f>
        <v>9.0555071563489256E-2</v>
      </c>
      <c r="F449" s="96">
        <f>IF(D449="","",ABS(D449-$G$5)/$H$5)</f>
        <v>0.19886922451734437</v>
      </c>
      <c r="G449" s="96">
        <f>IF(D449="","",ABS(D449-$E$5)/SQRT(0.9*(IF(G448="",$F$5^2,(ABS(D448-$E$5)/MAX(G448,0.0000000001))^2))+0.1*(D449-$E$5)^2))</f>
        <v>0.20466545949798481</v>
      </c>
      <c r="H449" s="96" t="str">
        <f>IF(E449="","",IF(E449&gt;$I$5,"OUTLIER",""))</f>
        <v/>
      </c>
      <c r="I449" s="96" t="str">
        <f>IF(F449="","",IF(F449&gt;$I$5,"OUTLIER",""))</f>
        <v/>
      </c>
      <c r="J449" s="96" t="str">
        <f>IF(G449="","",IF(G449&gt;$I$5,"OUTLIER",""))</f>
        <v/>
      </c>
      <c r="K449" s="96" t="str">
        <f>IF(C449="","MISSING","")</f>
        <v/>
      </c>
      <c r="L449" s="96" t="str">
        <f>IF(AND(C449&lt;&gt;"",C448&lt;&gt;"",C449=C448),"STALE","")</f>
        <v/>
      </c>
      <c r="M449" s="106">
        <f>IF(D449="","",ABS(D449-G$5))</f>
        <v>5.9470712427771332E-4</v>
      </c>
    </row>
    <row r="450" spans="2:13" ht="15.75" customHeight="1" x14ac:dyDescent="0.55000000000000004">
      <c r="B450" s="94">
        <v>44459</v>
      </c>
      <c r="C450" s="95">
        <v>1.1726000000000001</v>
      </c>
      <c r="D450" s="95">
        <f>IF(OR(C450="",C449=""),"",LN(C450/C449))</f>
        <v>-4.0851120640462242E-3</v>
      </c>
      <c r="E450" s="95">
        <f>IF(D450="","",ABS(D450-$E$5)/$F$5)</f>
        <v>0.83708391196421361</v>
      </c>
      <c r="F450" s="96">
        <f>IF(D450="","",ABS(D450-$G$5)/$H$5)</f>
        <v>1.3660557189894178</v>
      </c>
      <c r="G450" s="96">
        <f>IF(D450="","",ABS(D450-$E$5)/SQRT(0.9*(IF(G449="",$F$5^2,(ABS(D449-$E$5)/MAX(G449,0.0000000001))^2))+0.1*(D450-$E$5)^2))</f>
        <v>1.6868328295037505</v>
      </c>
      <c r="H450" s="96" t="str">
        <f>IF(E450="","",IF(E450&gt;$I$5,"OUTLIER",""))</f>
        <v/>
      </c>
      <c r="I450" s="96" t="str">
        <f>IF(F450="","",IF(F450&gt;$I$5,"OUTLIER",""))</f>
        <v/>
      </c>
      <c r="J450" s="96" t="str">
        <f>IF(G450="","",IF(G450&gt;$I$5,"OUTLIER",""))</f>
        <v/>
      </c>
      <c r="K450" s="96" t="str">
        <f>IF(C450="","MISSING","")</f>
        <v/>
      </c>
      <c r="L450" s="96" t="str">
        <f>IF(AND(C450&lt;&gt;"",C449&lt;&gt;"",C450=C449),"STALE","")</f>
        <v/>
      </c>
      <c r="M450" s="106">
        <f>IF(D450="","",ABS(D450-G$5))</f>
        <v>4.0851120640462242E-3</v>
      </c>
    </row>
    <row r="451" spans="2:13" ht="15.75" customHeight="1" x14ac:dyDescent="0.55000000000000004">
      <c r="B451" s="94">
        <v>44460</v>
      </c>
      <c r="C451" s="95">
        <v>1.169</v>
      </c>
      <c r="D451" s="95">
        <f>IF(OR(C451="",C450=""),"",LN(C451/C450))</f>
        <v>-3.0748230580463229E-3</v>
      </c>
      <c r="E451" s="95">
        <f>IF(D451="","",ABS(D451-$E$5)/$F$5)</f>
        <v>0.63682329742311827</v>
      </c>
      <c r="F451" s="96">
        <f>IF(D451="","",ABS(D451-$G$5)/$H$5)</f>
        <v>1.0282164987083158</v>
      </c>
      <c r="G451" s="96">
        <f>IF(D451="","",ABS(D451-$E$5)/SQRT(0.9*(IF(G450="",$F$5^2,(ABS(D450-$E$5)/MAX(G450,0.0000000001))^2))+0.1*(D451-$E$5)^2))</f>
        <v>1.243690173317568</v>
      </c>
      <c r="H451" s="96" t="str">
        <f>IF(E451="","",IF(E451&gt;$I$5,"OUTLIER",""))</f>
        <v/>
      </c>
      <c r="I451" s="96" t="str">
        <f>IF(F451="","",IF(F451&gt;$I$5,"OUTLIER",""))</f>
        <v/>
      </c>
      <c r="J451" s="96" t="str">
        <f>IF(G451="","",IF(G451&gt;$I$5,"OUTLIER",""))</f>
        <v/>
      </c>
      <c r="K451" s="96" t="str">
        <f>IF(C451="","MISSING","")</f>
        <v/>
      </c>
      <c r="L451" s="96" t="str">
        <f>IF(AND(C451&lt;&gt;"",C450&lt;&gt;"",C451=C450),"STALE","")</f>
        <v/>
      </c>
      <c r="M451" s="106">
        <f>IF(D451="","",ABS(D451-G$5))</f>
        <v>3.0748230580463229E-3</v>
      </c>
    </row>
    <row r="452" spans="2:13" ht="15.75" customHeight="1" x14ac:dyDescent="0.55000000000000004">
      <c r="B452" s="94">
        <v>44461</v>
      </c>
      <c r="C452" s="95">
        <v>1.1735</v>
      </c>
      <c r="D452" s="95">
        <f>IF(OR(C452="",C451=""),"",LN(C452/C451))</f>
        <v>3.8420538190098458E-3</v>
      </c>
      <c r="E452" s="95">
        <f>IF(D452="","",ABS(D452-$E$5)/$F$5)</f>
        <v>0.73424775836197864</v>
      </c>
      <c r="F452" s="96">
        <f>IF(D452="","",ABS(D452-$G$5)/$H$5)</f>
        <v>1.2847773842769532</v>
      </c>
      <c r="G452" s="96">
        <f>IF(D452="","",ABS(D452-$E$5)/SQRT(0.9*(IF(G451="",$F$5^2,(ABS(D451-$E$5)/MAX(G451,0.0000000001))^2))+0.1*(D452-$E$5)^2))</f>
        <v>1.3637424166245551</v>
      </c>
      <c r="H452" s="96" t="str">
        <f>IF(E452="","",IF(E452&gt;$I$5,"OUTLIER",""))</f>
        <v/>
      </c>
      <c r="I452" s="96" t="str">
        <f>IF(F452="","",IF(F452&gt;$I$5,"OUTLIER",""))</f>
        <v/>
      </c>
      <c r="J452" s="96" t="str">
        <f>IF(G452="","",IF(G452&gt;$I$5,"OUTLIER",""))</f>
        <v/>
      </c>
      <c r="K452" s="96" t="str">
        <f>IF(C452="","MISSING","")</f>
        <v/>
      </c>
      <c r="L452" s="96" t="str">
        <f>IF(AND(C452&lt;&gt;"",C451&lt;&gt;"",C452=C451),"STALE","")</f>
        <v/>
      </c>
      <c r="M452" s="106">
        <f>IF(D452="","",ABS(D452-G$5))</f>
        <v>3.8420538190098458E-3</v>
      </c>
    </row>
    <row r="453" spans="2:13" ht="15.75" customHeight="1" x14ac:dyDescent="0.55000000000000004">
      <c r="B453" s="94">
        <v>44462</v>
      </c>
      <c r="C453" s="95">
        <v>1.1738999999999999</v>
      </c>
      <c r="D453" s="95">
        <f>IF(OR(C453="",C452=""),"",LN(C453/C452))</f>
        <v>3.4080259339826582E-4</v>
      </c>
      <c r="E453" s="95">
        <f>IF(D453="","",ABS(D453-$E$5)/$F$5)</f>
        <v>4.0225832022411201E-2</v>
      </c>
      <c r="F453" s="96">
        <f>IF(D453="","",ABS(D453-$G$5)/$H$5)</f>
        <v>0.11396390709952831</v>
      </c>
      <c r="G453" s="96">
        <f>IF(D453="","",ABS(D453-$E$5)/SQRT(0.9*(IF(G452="",$F$5^2,(ABS(D452-$E$5)/MAX(G452,0.0000000001))^2))+0.1*(D453-$E$5)^2))</f>
        <v>7.8729748229627056E-2</v>
      </c>
      <c r="H453" s="96" t="str">
        <f>IF(E453="","",IF(E453&gt;$I$5,"OUTLIER",""))</f>
        <v/>
      </c>
      <c r="I453" s="96" t="str">
        <f>IF(F453="","",IF(F453&gt;$I$5,"OUTLIER",""))</f>
        <v/>
      </c>
      <c r="J453" s="96" t="str">
        <f>IF(G453="","",IF(G453&gt;$I$5,"OUTLIER",""))</f>
        <v/>
      </c>
      <c r="K453" s="96" t="str">
        <f>IF(C453="","MISSING","")</f>
        <v/>
      </c>
      <c r="L453" s="96" t="str">
        <f>IF(AND(C453&lt;&gt;"",C452&lt;&gt;"",C453=C452),"STALE","")</f>
        <v/>
      </c>
      <c r="M453" s="106">
        <f>IF(D453="","",ABS(D453-G$5))</f>
        <v>3.4080259339826582E-4</v>
      </c>
    </row>
    <row r="454" spans="2:13" ht="15.75" customHeight="1" x14ac:dyDescent="0.55000000000000004">
      <c r="B454" s="94">
        <v>44463</v>
      </c>
      <c r="C454" s="95">
        <v>1.1722999999999999</v>
      </c>
      <c r="D454" s="95">
        <f>IF(OR(C454="",C453=""),"",LN(C454/C453))</f>
        <v>-1.363907806693965E-3</v>
      </c>
      <c r="E454" s="95">
        <f>IF(D454="","",ABS(D454-$E$5)/$F$5)</f>
        <v>0.29768376642876709</v>
      </c>
      <c r="F454" s="96">
        <f>IF(D454="","",ABS(D454-$G$5)/$H$5)</f>
        <v>0.45608884904449021</v>
      </c>
      <c r="G454" s="96">
        <f>IF(D454="","",ABS(D454-$E$5)/SQRT(0.9*(IF(G453="",$F$5^2,(ABS(D453-$E$5)/MAX(G453,0.0000000001))^2))+0.1*(D454-$E$5)^2))</f>
        <v>0.60287640792782271</v>
      </c>
      <c r="H454" s="96" t="str">
        <f>IF(E454="","",IF(E454&gt;$I$5,"OUTLIER",""))</f>
        <v/>
      </c>
      <c r="I454" s="96" t="str">
        <f>IF(F454="","",IF(F454&gt;$I$5,"OUTLIER",""))</f>
        <v/>
      </c>
      <c r="J454" s="96" t="str">
        <f>IF(G454="","",IF(G454&gt;$I$5,"OUTLIER",""))</f>
        <v/>
      </c>
      <c r="K454" s="96" t="str">
        <f>IF(C454="","MISSING","")</f>
        <v/>
      </c>
      <c r="L454" s="96" t="str">
        <f>IF(AND(C454&lt;&gt;"",C453&lt;&gt;"",C454=C453),"STALE","")</f>
        <v/>
      </c>
      <c r="M454" s="106">
        <f>IF(D454="","",ABS(D454-G$5))</f>
        <v>1.363907806693965E-3</v>
      </c>
    </row>
    <row r="455" spans="2:13" ht="15.75" customHeight="1" x14ac:dyDescent="0.55000000000000004">
      <c r="B455" s="94">
        <v>44466</v>
      </c>
      <c r="C455" s="95">
        <v>1.1700999999999999</v>
      </c>
      <c r="D455" s="95">
        <f>IF(OR(C455="",C454=""),"",LN(C455/C454))</f>
        <v>-1.8784158528702976E-3</v>
      </c>
      <c r="E455" s="95">
        <f>IF(D455="","",ABS(D455-$E$5)/$F$5)</f>
        <v>0.39967012568013238</v>
      </c>
      <c r="F455" s="96">
        <f>IF(D455="","",ABS(D455-$G$5)/$H$5)</f>
        <v>0.62813961483158454</v>
      </c>
      <c r="G455" s="96">
        <f>IF(D455="","",ABS(D455-$E$5)/SQRT(0.9*(IF(G454="",$F$5^2,(ABS(D454-$E$5)/MAX(G454,0.0000000001))^2))+0.1*(D455-$E$5)^2))</f>
        <v>0.82374920715066358</v>
      </c>
      <c r="H455" s="96" t="str">
        <f>IF(E455="","",IF(E455&gt;$I$5,"OUTLIER",""))</f>
        <v/>
      </c>
      <c r="I455" s="96" t="str">
        <f>IF(F455="","",IF(F455&gt;$I$5,"OUTLIER",""))</f>
        <v/>
      </c>
      <c r="J455" s="96" t="str">
        <f>IF(G455="","",IF(G455&gt;$I$5,"OUTLIER",""))</f>
        <v/>
      </c>
      <c r="K455" s="96" t="str">
        <f>IF(C455="","MISSING","")</f>
        <v/>
      </c>
      <c r="L455" s="96" t="str">
        <f>IF(AND(C455&lt;&gt;"",C454&lt;&gt;"",C455=C454),"STALE","")</f>
        <v/>
      </c>
      <c r="M455" s="106">
        <f>IF(D455="","",ABS(D455-G$5))</f>
        <v>1.8784158528702976E-3</v>
      </c>
    </row>
    <row r="456" spans="2:13" ht="15.75" customHeight="1" x14ac:dyDescent="0.55000000000000004">
      <c r="B456" s="94">
        <v>44467</v>
      </c>
      <c r="C456" s="95">
        <v>1.1653</v>
      </c>
      <c r="D456" s="95">
        <f>IF(OR(C456="",C455=""),"",LN(C456/C455))</f>
        <v>-4.1106506456945642E-3</v>
      </c>
      <c r="E456" s="95">
        <f>IF(D456="","",ABS(D456-$E$5)/$F$5)</f>
        <v>0.84214619812691704</v>
      </c>
      <c r="F456" s="96">
        <f>IF(D456="","",ABS(D456-$G$5)/$H$5)</f>
        <v>1.3745957847131076</v>
      </c>
      <c r="G456" s="96">
        <f>IF(D456="","",ABS(D456-$E$5)/SQRT(0.9*(IF(G455="",$F$5^2,(ABS(D455-$E$5)/MAX(G455,0.0000000001))^2))+0.1*(D456-$E$5)^2))</f>
        <v>1.5836520932349603</v>
      </c>
      <c r="H456" s="96" t="str">
        <f>IF(E456="","",IF(E456&gt;$I$5,"OUTLIER",""))</f>
        <v/>
      </c>
      <c r="I456" s="96" t="str">
        <f>IF(F456="","",IF(F456&gt;$I$5,"OUTLIER",""))</f>
        <v/>
      </c>
      <c r="J456" s="96" t="str">
        <f>IF(G456="","",IF(G456&gt;$I$5,"OUTLIER",""))</f>
        <v/>
      </c>
      <c r="K456" s="96" t="str">
        <f>IF(C456="","MISSING","")</f>
        <v/>
      </c>
      <c r="L456" s="96" t="str">
        <f>IF(AND(C456&lt;&gt;"",C455&lt;&gt;"",C456=C455),"STALE","")</f>
        <v/>
      </c>
      <c r="M456" s="106">
        <f>IF(D456="","",ABS(D456-G$5))</f>
        <v>4.1106506456945642E-3</v>
      </c>
    </row>
    <row r="457" spans="2:13" ht="15.75" customHeight="1" x14ac:dyDescent="0.55000000000000004">
      <c r="B457" s="94">
        <v>44468</v>
      </c>
      <c r="C457" s="95">
        <v>1.1606000000000001</v>
      </c>
      <c r="D457" s="95">
        <f>IF(OR(C457="",C456=""),"",LN(C457/C456))</f>
        <v>-4.0414518227097213E-3</v>
      </c>
      <c r="E457" s="95">
        <f>IF(D457="","",ABS(D457-$E$5)/$F$5)</f>
        <v>0.8284295301891621</v>
      </c>
      <c r="F457" s="96">
        <f>IF(D457="","",ABS(D457-$G$5)/$H$5)</f>
        <v>1.3514557957963405</v>
      </c>
      <c r="G457" s="96">
        <f>IF(D457="","",ABS(D457-$E$5)/SQRT(0.9*(IF(G456="",$F$5^2,(ABS(D456-$E$5)/MAX(G456,0.0000000001))^2))+0.1*(D457-$E$5)^2))</f>
        <v>1.457347893491753</v>
      </c>
      <c r="H457" s="96" t="str">
        <f>IF(E457="","",IF(E457&gt;$I$5,"OUTLIER",""))</f>
        <v/>
      </c>
      <c r="I457" s="96" t="str">
        <f>IF(F457="","",IF(F457&gt;$I$5,"OUTLIER",""))</f>
        <v/>
      </c>
      <c r="J457" s="96" t="str">
        <f>IF(G457="","",IF(G457&gt;$I$5,"OUTLIER",""))</f>
        <v/>
      </c>
      <c r="K457" s="96" t="str">
        <f>IF(C457="","MISSING","")</f>
        <v/>
      </c>
      <c r="L457" s="96" t="str">
        <f>IF(AND(C457&lt;&gt;"",C456&lt;&gt;"",C457=C456),"STALE","")</f>
        <v/>
      </c>
      <c r="M457" s="106">
        <f>IF(D457="","",ABS(D457-G$5))</f>
        <v>4.0414518227097213E-3</v>
      </c>
    </row>
    <row r="458" spans="2:13" ht="15.75" customHeight="1" x14ac:dyDescent="0.55000000000000004">
      <c r="B458" s="94">
        <v>44469</v>
      </c>
      <c r="C458" s="95">
        <v>1.1571</v>
      </c>
      <c r="D458" s="95">
        <f>IF(OR(C458="",C457=""),"",LN(C458/C457))</f>
        <v>-3.0202378742161359E-3</v>
      </c>
      <c r="E458" s="95">
        <f>IF(D458="","",ABS(D458-$E$5)/$F$5)</f>
        <v>0.62600336135160473</v>
      </c>
      <c r="F458" s="96">
        <f>IF(D458="","",ABS(D458-$G$5)/$H$5)</f>
        <v>1.0099632901367352</v>
      </c>
      <c r="G458" s="96">
        <f>IF(D458="","",ABS(D458-$E$5)/SQRT(0.9*(IF(G457="",$F$5^2,(ABS(D457-$E$5)/MAX(G457,0.0000000001))^2))+0.1*(D458-$E$5)^2))</f>
        <v>1.0897155206891105</v>
      </c>
      <c r="H458" s="96" t="str">
        <f>IF(E458="","",IF(E458&gt;$I$5,"OUTLIER",""))</f>
        <v/>
      </c>
      <c r="I458" s="96" t="str">
        <f>IF(F458="","",IF(F458&gt;$I$5,"OUTLIER",""))</f>
        <v/>
      </c>
      <c r="J458" s="96" t="str">
        <f>IF(G458="","",IF(G458&gt;$I$5,"OUTLIER",""))</f>
        <v/>
      </c>
      <c r="K458" s="96" t="str">
        <f>IF(C458="","MISSING","")</f>
        <v/>
      </c>
      <c r="L458" s="96" t="str">
        <f>IF(AND(C458&lt;&gt;"",C457&lt;&gt;"",C458=C457),"STALE","")</f>
        <v/>
      </c>
      <c r="M458" s="106">
        <f>IF(D458="","",ABS(D458-G$5))</f>
        <v>3.0202378742161359E-3</v>
      </c>
    </row>
    <row r="459" spans="2:13" ht="15.75" customHeight="1" x14ac:dyDescent="0.55000000000000004">
      <c r="B459" s="94">
        <v>44470</v>
      </c>
      <c r="C459" s="95">
        <v>1.1604000000000001</v>
      </c>
      <c r="D459" s="95">
        <f>IF(OR(C459="",C458=""),"",LN(C459/C458))</f>
        <v>2.8478983649571198E-3</v>
      </c>
      <c r="E459" s="95">
        <f>IF(D459="","",ABS(D459-$E$5)/$F$5)</f>
        <v>0.53718515449751569</v>
      </c>
      <c r="F459" s="96">
        <f>IF(D459="","",ABS(D459-$G$5)/$H$5)</f>
        <v>0.95233320103755781</v>
      </c>
      <c r="G459" s="96">
        <f>IF(D459="","",ABS(D459-$E$5)/SQRT(0.9*(IF(G458="",$F$5^2,(ABS(D458-$E$5)/MAX(G458,0.0000000001))^2))+0.1*(D459-$E$5)^2))</f>
        <v>0.94103253181133995</v>
      </c>
      <c r="H459" s="96" t="str">
        <f>IF(E459="","",IF(E459&gt;$I$5,"OUTLIER",""))</f>
        <v/>
      </c>
      <c r="I459" s="96" t="str">
        <f>IF(F459="","",IF(F459&gt;$I$5,"OUTLIER",""))</f>
        <v/>
      </c>
      <c r="J459" s="96" t="str">
        <f>IF(G459="","",IF(G459&gt;$I$5,"OUTLIER",""))</f>
        <v/>
      </c>
      <c r="K459" s="96" t="str">
        <f>IF(C459="","MISSING","")</f>
        <v/>
      </c>
      <c r="L459" s="96" t="str">
        <f>IF(AND(C459&lt;&gt;"",C458&lt;&gt;"",C459=C458),"STALE","")</f>
        <v/>
      </c>
      <c r="M459" s="106">
        <f>IF(D459="","",ABS(D459-G$5))</f>
        <v>2.8478983649571198E-3</v>
      </c>
    </row>
    <row r="460" spans="2:13" ht="15.75" customHeight="1" x14ac:dyDescent="0.55000000000000004">
      <c r="B460" s="94">
        <v>44473</v>
      </c>
      <c r="C460" s="95">
        <v>1.1607000000000001</v>
      </c>
      <c r="D460" s="95">
        <f>IF(OR(C460="",C459=""),"",LN(C460/C459))</f>
        <v>2.58498127327908E-4</v>
      </c>
      <c r="E460" s="95">
        <f>IF(D460="","",ABS(D460-$E$5)/$F$5)</f>
        <v>2.3911348882595468E-2</v>
      </c>
      <c r="F460" s="96">
        <f>IF(D460="","",ABS(D460-$G$5)/$H$5)</f>
        <v>8.6441409598585678E-2</v>
      </c>
      <c r="G460" s="96">
        <f>IF(D460="","",ABS(D460-$E$5)/SQRT(0.9*(IF(G459="",$F$5^2,(ABS(D459-$E$5)/MAX(G459,0.0000000001))^2))+0.1*(D460-$E$5)^2))</f>
        <v>4.4149026085905221E-2</v>
      </c>
      <c r="H460" s="96" t="str">
        <f>IF(E460="","",IF(E460&gt;$I$5,"OUTLIER",""))</f>
        <v/>
      </c>
      <c r="I460" s="96" t="str">
        <f>IF(F460="","",IF(F460&gt;$I$5,"OUTLIER",""))</f>
        <v/>
      </c>
      <c r="J460" s="96" t="str">
        <f>IF(G460="","",IF(G460&gt;$I$5,"OUTLIER",""))</f>
        <v/>
      </c>
      <c r="K460" s="96" t="str">
        <f>IF(C460="","MISSING","")</f>
        <v/>
      </c>
      <c r="L460" s="96" t="str">
        <f>IF(AND(C460&lt;&gt;"",C459&lt;&gt;"",C460=C459),"STALE","")</f>
        <v/>
      </c>
      <c r="M460" s="106">
        <f>IF(D460="","",ABS(D460-G$5))</f>
        <v>2.58498127327908E-4</v>
      </c>
    </row>
    <row r="461" spans="2:13" ht="15.75" customHeight="1" x14ac:dyDescent="0.55000000000000004">
      <c r="B461" s="94">
        <v>44474</v>
      </c>
      <c r="C461" s="95">
        <v>1.1554</v>
      </c>
      <c r="D461" s="95">
        <f>IF(OR(C461="",C460=""),"",LN(C461/C460))</f>
        <v>-4.5766670274118666E-3</v>
      </c>
      <c r="E461" s="95">
        <f>IF(D461="","",ABS(D461-$E$5)/$F$5)</f>
        <v>0.93452048551863154</v>
      </c>
      <c r="F461" s="96">
        <f>IF(D461="","",ABS(D461-$G$5)/$H$5)</f>
        <v>1.5304310062216044</v>
      </c>
      <c r="G461" s="96">
        <f>IF(D461="","",ABS(D461-$E$5)/SQRT(0.9*(IF(G460="",$F$5^2,(ABS(D460-$E$5)/MAX(G460,0.0000000001))^2))+0.1*(D461-$E$5)^2))</f>
        <v>1.5766226492278592</v>
      </c>
      <c r="H461" s="96" t="str">
        <f>IF(E461="","",IF(E461&gt;$I$5,"OUTLIER",""))</f>
        <v/>
      </c>
      <c r="I461" s="96" t="str">
        <f>IF(F461="","",IF(F461&gt;$I$5,"OUTLIER",""))</f>
        <v/>
      </c>
      <c r="J461" s="96" t="str">
        <f>IF(G461="","",IF(G461&gt;$I$5,"OUTLIER",""))</f>
        <v/>
      </c>
      <c r="K461" s="96" t="str">
        <f>IF(C461="","MISSING","")</f>
        <v/>
      </c>
      <c r="L461" s="96" t="str">
        <f>IF(AND(C461&lt;&gt;"",C460&lt;&gt;"",C461=C460),"STALE","")</f>
        <v/>
      </c>
      <c r="M461" s="106">
        <f>IF(D461="","",ABS(D461-G$5))</f>
        <v>4.5766670274118666E-3</v>
      </c>
    </row>
    <row r="462" spans="2:13" ht="15.75" customHeight="1" x14ac:dyDescent="0.55000000000000004">
      <c r="B462" s="94">
        <v>44475</v>
      </c>
      <c r="C462" s="95">
        <v>1.1553</v>
      </c>
      <c r="D462" s="95">
        <f>IF(OR(C462="",C461=""),"",LN(C462/C461))</f>
        <v>-8.6553858192242499E-5</v>
      </c>
      <c r="E462" s="95">
        <f>IF(D462="","",ABS(D462-$E$5)/$F$5)</f>
        <v>4.4485240864019303E-2</v>
      </c>
      <c r="F462" s="96">
        <f>IF(D462="","",ABS(D462-$G$5)/$H$5)</f>
        <v>2.8943488239830582E-2</v>
      </c>
      <c r="G462" s="96">
        <f>IF(D462="","",ABS(D462-$E$5)/SQRT(0.9*(IF(G461="",$F$5^2,(ABS(D461-$E$5)/MAX(G461,0.0000000001))^2))+0.1*(D462-$E$5)^2))</f>
        <v>7.90856646336007E-2</v>
      </c>
      <c r="H462" s="96" t="str">
        <f>IF(E462="","",IF(E462&gt;$I$5,"OUTLIER",""))</f>
        <v/>
      </c>
      <c r="I462" s="96" t="str">
        <f>IF(F462="","",IF(F462&gt;$I$5,"OUTLIER",""))</f>
        <v/>
      </c>
      <c r="J462" s="96" t="str">
        <f>IF(G462="","",IF(G462&gt;$I$5,"OUTLIER",""))</f>
        <v/>
      </c>
      <c r="K462" s="96" t="str">
        <f>IF(C462="","MISSING","")</f>
        <v/>
      </c>
      <c r="L462" s="96" t="str">
        <f>IF(AND(C462&lt;&gt;"",C461&lt;&gt;"",C462=C461),"STALE","")</f>
        <v/>
      </c>
      <c r="M462" s="106">
        <f>IF(D462="","",ABS(D462-G$5))</f>
        <v>8.6553858192242499E-5</v>
      </c>
    </row>
    <row r="463" spans="2:13" ht="15.75" customHeight="1" x14ac:dyDescent="0.55000000000000004">
      <c r="B463" s="94">
        <v>44476</v>
      </c>
      <c r="C463" s="95">
        <v>1.1554</v>
      </c>
      <c r="D463" s="95">
        <f>IF(OR(C463="",C462=""),"",LN(C463/C462))</f>
        <v>8.6553858192344929E-5</v>
      </c>
      <c r="E463" s="95">
        <f>IF(D463="","",ABS(D463-$E$5)/$F$5)</f>
        <v>1.0171636084490992E-2</v>
      </c>
      <c r="F463" s="96">
        <f>IF(D463="","",ABS(D463-$G$5)/$H$5)</f>
        <v>2.8943488239864836E-2</v>
      </c>
      <c r="G463" s="96">
        <f>IF(D463="","",ABS(D463-$E$5)/SQRT(0.9*(IF(G462="",$F$5^2,(ABS(D462-$E$5)/MAX(G462,0.0000000001))^2))+0.1*(D463-$E$5)^2))</f>
        <v>1.9060903910087249E-2</v>
      </c>
      <c r="H463" s="96" t="str">
        <f>IF(E463="","",IF(E463&gt;$I$5,"OUTLIER",""))</f>
        <v/>
      </c>
      <c r="I463" s="96" t="str">
        <f>IF(F463="","",IF(F463&gt;$I$5,"OUTLIER",""))</f>
        <v/>
      </c>
      <c r="J463" s="96" t="str">
        <f>IF(G463="","",IF(G463&gt;$I$5,"OUTLIER",""))</f>
        <v/>
      </c>
      <c r="K463" s="96" t="str">
        <f>IF(C463="","MISSING","")</f>
        <v/>
      </c>
      <c r="L463" s="96" t="str">
        <f>IF(AND(C463&lt;&gt;"",C462&lt;&gt;"",C463=C462),"STALE","")</f>
        <v/>
      </c>
      <c r="M463" s="106">
        <f>IF(D463="","",ABS(D463-G$5))</f>
        <v>8.6553858192344929E-5</v>
      </c>
    </row>
    <row r="464" spans="2:13" ht="15.75" customHeight="1" x14ac:dyDescent="0.55000000000000004">
      <c r="B464" s="94">
        <v>44477</v>
      </c>
      <c r="C464" s="95">
        <v>1.1573</v>
      </c>
      <c r="D464" s="95">
        <f>IF(OR(C464="",C463=""),"",LN(C464/C463))</f>
        <v>1.6431015068669873E-3</v>
      </c>
      <c r="E464" s="95">
        <f>IF(D464="","",ABS(D464-$E$5)/$F$5)</f>
        <v>0.29836897638864063</v>
      </c>
      <c r="F464" s="96">
        <f>IF(D464="","",ABS(D464-$G$5)/$H$5)</f>
        <v>0.54945082904594222</v>
      </c>
      <c r="G464" s="96">
        <f>IF(D464="","",ABS(D464-$E$5)/SQRT(0.9*(IF(G463="",$F$5^2,(ABS(D463-$E$5)/MAX(G463,0.0000000001))^2))+0.1*(D464-$E$5)^2))</f>
        <v>0.57938929920173599</v>
      </c>
      <c r="H464" s="96" t="str">
        <f>IF(E464="","",IF(E464&gt;$I$5,"OUTLIER",""))</f>
        <v/>
      </c>
      <c r="I464" s="96" t="str">
        <f>IF(F464="","",IF(F464&gt;$I$5,"OUTLIER",""))</f>
        <v/>
      </c>
      <c r="J464" s="96" t="str">
        <f>IF(G464="","",IF(G464&gt;$I$5,"OUTLIER",""))</f>
        <v/>
      </c>
      <c r="K464" s="96" t="str">
        <f>IF(C464="","MISSING","")</f>
        <v/>
      </c>
      <c r="L464" s="96" t="str">
        <f>IF(AND(C464&lt;&gt;"",C463&lt;&gt;"",C464=C463),"STALE","")</f>
        <v/>
      </c>
      <c r="M464" s="106">
        <f>IF(D464="","",ABS(D464-G$5))</f>
        <v>1.6431015068669873E-3</v>
      </c>
    </row>
    <row r="465" spans="2:13" ht="15.75" customHeight="1" x14ac:dyDescent="0.55000000000000004">
      <c r="B465" s="94">
        <v>44480</v>
      </c>
      <c r="C465" s="95">
        <v>1.1559999999999999</v>
      </c>
      <c r="D465" s="95">
        <f>IF(OR(C465="",C464=""),"",LN(C465/C464))</f>
        <v>-1.1239356217093138E-3</v>
      </c>
      <c r="E465" s="95">
        <f>IF(D465="","",ABS(D465-$E$5)/$F$5)</f>
        <v>0.25011621204344264</v>
      </c>
      <c r="F465" s="96">
        <f>IF(D465="","",ABS(D465-$G$5)/$H$5)</f>
        <v>0.37584248846558982</v>
      </c>
      <c r="G465" s="96">
        <f>IF(D465="","",ABS(D465-$E$5)/SQRT(0.9*(IF(G464="",$F$5^2,(ABS(D464-$E$5)/MAX(G464,0.0000000001))^2))+0.1*(D465-$E$5)^2))</f>
        <v>0.50538130583285457</v>
      </c>
      <c r="H465" s="96" t="str">
        <f>IF(E465="","",IF(E465&gt;$I$5,"OUTLIER",""))</f>
        <v/>
      </c>
      <c r="I465" s="96" t="str">
        <f>IF(F465="","",IF(F465&gt;$I$5,"OUTLIER",""))</f>
        <v/>
      </c>
      <c r="J465" s="96" t="str">
        <f>IF(G465="","",IF(G465&gt;$I$5,"OUTLIER",""))</f>
        <v/>
      </c>
      <c r="K465" s="96" t="str">
        <f>IF(C465="","MISSING","")</f>
        <v/>
      </c>
      <c r="L465" s="96" t="str">
        <f>IF(AND(C465&lt;&gt;"",C464&lt;&gt;"",C465=C464),"STALE","")</f>
        <v/>
      </c>
      <c r="M465" s="106">
        <f>IF(D465="","",ABS(D465-G$5))</f>
        <v>1.1239356217093138E-3</v>
      </c>
    </row>
    <row r="466" spans="2:13" ht="15.75" customHeight="1" x14ac:dyDescent="0.55000000000000004">
      <c r="B466" s="94">
        <v>44481</v>
      </c>
      <c r="C466" s="95">
        <v>1.155</v>
      </c>
      <c r="D466" s="95">
        <f>IF(OR(C466="",C465=""),"",LN(C466/C465))</f>
        <v>-8.6542627642882187E-4</v>
      </c>
      <c r="E466" s="95">
        <f>IF(D466="","",ABS(D466-$E$5)/$F$5)</f>
        <v>0.19887420105149828</v>
      </c>
      <c r="F466" s="96">
        <f>IF(D466="","",ABS(D466-$G$5)/$H$5)</f>
        <v>0.28939732759946429</v>
      </c>
      <c r="G466" s="96">
        <f>IF(D466="","",ABS(D466-$E$5)/SQRT(0.9*(IF(G465="",$F$5^2,(ABS(D465-$E$5)/MAX(G465,0.0000000001))^2))+0.1*(D466-$E$5)^2))</f>
        <v>0.41982956870722249</v>
      </c>
      <c r="H466" s="96" t="str">
        <f>IF(E466="","",IF(E466&gt;$I$5,"OUTLIER",""))</f>
        <v/>
      </c>
      <c r="I466" s="96" t="str">
        <f>IF(F466="","",IF(F466&gt;$I$5,"OUTLIER",""))</f>
        <v/>
      </c>
      <c r="J466" s="96" t="str">
        <f>IF(G466="","",IF(G466&gt;$I$5,"OUTLIER",""))</f>
        <v/>
      </c>
      <c r="K466" s="96" t="str">
        <f>IF(C466="","MISSING","")</f>
        <v/>
      </c>
      <c r="L466" s="96" t="str">
        <f>IF(AND(C466&lt;&gt;"",C465&lt;&gt;"",C466=C465),"STALE","")</f>
        <v/>
      </c>
      <c r="M466" s="106">
        <f>IF(D466="","",ABS(D466-G$5))</f>
        <v>8.6542627642882187E-4</v>
      </c>
    </row>
    <row r="467" spans="2:13" ht="15.75" customHeight="1" x14ac:dyDescent="0.55000000000000004">
      <c r="B467" s="94">
        <v>44482</v>
      </c>
      <c r="C467" s="95">
        <v>1.1598999999999999</v>
      </c>
      <c r="D467" s="95">
        <f>IF(OR(C467="",C466=""),"",LN(C467/C466))</f>
        <v>4.2334505319365345E-3</v>
      </c>
      <c r="E467" s="95">
        <f>IF(D467="","",ABS(D467-$E$5)/$F$5)</f>
        <v>0.81183085170910252</v>
      </c>
      <c r="F467" s="96">
        <f>IF(D467="","",ABS(D467-$G$5)/$H$5)</f>
        <v>1.4156598936682825</v>
      </c>
      <c r="G467" s="96">
        <f>IF(D467="","",ABS(D467-$E$5)/SQRT(0.9*(IF(G466="",$F$5^2,(ABS(D466-$E$5)/MAX(G466,0.0000000001))^2))+0.1*(D467-$E$5)^2))</f>
        <v>1.5685939061807175</v>
      </c>
      <c r="H467" s="96" t="str">
        <f>IF(E467="","",IF(E467&gt;$I$5,"OUTLIER",""))</f>
        <v/>
      </c>
      <c r="I467" s="96" t="str">
        <f>IF(F467="","",IF(F467&gt;$I$5,"OUTLIER",""))</f>
        <v/>
      </c>
      <c r="J467" s="96" t="str">
        <f>IF(G467="","",IF(G467&gt;$I$5,"OUTLIER",""))</f>
        <v/>
      </c>
      <c r="K467" s="96" t="str">
        <f>IF(C467="","MISSING","")</f>
        <v/>
      </c>
      <c r="L467" s="96" t="str">
        <f>IF(AND(C467&lt;&gt;"",C466&lt;&gt;"",C467=C466),"STALE","")</f>
        <v/>
      </c>
      <c r="M467" s="106">
        <f>IF(D467="","",ABS(D467-G$5))</f>
        <v>4.2334505319365345E-3</v>
      </c>
    </row>
    <row r="468" spans="2:13" ht="15.75" customHeight="1" x14ac:dyDescent="0.55000000000000004">
      <c r="B468" s="94">
        <v>44483</v>
      </c>
      <c r="C468" s="95">
        <v>1.1597999999999999</v>
      </c>
      <c r="D468" s="95">
        <f>IF(OR(C468="",C467=""),"",LN(C468/C467))</f>
        <v>-8.6218045490256575E-5</v>
      </c>
      <c r="E468" s="95">
        <f>IF(D468="","",ABS(D468-$E$5)/$F$5)</f>
        <v>4.4418675695368531E-2</v>
      </c>
      <c r="F468" s="96">
        <f>IF(D468="","",ABS(D468-$G$5)/$H$5)</f>
        <v>2.8831192945389435E-2</v>
      </c>
      <c r="G468" s="96">
        <f>IF(D468="","",ABS(D468-$E$5)/SQRT(0.9*(IF(G467="",$F$5^2,(ABS(D467-$E$5)/MAX(G467,0.0000000001))^2))+0.1*(D468-$E$5)^2))</f>
        <v>9.0429822311638472E-2</v>
      </c>
      <c r="H468" s="96" t="str">
        <f>IF(E468="","",IF(E468&gt;$I$5,"OUTLIER",""))</f>
        <v/>
      </c>
      <c r="I468" s="96" t="str">
        <f>IF(F468="","",IF(F468&gt;$I$5,"OUTLIER",""))</f>
        <v/>
      </c>
      <c r="J468" s="96" t="str">
        <f>IF(G468="","",IF(G468&gt;$I$5,"OUTLIER",""))</f>
        <v/>
      </c>
      <c r="K468" s="96" t="str">
        <f>IF(C468="","MISSING","")</f>
        <v/>
      </c>
      <c r="L468" s="96" t="str">
        <f>IF(AND(C468&lt;&gt;"",C467&lt;&gt;"",C468=C467),"STALE","")</f>
        <v/>
      </c>
      <c r="M468" s="106">
        <f>IF(D468="","",ABS(D468-G$5))</f>
        <v>8.6218045490256575E-5</v>
      </c>
    </row>
    <row r="469" spans="2:13" ht="15.75" customHeight="1" x14ac:dyDescent="0.55000000000000004">
      <c r="B469" s="94">
        <v>44484</v>
      </c>
      <c r="C469" s="95">
        <v>1.1599999999999999</v>
      </c>
      <c r="D469" s="95">
        <f>IF(OR(C469="",C468=""),"",LN(C469/C468))</f>
        <v>1.7242865807012798E-4</v>
      </c>
      <c r="E469" s="95">
        <f>IF(D469="","",ABS(D469-$E$5)/$F$5)</f>
        <v>6.8505626081473555E-3</v>
      </c>
      <c r="F469" s="96">
        <f>IF(D469="","",ABS(D469-$G$5)/$H$5)</f>
        <v>5.7659900336017776E-2</v>
      </c>
      <c r="G469" s="96">
        <f>IF(D469="","",ABS(D469-$E$5)/SQRT(0.9*(IF(G468="",$F$5^2,(ABS(D468-$E$5)/MAX(G468,0.0000000001))^2))+0.1*(D469-$E$5)^2))</f>
        <v>1.470098258838862E-2</v>
      </c>
      <c r="H469" s="96" t="str">
        <f>IF(E469="","",IF(E469&gt;$I$5,"OUTLIER",""))</f>
        <v/>
      </c>
      <c r="I469" s="96" t="str">
        <f>IF(F469="","",IF(F469&gt;$I$5,"OUTLIER",""))</f>
        <v/>
      </c>
      <c r="J469" s="96" t="str">
        <f>IF(G469="","",IF(G469&gt;$I$5,"OUTLIER",""))</f>
        <v/>
      </c>
      <c r="K469" s="96" t="str">
        <f>IF(C469="","MISSING","")</f>
        <v/>
      </c>
      <c r="L469" s="96" t="str">
        <f>IF(AND(C469&lt;&gt;"",C468&lt;&gt;"",C469=C468),"STALE","")</f>
        <v/>
      </c>
      <c r="M469" s="106">
        <f>IF(D469="","",ABS(D469-G$5))</f>
        <v>1.7242865807012798E-4</v>
      </c>
    </row>
    <row r="470" spans="2:13" ht="15.75" customHeight="1" x14ac:dyDescent="0.55000000000000004">
      <c r="B470" s="94">
        <v>44487</v>
      </c>
      <c r="C470" s="95">
        <v>1.1588000000000001</v>
      </c>
      <c r="D470" s="95">
        <f>IF(OR(C470="",C469=""),"",LN(C470/C469))</f>
        <v>-1.0350182052149205E-3</v>
      </c>
      <c r="E470" s="95">
        <f>IF(D470="","",ABS(D470-$E$5)/$F$5)</f>
        <v>0.23249090248862853</v>
      </c>
      <c r="F470" s="96">
        <f>IF(D470="","",ABS(D470-$G$5)/$H$5)</f>
        <v>0.34610862965937139</v>
      </c>
      <c r="G470" s="96">
        <f>IF(D470="","",ABS(D470-$E$5)/SQRT(0.9*(IF(G469="",$F$5^2,(ABS(D469-$E$5)/MAX(G469,0.0000000001))^2))+0.1*(D470-$E$5)^2))</f>
        <v>0.51877695756628683</v>
      </c>
      <c r="H470" s="96" t="str">
        <f>IF(E470="","",IF(E470&gt;$I$5,"OUTLIER",""))</f>
        <v/>
      </c>
      <c r="I470" s="96" t="str">
        <f>IF(F470="","",IF(F470&gt;$I$5,"OUTLIER",""))</f>
        <v/>
      </c>
      <c r="J470" s="96" t="str">
        <f>IF(G470="","",IF(G470&gt;$I$5,"OUTLIER",""))</f>
        <v/>
      </c>
      <c r="K470" s="96" t="str">
        <f>IF(C470="","MISSING","")</f>
        <v/>
      </c>
      <c r="L470" s="96" t="str">
        <f>IF(AND(C470&lt;&gt;"",C469&lt;&gt;"",C470=C469),"STALE","")</f>
        <v/>
      </c>
      <c r="M470" s="106">
        <f>IF(D470="","",ABS(D470-G$5))</f>
        <v>1.0350182052149205E-3</v>
      </c>
    </row>
    <row r="471" spans="2:13" ht="15.75" customHeight="1" x14ac:dyDescent="0.55000000000000004">
      <c r="B471" s="94">
        <v>44488</v>
      </c>
      <c r="C471" s="95">
        <v>1.1635</v>
      </c>
      <c r="D471" s="95">
        <f>IF(OR(C471="",C470=""),"",LN(C471/C470))</f>
        <v>4.0477168471511138E-3</v>
      </c>
      <c r="E471" s="95">
        <f>IF(D471="","",ABS(D471-$E$5)/$F$5)</f>
        <v>0.77501451337896543</v>
      </c>
      <c r="F471" s="96">
        <f>IF(D471="","",ABS(D471-$G$5)/$H$5)</f>
        <v>1.3535508111431891</v>
      </c>
      <c r="G471" s="96">
        <f>IF(D471="","",ABS(D471-$E$5)/SQRT(0.9*(IF(G470="",$F$5^2,(ABS(D470-$E$5)/MAX(G470,0.0000000001))^2))+0.1*(D471-$E$5)^2))</f>
        <v>1.5792931404033528</v>
      </c>
      <c r="H471" s="96" t="str">
        <f>IF(E471="","",IF(E471&gt;$I$5,"OUTLIER",""))</f>
        <v/>
      </c>
      <c r="I471" s="96" t="str">
        <f>IF(F471="","",IF(F471&gt;$I$5,"OUTLIER",""))</f>
        <v/>
      </c>
      <c r="J471" s="96" t="str">
        <f>IF(G471="","",IF(G471&gt;$I$5,"OUTLIER",""))</f>
        <v/>
      </c>
      <c r="K471" s="96" t="str">
        <f>IF(C471="","MISSING","")</f>
        <v/>
      </c>
      <c r="L471" s="96" t="str">
        <f>IF(AND(C471&lt;&gt;"",C470&lt;&gt;"",C471=C470),"STALE","")</f>
        <v/>
      </c>
      <c r="M471" s="106">
        <f>IF(D471="","",ABS(D471-G$5))</f>
        <v>4.0477168471511138E-3</v>
      </c>
    </row>
    <row r="472" spans="2:13" ht="15.75" customHeight="1" x14ac:dyDescent="0.55000000000000004">
      <c r="B472" s="94">
        <v>44489</v>
      </c>
      <c r="C472" s="95">
        <v>1.1634</v>
      </c>
      <c r="D472" s="95">
        <f>IF(OR(C472="",C471=""),"",LN(C472/C471))</f>
        <v>-8.595126568531376E-5</v>
      </c>
      <c r="E472" s="95">
        <f>IF(D472="","",ABS(D472-$E$5)/$F$5)</f>
        <v>4.436579430463012E-2</v>
      </c>
      <c r="F472" s="96">
        <f>IF(D472="","",ABS(D472-$G$5)/$H$5)</f>
        <v>2.8741982154463899E-2</v>
      </c>
      <c r="G472" s="96">
        <f>IF(D472="","",ABS(D472-$E$5)/SQRT(0.9*(IF(G471="",$F$5^2,(ABS(D471-$E$5)/MAX(G471,0.0000000001))^2))+0.1*(D472-$E$5)^2))</f>
        <v>9.525390883721066E-2</v>
      </c>
      <c r="H472" s="96" t="str">
        <f>IF(E472="","",IF(E472&gt;$I$5,"OUTLIER",""))</f>
        <v/>
      </c>
      <c r="I472" s="96" t="str">
        <f>IF(F472="","",IF(F472&gt;$I$5,"OUTLIER",""))</f>
        <v/>
      </c>
      <c r="J472" s="96" t="str">
        <f>IF(G472="","",IF(G472&gt;$I$5,"OUTLIER",""))</f>
        <v/>
      </c>
      <c r="K472" s="96" t="str">
        <f>IF(C472="","MISSING","")</f>
        <v/>
      </c>
      <c r="L472" s="96" t="str">
        <f>IF(AND(C472&lt;&gt;"",C471&lt;&gt;"",C472=C471),"STALE","")</f>
        <v/>
      </c>
      <c r="M472" s="106">
        <f>IF(D472="","",ABS(D472-G$5))</f>
        <v>8.595126568531376E-5</v>
      </c>
    </row>
    <row r="473" spans="2:13" ht="15.75" customHeight="1" x14ac:dyDescent="0.55000000000000004">
      <c r="B473" s="94">
        <v>44490</v>
      </c>
      <c r="C473" s="95">
        <v>1.1653</v>
      </c>
      <c r="D473" s="95">
        <f>IF(OR(C473="",C472=""),"",LN(C473/C472))</f>
        <v>1.6318121025565304E-3</v>
      </c>
      <c r="E473" s="95">
        <f>IF(D473="","",ABS(D473-$E$5)/$F$5)</f>
        <v>0.29613117806401429</v>
      </c>
      <c r="F473" s="96">
        <f>IF(D473="","",ABS(D473-$G$5)/$H$5)</f>
        <v>0.54567566814937474</v>
      </c>
      <c r="G473" s="96">
        <f>IF(D473="","",ABS(D473-$E$5)/SQRT(0.9*(IF(G472="",$F$5^2,(ABS(D472-$E$5)/MAX(G472,0.0000000001))^2))+0.1*(D473-$E$5)^2))</f>
        <v>0.65562705808031418</v>
      </c>
      <c r="H473" s="96" t="str">
        <f>IF(E473="","",IF(E473&gt;$I$5,"OUTLIER",""))</f>
        <v/>
      </c>
      <c r="I473" s="96" t="str">
        <f>IF(F473="","",IF(F473&gt;$I$5,"OUTLIER",""))</f>
        <v/>
      </c>
      <c r="J473" s="96" t="str">
        <f>IF(G473="","",IF(G473&gt;$I$5,"OUTLIER",""))</f>
        <v/>
      </c>
      <c r="K473" s="96" t="str">
        <f>IF(C473="","MISSING","")</f>
        <v/>
      </c>
      <c r="L473" s="96" t="str">
        <f>IF(AND(C473&lt;&gt;"",C472&lt;&gt;"",C473=C472),"STALE","")</f>
        <v/>
      </c>
      <c r="M473" s="106">
        <f>IF(D473="","",ABS(D473-G$5))</f>
        <v>1.6318121025565304E-3</v>
      </c>
    </row>
    <row r="474" spans="2:13" ht="15.75" customHeight="1" x14ac:dyDescent="0.55000000000000004">
      <c r="B474" s="94">
        <v>44491</v>
      </c>
      <c r="C474" s="95">
        <v>1.1637</v>
      </c>
      <c r="D474" s="95">
        <f>IF(OR(C474="",C473=""),"",LN(C474/C473))</f>
        <v>-1.3739804651864973E-3</v>
      </c>
      <c r="E474" s="95">
        <f>IF(D474="","",ABS(D474-$E$5)/$F$5)</f>
        <v>0.29968038003912767</v>
      </c>
      <c r="F474" s="96">
        <f>IF(D474="","",ABS(D474-$G$5)/$H$5)</f>
        <v>0.45945713185373149</v>
      </c>
      <c r="G474" s="96">
        <f>IF(D474="","",ABS(D474-$E$5)/SQRT(0.9*(IF(G473="",$F$5^2,(ABS(D473-$E$5)/MAX(G473,0.0000000001))^2))+0.1*(D474-$E$5)^2))</f>
        <v>0.68287335384083625</v>
      </c>
      <c r="H474" s="96" t="str">
        <f>IF(E474="","",IF(E474&gt;$I$5,"OUTLIER",""))</f>
        <v/>
      </c>
      <c r="I474" s="96" t="str">
        <f>IF(F474="","",IF(F474&gt;$I$5,"OUTLIER",""))</f>
        <v/>
      </c>
      <c r="J474" s="96" t="str">
        <f>IF(G474="","",IF(G474&gt;$I$5,"OUTLIER",""))</f>
        <v/>
      </c>
      <c r="K474" s="96" t="str">
        <f>IF(C474="","MISSING","")</f>
        <v/>
      </c>
      <c r="L474" s="96" t="str">
        <f>IF(AND(C474&lt;&gt;"",C473&lt;&gt;"",C474=C473),"STALE","")</f>
        <v/>
      </c>
      <c r="M474" s="106">
        <f>IF(D474="","",ABS(D474-G$5))</f>
        <v>1.3739804651864973E-3</v>
      </c>
    </row>
    <row r="475" spans="2:13" ht="15.75" customHeight="1" x14ac:dyDescent="0.55000000000000004">
      <c r="B475" s="94">
        <v>44494</v>
      </c>
      <c r="C475" s="95">
        <v>1.1617</v>
      </c>
      <c r="D475" s="95">
        <f>IF(OR(C475="",C474=""),"",LN(C475/C474))</f>
        <v>-1.7201345946020682E-3</v>
      </c>
      <c r="E475" s="95">
        <f>IF(D475="","",ABS(D475-$E$5)/$F$5)</f>
        <v>0.36829543797900083</v>
      </c>
      <c r="F475" s="96">
        <f>IF(D475="","",ABS(D475-$G$5)/$H$5)</f>
        <v>0.57521058505804312</v>
      </c>
      <c r="G475" s="96">
        <f>IF(D475="","",ABS(D475-$E$5)/SQRT(0.9*(IF(G474="",$F$5^2,(ABS(D474-$E$5)/MAX(G474,0.0000000001))^2))+0.1*(D475-$E$5)^2))</f>
        <v>0.85191474540765733</v>
      </c>
      <c r="H475" s="96" t="str">
        <f>IF(E475="","",IF(E475&gt;$I$5,"OUTLIER",""))</f>
        <v/>
      </c>
      <c r="I475" s="96" t="str">
        <f>IF(F475="","",IF(F475&gt;$I$5,"OUTLIER",""))</f>
        <v/>
      </c>
      <c r="J475" s="96" t="str">
        <f>IF(G475="","",IF(G475&gt;$I$5,"OUTLIER",""))</f>
        <v/>
      </c>
      <c r="K475" s="96" t="str">
        <f>IF(C475="","MISSING","")</f>
        <v/>
      </c>
      <c r="L475" s="96" t="str">
        <f>IF(AND(C475&lt;&gt;"",C474&lt;&gt;"",C475=C474),"STALE","")</f>
        <v/>
      </c>
      <c r="M475" s="106">
        <f>IF(D475="","",ABS(D475-G$5))</f>
        <v>1.7201345946020682E-3</v>
      </c>
    </row>
    <row r="476" spans="2:13" ht="15.75" customHeight="1" x14ac:dyDescent="0.55000000000000004">
      <c r="B476" s="94">
        <v>44495</v>
      </c>
      <c r="C476" s="95">
        <v>1.1621999999999999</v>
      </c>
      <c r="D476" s="95">
        <f>IF(OR(C476="",C475=""),"",LN(C476/C475))</f>
        <v>4.3031112157613269E-4</v>
      </c>
      <c r="E476" s="95">
        <f>IF(D476="","",ABS(D476-$E$5)/$F$5)</f>
        <v>5.7968312394973347E-2</v>
      </c>
      <c r="F476" s="96">
        <f>IF(D476="","",ABS(D476-$G$5)/$H$5)</f>
        <v>0.14389543281992453</v>
      </c>
      <c r="G476" s="96">
        <f>IF(D476="","",ABS(D476-$E$5)/SQRT(0.9*(IF(G475="",$F$5^2,(ABS(D475-$E$5)/MAX(G475,0.0000000001))^2))+0.1*(D476-$E$5)^2))</f>
        <v>0.14120036779714962</v>
      </c>
      <c r="H476" s="96" t="str">
        <f>IF(E476="","",IF(E476&gt;$I$5,"OUTLIER",""))</f>
        <v/>
      </c>
      <c r="I476" s="96" t="str">
        <f>IF(F476="","",IF(F476&gt;$I$5,"OUTLIER",""))</f>
        <v/>
      </c>
      <c r="J476" s="96" t="str">
        <f>IF(G476="","",IF(G476&gt;$I$5,"OUTLIER",""))</f>
        <v/>
      </c>
      <c r="K476" s="96" t="str">
        <f>IF(C476="","MISSING","")</f>
        <v/>
      </c>
      <c r="L476" s="96" t="str">
        <f>IF(AND(C476&lt;&gt;"",C475&lt;&gt;"",C476=C475),"STALE","")</f>
        <v/>
      </c>
      <c r="M476" s="106">
        <f>IF(D476="","",ABS(D476-G$5))</f>
        <v>4.3031112157613269E-4</v>
      </c>
    </row>
    <row r="477" spans="2:13" ht="15.75" customHeight="1" x14ac:dyDescent="0.55000000000000004">
      <c r="B477" s="94">
        <v>44496</v>
      </c>
      <c r="C477" s="95">
        <v>1.1673</v>
      </c>
      <c r="D477" s="95">
        <f>IF(OR(C477="",C476=""),"",LN(C477/C476))</f>
        <v>4.3786290176124187E-3</v>
      </c>
      <c r="E477" s="95">
        <f>IF(D477="","",ABS(D477-$E$5)/$F$5)</f>
        <v>0.84060829320053354</v>
      </c>
      <c r="F477" s="96">
        <f>IF(D477="","",ABS(D477-$G$5)/$H$5)</f>
        <v>1.4642073747465203</v>
      </c>
      <c r="G477" s="96">
        <f>IF(D477="","",ABS(D477-$E$5)/SQRT(0.9*(IF(G476="",$F$5^2,(ABS(D476-$E$5)/MAX(G476,0.0000000001))^2))+0.1*(D477-$E$5)^2))</f>
        <v>1.7826847816731564</v>
      </c>
      <c r="H477" s="96" t="str">
        <f>IF(E477="","",IF(E477&gt;$I$5,"OUTLIER",""))</f>
        <v/>
      </c>
      <c r="I477" s="96" t="str">
        <f>IF(F477="","",IF(F477&gt;$I$5,"OUTLIER",""))</f>
        <v/>
      </c>
      <c r="J477" s="96" t="str">
        <f>IF(G477="","",IF(G477&gt;$I$5,"OUTLIER",""))</f>
        <v/>
      </c>
      <c r="K477" s="96" t="str">
        <f>IF(C477="","MISSING","")</f>
        <v/>
      </c>
      <c r="L477" s="96" t="str">
        <f>IF(AND(C477&lt;&gt;"",C476&lt;&gt;"",C477=C476),"STALE","")</f>
        <v/>
      </c>
      <c r="M477" s="106">
        <f>IF(D477="","",ABS(D477-G$5))</f>
        <v>4.3786290176124187E-3</v>
      </c>
    </row>
    <row r="478" spans="2:13" ht="15.75" customHeight="1" x14ac:dyDescent="0.55000000000000004">
      <c r="B478" s="94">
        <v>44497</v>
      </c>
      <c r="C478" s="95">
        <v>1.1665000000000001</v>
      </c>
      <c r="D478" s="95">
        <f>IF(OR(C478="",C477=""),"",LN(C478/C477))</f>
        <v>-6.8557719713281478E-4</v>
      </c>
      <c r="E478" s="95">
        <f>IF(D478="","",ABS(D478-$E$5)/$F$5)</f>
        <v>0.16322431579037713</v>
      </c>
      <c r="F478" s="96">
        <f>IF(D478="","",ABS(D478-$G$5)/$H$5)</f>
        <v>0.22925604885962314</v>
      </c>
      <c r="G478" s="96">
        <f>IF(D478="","",ABS(D478-$E$5)/SQRT(0.9*(IF(G477="",$F$5^2,(ABS(D477-$E$5)/MAX(G477,0.0000000001))^2))+0.1*(D478-$E$5)^2))</f>
        <v>0.36247044077568208</v>
      </c>
      <c r="H478" s="96" t="str">
        <f>IF(E478="","",IF(E478&gt;$I$5,"OUTLIER",""))</f>
        <v/>
      </c>
      <c r="I478" s="96" t="str">
        <f>IF(F478="","",IF(F478&gt;$I$5,"OUTLIER",""))</f>
        <v/>
      </c>
      <c r="J478" s="96" t="str">
        <f>IF(G478="","",IF(G478&gt;$I$5,"OUTLIER",""))</f>
        <v/>
      </c>
      <c r="K478" s="96" t="str">
        <f>IF(C478="","MISSING","")</f>
        <v/>
      </c>
      <c r="L478" s="96" t="str">
        <f>IF(AND(C478&lt;&gt;"",C477&lt;&gt;"",C478=C477),"STALE","")</f>
        <v/>
      </c>
      <c r="M478" s="106">
        <f>IF(D478="","",ABS(D478-G$5))</f>
        <v>6.8557719713281478E-4</v>
      </c>
    </row>
    <row r="479" spans="2:13" ht="15.75" customHeight="1" x14ac:dyDescent="0.55000000000000004">
      <c r="B479" s="94">
        <v>44498</v>
      </c>
      <c r="C479" s="95">
        <v>1.1597999999999999</v>
      </c>
      <c r="D479" s="95">
        <f>IF(OR(C479="",C478=""),"",LN(C479/C478))</f>
        <v>-5.7602360191445932E-3</v>
      </c>
      <c r="E479" s="95">
        <f>IF(D479="","",ABS(D479-$E$5)/$F$5)</f>
        <v>1.1691288522617649</v>
      </c>
      <c r="F479" s="96">
        <f>IF(D479="","",ABS(D479-$G$5)/$H$5)</f>
        <v>1.9262148096097544</v>
      </c>
      <c r="G479" s="96">
        <f>IF(D479="","",ABS(D479-$E$5)/SQRT(0.9*(IF(G478="",$F$5^2,(ABS(D478-$E$5)/MAX(G478,0.0000000001))^2))+0.1*(D479-$E$5)^2))</f>
        <v>2.0693746117531777</v>
      </c>
      <c r="H479" s="96" t="str">
        <f>IF(E479="","",IF(E479&gt;$I$5,"OUTLIER",""))</f>
        <v/>
      </c>
      <c r="I479" s="96" t="str">
        <f>IF(F479="","",IF(F479&gt;$I$5,"OUTLIER",""))</f>
        <v/>
      </c>
      <c r="J479" s="96" t="str">
        <f>IF(G479="","",IF(G479&gt;$I$5,"OUTLIER",""))</f>
        <v/>
      </c>
      <c r="K479" s="96" t="str">
        <f>IF(C479="","MISSING","")</f>
        <v/>
      </c>
      <c r="L479" s="96" t="str">
        <f>IF(AND(C479&lt;&gt;"",C478&lt;&gt;"",C479=C478),"STALE","")</f>
        <v/>
      </c>
      <c r="M479" s="106">
        <f>IF(D479="","",ABS(D479-G$5))</f>
        <v>5.7602360191445932E-3</v>
      </c>
    </row>
    <row r="480" spans="2:13" ht="15.75" customHeight="1" x14ac:dyDescent="0.55000000000000004">
      <c r="B480" s="94">
        <v>44501</v>
      </c>
      <c r="C480" s="95">
        <v>1.1561999999999999</v>
      </c>
      <c r="D480" s="95">
        <f>IF(OR(C480="",C479=""),"",LN(C480/C479))</f>
        <v>-3.1088107939645031E-3</v>
      </c>
      <c r="E480" s="95">
        <f>IF(D480="","",ABS(D480-$E$5)/$F$5)</f>
        <v>0.64356038437686458</v>
      </c>
      <c r="F480" s="96">
        <f>IF(D480="","",ABS(D480-$G$5)/$H$5)</f>
        <v>1.0395819497164198</v>
      </c>
      <c r="G480" s="96">
        <f>IF(D480="","",ABS(D480-$E$5)/SQRT(0.9*(IF(G479="",$F$5^2,(ABS(D479-$E$5)/MAX(G479,0.0000000001))^2))+0.1*(D480-$E$5)^2))</f>
        <v>1.1225316200073847</v>
      </c>
      <c r="H480" s="96" t="str">
        <f>IF(E480="","",IF(E480&gt;$I$5,"OUTLIER",""))</f>
        <v/>
      </c>
      <c r="I480" s="96" t="str">
        <f>IF(F480="","",IF(F480&gt;$I$5,"OUTLIER",""))</f>
        <v/>
      </c>
      <c r="J480" s="96" t="str">
        <f>IF(G480="","",IF(G480&gt;$I$5,"OUTLIER",""))</f>
        <v/>
      </c>
      <c r="K480" s="96" t="str">
        <f>IF(C480="","MISSING","")</f>
        <v/>
      </c>
      <c r="L480" s="96" t="str">
        <f>IF(AND(C480&lt;&gt;"",C479&lt;&gt;"",C480=C479),"STALE","")</f>
        <v/>
      </c>
      <c r="M480" s="106">
        <f>IF(D480="","",ABS(D480-G$5))</f>
        <v>3.1088107939645031E-3</v>
      </c>
    </row>
    <row r="481" spans="2:13" ht="15.75" customHeight="1" x14ac:dyDescent="0.55000000000000004">
      <c r="B481" s="94">
        <v>44502</v>
      </c>
      <c r="C481" s="95">
        <v>1.1578999999999999</v>
      </c>
      <c r="D481" s="95">
        <f>IF(OR(C481="",C480=""),"",LN(C481/C480))</f>
        <v>1.4692539698517488E-3</v>
      </c>
      <c r="E481" s="95">
        <f>IF(D481="","",ABS(D481-$E$5)/$F$5)</f>
        <v>0.263908723537853</v>
      </c>
      <c r="F481" s="96">
        <f>IF(D481="","",ABS(D481-$G$5)/$H$5)</f>
        <v>0.49131645758963843</v>
      </c>
      <c r="G481" s="96">
        <f>IF(D481="","",ABS(D481-$E$5)/SQRT(0.9*(IF(G480="",$F$5^2,(ABS(D480-$E$5)/MAX(G480,0.0000000001))^2))+0.1*(D481-$E$5)^2))</f>
        <v>0.47961027197467015</v>
      </c>
      <c r="H481" s="96" t="str">
        <f>IF(E481="","",IF(E481&gt;$I$5,"OUTLIER",""))</f>
        <v/>
      </c>
      <c r="I481" s="96" t="str">
        <f>IF(F481="","",IF(F481&gt;$I$5,"OUTLIER",""))</f>
        <v/>
      </c>
      <c r="J481" s="96" t="str">
        <f>IF(G481="","",IF(G481&gt;$I$5,"OUTLIER",""))</f>
        <v/>
      </c>
      <c r="K481" s="96" t="str">
        <f>IF(C481="","MISSING","")</f>
        <v/>
      </c>
      <c r="L481" s="96" t="str">
        <f>IF(AND(C481&lt;&gt;"",C480&lt;&gt;"",C481=C480),"STALE","")</f>
        <v/>
      </c>
      <c r="M481" s="106">
        <f>IF(D481="","",ABS(D481-G$5))</f>
        <v>1.4692539698517488E-3</v>
      </c>
    </row>
    <row r="482" spans="2:13" ht="15.75" customHeight="1" x14ac:dyDescent="0.55000000000000004">
      <c r="B482" s="94">
        <v>44503</v>
      </c>
      <c r="C482" s="95">
        <v>1.1546000000000001</v>
      </c>
      <c r="D482" s="95">
        <f>IF(OR(C482="",C481=""),"",LN(C482/C481))</f>
        <v>-2.8540559913940344E-3</v>
      </c>
      <c r="E482" s="95">
        <f>IF(D482="","",ABS(D482-$E$5)/$F$5)</f>
        <v>0.59306260303204572</v>
      </c>
      <c r="F482" s="96">
        <f>IF(D482="","",ABS(D482-$G$5)/$H$5)</f>
        <v>0.95439230264301433</v>
      </c>
      <c r="G482" s="96">
        <f>IF(D482="","",ABS(D482-$E$5)/SQRT(0.9*(IF(G481="",$F$5^2,(ABS(D481-$E$5)/MAX(G481,0.0000000001))^2))+0.1*(D482-$E$5)^2))</f>
        <v>1.0691863979322485</v>
      </c>
      <c r="H482" s="96" t="str">
        <f>IF(E482="","",IF(E482&gt;$I$5,"OUTLIER",""))</f>
        <v/>
      </c>
      <c r="I482" s="96" t="str">
        <f>IF(F482="","",IF(F482&gt;$I$5,"OUTLIER",""))</f>
        <v/>
      </c>
      <c r="J482" s="96" t="str">
        <f>IF(G482="","",IF(G482&gt;$I$5,"OUTLIER",""))</f>
        <v/>
      </c>
      <c r="K482" s="96" t="str">
        <f>IF(C482="","MISSING","")</f>
        <v/>
      </c>
      <c r="L482" s="96" t="str">
        <f>IF(AND(C482&lt;&gt;"",C481&lt;&gt;"",C482=C481),"STALE","")</f>
        <v/>
      </c>
      <c r="M482" s="106">
        <f>IF(D482="","",ABS(D482-G$5))</f>
        <v>2.8540559913940344E-3</v>
      </c>
    </row>
    <row r="483" spans="2:13" ht="15.75" customHeight="1" x14ac:dyDescent="0.55000000000000004">
      <c r="B483" s="94">
        <v>44504</v>
      </c>
      <c r="C483" s="95">
        <v>1.1549</v>
      </c>
      <c r="D483" s="95">
        <f>IF(OR(C483="",C482=""),"",LN(C483/C482))</f>
        <v>2.5979649420862603E-4</v>
      </c>
      <c r="E483" s="95">
        <f>IF(D483="","",ABS(D483-$E$5)/$F$5)</f>
        <v>2.4168712615040579E-2</v>
      </c>
      <c r="F483" s="96">
        <f>IF(D483="","",ABS(D483-$G$5)/$H$5)</f>
        <v>8.6875581654319814E-2</v>
      </c>
      <c r="G483" s="96">
        <f>IF(D483="","",ABS(D483-$E$5)/SQRT(0.9*(IF(G482="",$F$5^2,(ABS(D482-$E$5)/MAX(G482,0.0000000001))^2))+0.1*(D483-$E$5)^2))</f>
        <v>4.5923961814254115E-2</v>
      </c>
      <c r="H483" s="96" t="str">
        <f>IF(E483="","",IF(E483&gt;$I$5,"OUTLIER",""))</f>
        <v/>
      </c>
      <c r="I483" s="96" t="str">
        <f>IF(F483="","",IF(F483&gt;$I$5,"OUTLIER",""))</f>
        <v/>
      </c>
      <c r="J483" s="96" t="str">
        <f>IF(G483="","",IF(G483&gt;$I$5,"OUTLIER",""))</f>
        <v/>
      </c>
      <c r="K483" s="96" t="str">
        <f>IF(C483="","MISSING","")</f>
        <v/>
      </c>
      <c r="L483" s="96" t="str">
        <f>IF(AND(C483&lt;&gt;"",C482&lt;&gt;"",C483=C482),"STALE","")</f>
        <v/>
      </c>
      <c r="M483" s="106">
        <f>IF(D483="","",ABS(D483-G$5))</f>
        <v>2.5979649420862603E-4</v>
      </c>
    </row>
    <row r="484" spans="2:13" ht="15.75" customHeight="1" x14ac:dyDescent="0.55000000000000004">
      <c r="B484" s="94">
        <v>44505</v>
      </c>
      <c r="C484" s="95">
        <v>1.1560999999999999</v>
      </c>
      <c r="D484" s="95">
        <f>IF(OR(C484="",C483=""),"",LN(C484/C483))</f>
        <v>1.0385115602340063E-3</v>
      </c>
      <c r="E484" s="95">
        <f>IF(D484="","",ABS(D484-$E$5)/$F$5)</f>
        <v>0.17852648227156551</v>
      </c>
      <c r="F484" s="96">
        <f>IF(D484="","",ABS(D484-$G$5)/$H$5)</f>
        <v>0.34727680265621103</v>
      </c>
      <c r="G484" s="96">
        <f>IF(D484="","",ABS(D484-$E$5)/SQRT(0.9*(IF(G483="",$F$5^2,(ABS(D483-$E$5)/MAX(G483,0.0000000001))^2))+0.1*(D484-$E$5)^2))</f>
        <v>0.3553107761846801</v>
      </c>
      <c r="H484" s="96" t="str">
        <f>IF(E484="","",IF(E484&gt;$I$5,"OUTLIER",""))</f>
        <v/>
      </c>
      <c r="I484" s="96" t="str">
        <f>IF(F484="","",IF(F484&gt;$I$5,"OUTLIER",""))</f>
        <v/>
      </c>
      <c r="J484" s="96" t="str">
        <f>IF(G484="","",IF(G484&gt;$I$5,"OUTLIER",""))</f>
        <v/>
      </c>
      <c r="K484" s="96" t="str">
        <f>IF(C484="","MISSING","")</f>
        <v/>
      </c>
      <c r="L484" s="96" t="str">
        <f>IF(AND(C484&lt;&gt;"",C483&lt;&gt;"",C484=C483),"STALE","")</f>
        <v/>
      </c>
      <c r="M484" s="106">
        <f>IF(D484="","",ABS(D484-G$5))</f>
        <v>1.0385115602340063E-3</v>
      </c>
    </row>
    <row r="485" spans="2:13" ht="15.75" customHeight="1" x14ac:dyDescent="0.55000000000000004">
      <c r="B485" s="94">
        <v>44508</v>
      </c>
      <c r="C485" s="95">
        <v>1.1548</v>
      </c>
      <c r="D485" s="95">
        <f>IF(OR(C485="",C484=""),"",LN(C485/C484))</f>
        <v>-1.1251028924957932E-3</v>
      </c>
      <c r="E485" s="95">
        <f>IF(D485="","",ABS(D485-$E$5)/$F$5)</f>
        <v>0.25034758976174698</v>
      </c>
      <c r="F485" s="96">
        <f>IF(D485="","",ABS(D485-$G$5)/$H$5)</f>
        <v>0.37623282217210269</v>
      </c>
      <c r="G485" s="96">
        <f>IF(D485="","",ABS(D485-$E$5)/SQRT(0.9*(IF(G484="",$F$5^2,(ABS(D484-$E$5)/MAX(G484,0.0000000001))^2))+0.1*(D485-$E$5)^2))</f>
        <v>0.51810674290039593</v>
      </c>
      <c r="H485" s="96" t="str">
        <f>IF(E485="","",IF(E485&gt;$I$5,"OUTLIER",""))</f>
        <v/>
      </c>
      <c r="I485" s="96" t="str">
        <f>IF(F485="","",IF(F485&gt;$I$5,"OUTLIER",""))</f>
        <v/>
      </c>
      <c r="J485" s="96" t="str">
        <f>IF(G485="","",IF(G485&gt;$I$5,"OUTLIER",""))</f>
        <v/>
      </c>
      <c r="K485" s="96" t="str">
        <f>IF(C485="","MISSING","")</f>
        <v/>
      </c>
      <c r="L485" s="96" t="str">
        <f>IF(AND(C485&lt;&gt;"",C484&lt;&gt;"",C485=C484),"STALE","")</f>
        <v/>
      </c>
      <c r="M485" s="106">
        <f>IF(D485="","",ABS(D485-G$5))</f>
        <v>1.1251028924957932E-3</v>
      </c>
    </row>
    <row r="486" spans="2:13" ht="15.75" customHeight="1" x14ac:dyDescent="0.55000000000000004">
      <c r="B486" s="94">
        <v>44509</v>
      </c>
      <c r="C486" s="95">
        <v>1.1537999999999999</v>
      </c>
      <c r="D486" s="95">
        <f>IF(OR(C486="",C485=""),"",LN(C486/C485))</f>
        <v>-8.6632596599109228E-4</v>
      </c>
      <c r="E486" s="95">
        <f>IF(D486="","",ABS(D486-$E$5)/$F$5)</f>
        <v>0.19905253852084265</v>
      </c>
      <c r="F486" s="96">
        <f>IF(D486="","",ABS(D486-$G$5)/$H$5)</f>
        <v>0.28969818252157803</v>
      </c>
      <c r="G486" s="96">
        <f>IF(D486="","",ABS(D486-$E$5)/SQRT(0.9*(IF(G485="",$F$5^2,(ABS(D485-$E$5)/MAX(G485,0.0000000001))^2))+0.1*(D486-$E$5)^2))</f>
        <v>0.43019557418592258</v>
      </c>
      <c r="H486" s="96" t="str">
        <f>IF(E486="","",IF(E486&gt;$I$5,"OUTLIER",""))</f>
        <v/>
      </c>
      <c r="I486" s="96" t="str">
        <f>IF(F486="","",IF(F486&gt;$I$5,"OUTLIER",""))</f>
        <v/>
      </c>
      <c r="J486" s="96" t="str">
        <f>IF(G486="","",IF(G486&gt;$I$5,"OUTLIER",""))</f>
        <v/>
      </c>
      <c r="K486" s="96" t="str">
        <f>IF(C486="","MISSING","")</f>
        <v/>
      </c>
      <c r="L486" s="96" t="str">
        <f>IF(AND(C486&lt;&gt;"",C485&lt;&gt;"",C486=C485),"STALE","")</f>
        <v/>
      </c>
      <c r="M486" s="106">
        <f>IF(D486="","",ABS(D486-G$5))</f>
        <v>8.6632596599109228E-4</v>
      </c>
    </row>
    <row r="487" spans="2:13" ht="15.75" customHeight="1" x14ac:dyDescent="0.55000000000000004">
      <c r="B487" s="94">
        <v>44510</v>
      </c>
      <c r="C487" s="95">
        <v>1.1493</v>
      </c>
      <c r="D487" s="95">
        <f>IF(OR(C487="",C486=""),"",LN(C487/C486))</f>
        <v>-3.9077814480759712E-3</v>
      </c>
      <c r="E487" s="95">
        <f>IF(D487="","",ABS(D487-$E$5)/$F$5)</f>
        <v>0.80193323931484983</v>
      </c>
      <c r="F487" s="96">
        <f>IF(D487="","",ABS(D487-$G$5)/$H$5)</f>
        <v>1.3067566108376225</v>
      </c>
      <c r="G487" s="96">
        <f>IF(D487="","",ABS(D487-$E$5)/SQRT(0.9*(IF(G486="",$F$5^2,(ABS(D486-$E$5)/MAX(G486,0.0000000001))^2))+0.1*(D487-$E$5)^2))</f>
        <v>1.5818919839817183</v>
      </c>
      <c r="H487" s="96" t="str">
        <f>IF(E487="","",IF(E487&gt;$I$5,"OUTLIER",""))</f>
        <v/>
      </c>
      <c r="I487" s="96" t="str">
        <f>IF(F487="","",IF(F487&gt;$I$5,"OUTLIER",""))</f>
        <v/>
      </c>
      <c r="J487" s="96" t="str">
        <f>IF(G487="","",IF(G487&gt;$I$5,"OUTLIER",""))</f>
        <v/>
      </c>
      <c r="K487" s="96" t="str">
        <f>IF(C487="","MISSING","")</f>
        <v/>
      </c>
      <c r="L487" s="96" t="str">
        <f>IF(AND(C487&lt;&gt;"",C486&lt;&gt;"",C487=C486),"STALE","")</f>
        <v/>
      </c>
      <c r="M487" s="106">
        <f>IF(D487="","",ABS(D487-G$5))</f>
        <v>3.9077814480759712E-3</v>
      </c>
    </row>
    <row r="488" spans="2:13" ht="15.75" customHeight="1" x14ac:dyDescent="0.55000000000000004">
      <c r="B488" s="94">
        <v>44511</v>
      </c>
      <c r="C488" s="95"/>
      <c r="D488" s="95" t="str">
        <f>IF(OR(C488="",C487=""),"",LN(C488/C487))</f>
        <v/>
      </c>
      <c r="E488" s="95" t="str">
        <f>IF(D488="","",ABS(D488-$E$5)/$F$5)</f>
        <v/>
      </c>
      <c r="F488" s="96" t="str">
        <f>IF(D488="","",ABS(D488-$G$5)/$H$5)</f>
        <v/>
      </c>
      <c r="G488" s="96" t="str">
        <f>IF(D488="","",ABS(D488-$E$5)/SQRT(0.9*(IF(G487="",$F$5^2,(ABS(D487-$E$5)/MAX(G487,0.0000000001))^2))+0.1*(D488-$E$5)^2))</f>
        <v/>
      </c>
      <c r="H488" s="96" t="str">
        <f>IF(E488="","",IF(E488&gt;$I$5,"OUTLIER",""))</f>
        <v/>
      </c>
      <c r="I488" s="96" t="str">
        <f>IF(F488="","",IF(F488&gt;$I$5,"OUTLIER",""))</f>
        <v/>
      </c>
      <c r="J488" s="96" t="str">
        <f>IF(G488="","",IF(G488&gt;$I$5,"OUTLIER",""))</f>
        <v/>
      </c>
      <c r="K488" s="96" t="str">
        <f>IF(C488="","MISSING","")</f>
        <v>MISSING</v>
      </c>
      <c r="L488" s="96" t="str">
        <f>IF(AND(C488&lt;&gt;"",C487&lt;&gt;"",C488=C487),"STALE","")</f>
        <v/>
      </c>
      <c r="M488" s="106" t="str">
        <f>IF(D488="","",ABS(D488-G$5))</f>
        <v/>
      </c>
    </row>
    <row r="489" spans="2:13" ht="15.75" customHeight="1" x14ac:dyDescent="0.55000000000000004">
      <c r="B489" s="94">
        <v>44512</v>
      </c>
      <c r="C489" s="95">
        <v>1.1447000000000001</v>
      </c>
      <c r="D489" s="95" t="str">
        <f>IF(OR(C489="",C488=""),"",LN(C489/C488))</f>
        <v/>
      </c>
      <c r="E489" s="95" t="str">
        <f>IF(D489="","",ABS(D489-$E$5)/$F$5)</f>
        <v/>
      </c>
      <c r="F489" s="96" t="str">
        <f>IF(D489="","",ABS(D489-$G$5)/$H$5)</f>
        <v/>
      </c>
      <c r="G489" s="96" t="str">
        <f>IF(D489="","",ABS(D489-$E$5)/SQRT(0.9*(IF(G488="",$F$5^2,(ABS(D488-$E$5)/MAX(G488,0.0000000001))^2))+0.1*(D489-$E$5)^2))</f>
        <v/>
      </c>
      <c r="H489" s="96" t="str">
        <f>IF(E489="","",IF(E489&gt;$I$5,"OUTLIER",""))</f>
        <v/>
      </c>
      <c r="I489" s="96" t="str">
        <f>IF(F489="","",IF(F489&gt;$I$5,"OUTLIER",""))</f>
        <v/>
      </c>
      <c r="J489" s="96" t="str">
        <f>IF(G489="","",IF(G489&gt;$I$5,"OUTLIER",""))</f>
        <v/>
      </c>
      <c r="K489" s="96" t="str">
        <f>IF(C489="","MISSING","")</f>
        <v/>
      </c>
      <c r="L489" s="96" t="str">
        <f>IF(AND(C489&lt;&gt;"",C488&lt;&gt;"",C489=C488),"STALE","")</f>
        <v/>
      </c>
      <c r="M489" s="106" t="str">
        <f>IF(D489="","",ABS(D489-G$5))</f>
        <v/>
      </c>
    </row>
    <row r="490" spans="2:13" ht="15.75" customHeight="1" x14ac:dyDescent="0.55000000000000004">
      <c r="B490" s="94">
        <v>44515</v>
      </c>
      <c r="C490" s="95">
        <v>1.1393</v>
      </c>
      <c r="D490" s="95">
        <f>IF(OR(C490="",C489=""),"",LN(C490/C489))</f>
        <v>-4.7285552203605715E-3</v>
      </c>
      <c r="E490" s="95">
        <f>IF(D490="","",ABS(D490-$E$5)/$F$5)</f>
        <v>0.96462793267563551</v>
      </c>
      <c r="F490" s="96">
        <f>IF(D490="","",ABS(D490-$G$5)/$H$5)</f>
        <v>1.581222203959038</v>
      </c>
      <c r="G490" s="96">
        <f>IF(D490="","",ABS(D490-$E$5)/SQRT(0.9*(IF(G489="",$F$5^2,(ABS(D489-$E$5)/MAX(G489,0.0000000001))^2))+0.1*(D490-$E$5)^2))</f>
        <v>0.96799724575110546</v>
      </c>
      <c r="H490" s="96" t="str">
        <f>IF(E490="","",IF(E490&gt;$I$5,"OUTLIER",""))</f>
        <v/>
      </c>
      <c r="I490" s="96" t="str">
        <f>IF(F490="","",IF(F490&gt;$I$5,"OUTLIER",""))</f>
        <v/>
      </c>
      <c r="J490" s="96" t="str">
        <f>IF(G490="","",IF(G490&gt;$I$5,"OUTLIER",""))</f>
        <v/>
      </c>
      <c r="K490" s="96" t="str">
        <f>IF(C490="","MISSING","")</f>
        <v/>
      </c>
      <c r="L490" s="96" t="str">
        <f>IF(AND(C490&lt;&gt;"",C489&lt;&gt;"",C490=C489),"STALE","")</f>
        <v/>
      </c>
      <c r="M490" s="106">
        <f>IF(D490="","",ABS(D490-G$5))</f>
        <v>4.7285552203605715E-3</v>
      </c>
    </row>
    <row r="491" spans="2:13" ht="15.75" customHeight="1" x14ac:dyDescent="0.55000000000000004">
      <c r="B491" s="94">
        <v>44516</v>
      </c>
      <c r="C491" s="95">
        <v>1.1338999999999999</v>
      </c>
      <c r="D491" s="95">
        <f>IF(OR(C491="",C490=""),"",LN(C491/C490))</f>
        <v>-4.7510207262760201E-3</v>
      </c>
      <c r="E491" s="95">
        <f>IF(D491="","",ABS(D491-$E$5)/$F$5)</f>
        <v>0.96908107033613278</v>
      </c>
      <c r="F491" s="96">
        <f>IF(D491="","",ABS(D491-$G$5)/$H$5)</f>
        <v>1.5887346374870897</v>
      </c>
      <c r="G491" s="96">
        <f>IF(D491="","",ABS(D491-$E$5)/SQRT(0.9*(IF(G490="",$F$5^2,(ABS(D490-$E$5)/MAX(G490,0.0000000001))^2))+0.1*(D491-$E$5)^2))</f>
        <v>0.97511747414601313</v>
      </c>
      <c r="H491" s="96" t="str">
        <f>IF(E491="","",IF(E491&gt;$I$5,"OUTLIER",""))</f>
        <v/>
      </c>
      <c r="I491" s="96" t="str">
        <f>IF(F491="","",IF(F491&gt;$I$5,"OUTLIER",""))</f>
        <v/>
      </c>
      <c r="J491" s="96" t="str">
        <f>IF(G491="","",IF(G491&gt;$I$5,"OUTLIER",""))</f>
        <v/>
      </c>
      <c r="K491" s="96" t="str">
        <f>IF(C491="","MISSING","")</f>
        <v/>
      </c>
      <c r="L491" s="96" t="str">
        <f>IF(AND(C491&lt;&gt;"",C490&lt;&gt;"",C491=C490),"STALE","")</f>
        <v/>
      </c>
      <c r="M491" s="106">
        <f>IF(D491="","",ABS(D491-G$5))</f>
        <v>4.7510207262760201E-3</v>
      </c>
    </row>
    <row r="492" spans="2:13" ht="15.75" customHeight="1" x14ac:dyDescent="0.55000000000000004">
      <c r="B492" s="94">
        <v>44517</v>
      </c>
      <c r="C492" s="95">
        <v>1.1341000000000001</v>
      </c>
      <c r="D492" s="95">
        <f>IF(OR(C492="",C491=""),"",LN(C492/C491))</f>
        <v>1.7636684349077369E-4</v>
      </c>
      <c r="E492" s="95">
        <f>IF(D492="","",ABS(D492-$E$5)/$F$5)</f>
        <v>7.6311941183702511E-3</v>
      </c>
      <c r="F492" s="96">
        <f>IF(D492="","",ABS(D492-$G$5)/$H$5)</f>
        <v>5.897682399244869E-2</v>
      </c>
      <c r="G492" s="96">
        <f>IF(D492="","",ABS(D492-$E$5)/SQRT(0.9*(IF(G491="",$F$5^2,(ABS(D491-$E$5)/MAX(G491,0.0000000001))^2))+0.1*(D492-$E$5)^2))</f>
        <v>8.0940643436662237E-3</v>
      </c>
      <c r="H492" s="96" t="str">
        <f>IF(E492="","",IF(E492&gt;$I$5,"OUTLIER",""))</f>
        <v/>
      </c>
      <c r="I492" s="96" t="str">
        <f>IF(F492="","",IF(F492&gt;$I$5,"OUTLIER",""))</f>
        <v/>
      </c>
      <c r="J492" s="96" t="str">
        <f>IF(G492="","",IF(G492&gt;$I$5,"OUTLIER",""))</f>
        <v/>
      </c>
      <c r="K492" s="96" t="str">
        <f>IF(C492="","MISSING","")</f>
        <v/>
      </c>
      <c r="L492" s="96" t="str">
        <f>IF(AND(C492&lt;&gt;"",C491&lt;&gt;"",C492=C491),"STALE","")</f>
        <v/>
      </c>
      <c r="M492" s="106">
        <f>IF(D492="","",ABS(D492-G$5))</f>
        <v>1.7636684349077369E-4</v>
      </c>
    </row>
    <row r="493" spans="2:13" ht="15.75" customHeight="1" x14ac:dyDescent="0.55000000000000004">
      <c r="B493" s="94">
        <v>44518</v>
      </c>
      <c r="C493" s="95">
        <v>1.1298999999999999</v>
      </c>
      <c r="D493" s="95">
        <f>IF(OR(C493="",C492=""),"",LN(C493/C492))</f>
        <v>-3.7102516060844369E-3</v>
      </c>
      <c r="E493" s="95">
        <f>IF(D493="","",ABS(D493-$E$5)/$F$5)</f>
        <v>0.76277865353542773</v>
      </c>
      <c r="F493" s="96">
        <f>IF(D493="","",ABS(D493-$G$5)/$H$5)</f>
        <v>1.2407029099615825</v>
      </c>
      <c r="G493" s="96">
        <f>IF(D493="","",ABS(D493-$E$5)/SQRT(0.9*(IF(G492="",$F$5^2,(ABS(D492-$E$5)/MAX(G492,0.0000000001))^2))+0.1*(D493-$E$5)^2))</f>
        <v>0.82339187683195658</v>
      </c>
      <c r="H493" s="96" t="str">
        <f>IF(E493="","",IF(E493&gt;$I$5,"OUTLIER",""))</f>
        <v/>
      </c>
      <c r="I493" s="96" t="str">
        <f>IF(F493="","",IF(F493&gt;$I$5,"OUTLIER",""))</f>
        <v/>
      </c>
      <c r="J493" s="96" t="str">
        <f>IF(G493="","",IF(G493&gt;$I$5,"OUTLIER",""))</f>
        <v/>
      </c>
      <c r="K493" s="96" t="str">
        <f>IF(C493="","MISSING","")</f>
        <v/>
      </c>
      <c r="L493" s="96" t="str">
        <f>IF(AND(C493&lt;&gt;"",C492&lt;&gt;"",C493=C492),"STALE","")</f>
        <v/>
      </c>
      <c r="M493" s="106">
        <f>IF(D493="","",ABS(D493-G$5))</f>
        <v>3.7102516060844369E-3</v>
      </c>
    </row>
    <row r="494" spans="2:13" ht="15.75" customHeight="1" x14ac:dyDescent="0.55000000000000004">
      <c r="B494" s="94">
        <v>44519</v>
      </c>
      <c r="C494" s="95">
        <v>1.1282000000000001</v>
      </c>
      <c r="D494" s="95">
        <f>IF(OR(C494="",C493=""),"",LN(C494/C493))</f>
        <v>-1.5056909093246983E-3</v>
      </c>
      <c r="E494" s="95">
        <f>IF(D494="","",ABS(D494-$E$5)/$F$5)</f>
        <v>0.32578817130276866</v>
      </c>
      <c r="F494" s="96">
        <f>IF(D494="","",ABS(D494-$G$5)/$H$5)</f>
        <v>0.50350091881594639</v>
      </c>
      <c r="G494" s="96">
        <f>IF(D494="","",ABS(D494-$E$5)/SQRT(0.9*(IF(G493="",$F$5^2,(ABS(D493-$E$5)/MAX(G493,0.0000000001))^2))+0.1*(D494-$E$5)^2))</f>
        <v>0.36817849953978621</v>
      </c>
      <c r="H494" s="96" t="str">
        <f>IF(E494="","",IF(E494&gt;$I$5,"OUTLIER",""))</f>
        <v/>
      </c>
      <c r="I494" s="96" t="str">
        <f>IF(F494="","",IF(F494&gt;$I$5,"OUTLIER",""))</f>
        <v/>
      </c>
      <c r="J494" s="96" t="str">
        <f>IF(G494="","",IF(G494&gt;$I$5,"OUTLIER",""))</f>
        <v/>
      </c>
      <c r="K494" s="96" t="str">
        <f>IF(C494="","MISSING","")</f>
        <v/>
      </c>
      <c r="L494" s="96" t="str">
        <f>IF(AND(C494&lt;&gt;"",C493&lt;&gt;"",C494=C493),"STALE","")</f>
        <v/>
      </c>
      <c r="M494" s="106">
        <f>IF(D494="","",ABS(D494-G$5))</f>
        <v>1.5056909093246983E-3</v>
      </c>
    </row>
    <row r="495" spans="2:13" ht="15.75" customHeight="1" x14ac:dyDescent="0.55000000000000004">
      <c r="B495" s="94">
        <v>44522</v>
      </c>
      <c r="C495" s="95">
        <v>1.125</v>
      </c>
      <c r="D495" s="95">
        <f>IF(OR(C495="",C494=""),"",LN(C495/C494))</f>
        <v>-2.8404066673552684E-3</v>
      </c>
      <c r="E495" s="95">
        <f>IF(D495="","",ABS(D495-$E$5)/$F$5)</f>
        <v>0.59035701878452784</v>
      </c>
      <c r="F495" s="96">
        <f>IF(D495="","",ABS(D495-$G$5)/$H$5)</f>
        <v>0.94982798791402556</v>
      </c>
      <c r="G495" s="96">
        <f>IF(D495="","",ABS(D495-$E$5)/SQRT(0.9*(IF(G494="",$F$5^2,(ABS(D494-$E$5)/MAX(G494,0.0000000001))^2))+0.1*(D495-$E$5)^2))</f>
        <v>0.68648987472173673</v>
      </c>
      <c r="H495" s="96" t="str">
        <f>IF(E495="","",IF(E495&gt;$I$5,"OUTLIER",""))</f>
        <v/>
      </c>
      <c r="I495" s="96" t="str">
        <f>IF(F495="","",IF(F495&gt;$I$5,"OUTLIER",""))</f>
        <v/>
      </c>
      <c r="J495" s="96" t="str">
        <f>IF(G495="","",IF(G495&gt;$I$5,"OUTLIER",""))</f>
        <v/>
      </c>
      <c r="K495" s="96" t="str">
        <f>IF(C495="","MISSING","")</f>
        <v/>
      </c>
      <c r="L495" s="96" t="str">
        <f>IF(AND(C495&lt;&gt;"",C494&lt;&gt;"",C495=C494),"STALE","")</f>
        <v/>
      </c>
      <c r="M495" s="106">
        <f>IF(D495="","",ABS(D495-G$5))</f>
        <v>2.8404066673552684E-3</v>
      </c>
    </row>
    <row r="496" spans="2:13" ht="15.75" customHeight="1" x14ac:dyDescent="0.55000000000000004">
      <c r="B496" s="94">
        <v>44523</v>
      </c>
      <c r="C496" s="95">
        <v>1.1206</v>
      </c>
      <c r="D496" s="95">
        <f>IF(OR(C496="",C495=""),"",LN(C496/C495))</f>
        <v>-3.9187795073363334E-3</v>
      </c>
      <c r="E496" s="95">
        <f>IF(D496="","",ABS(D496-$E$5)/$F$5)</f>
        <v>0.80411328689842188</v>
      </c>
      <c r="F496" s="96">
        <f>IF(D496="","",ABS(D496-$G$5)/$H$5)</f>
        <v>1.310434346359894</v>
      </c>
      <c r="G496" s="96">
        <f>IF(D496="","",ABS(D496-$E$5)/SQRT(0.9*(IF(G495="",$F$5^2,(ABS(D495-$E$5)/MAX(G495,0.0000000001))^2))+0.1*(D496-$E$5)^2))</f>
        <v>0.94098547009905342</v>
      </c>
      <c r="H496" s="96" t="str">
        <f>IF(E496="","",IF(E496&gt;$I$5,"OUTLIER",""))</f>
        <v/>
      </c>
      <c r="I496" s="96" t="str">
        <f>IF(F496="","",IF(F496&gt;$I$5,"OUTLIER",""))</f>
        <v/>
      </c>
      <c r="J496" s="96" t="str">
        <f>IF(G496="","",IF(G496&gt;$I$5,"OUTLIER",""))</f>
        <v/>
      </c>
      <c r="K496" s="96" t="str">
        <f>IF(C496="","MISSING","")</f>
        <v/>
      </c>
      <c r="L496" s="96" t="str">
        <f>IF(AND(C496&lt;&gt;"",C495&lt;&gt;"",C496=C495),"STALE","")</f>
        <v/>
      </c>
      <c r="M496" s="106">
        <f>IF(D496="","",ABS(D496-G$5))</f>
        <v>3.9187795073363334E-3</v>
      </c>
    </row>
    <row r="497" spans="2:13" ht="15.75" customHeight="1" x14ac:dyDescent="0.55000000000000004">
      <c r="B497" s="94">
        <v>44524</v>
      </c>
      <c r="C497" s="95">
        <v>1.121</v>
      </c>
      <c r="D497" s="95">
        <f>IF(OR(C497="",C496=""),"",LN(C497/C496))</f>
        <v>3.5688794097575501E-4</v>
      </c>
      <c r="E497" s="95">
        <f>IF(D497="","",ABS(D497-$E$5)/$F$5)</f>
        <v>4.3414287575074539E-2</v>
      </c>
      <c r="F497" s="96">
        <f>IF(D497="","",ABS(D497-$G$5)/$H$5)</f>
        <v>0.11934282466792356</v>
      </c>
      <c r="G497" s="96">
        <f>IF(D497="","",ABS(D497-$E$5)/SQRT(0.9*(IF(G496="",$F$5^2,(ABS(D496-$E$5)/MAX(G496,0.0000000001))^2))+0.1*(D497-$E$5)^2))</f>
        <v>5.3544496341647894E-2</v>
      </c>
      <c r="H497" s="96" t="str">
        <f>IF(E497="","",IF(E497&gt;$I$5,"OUTLIER",""))</f>
        <v/>
      </c>
      <c r="I497" s="96" t="str">
        <f>IF(F497="","",IF(F497&gt;$I$5,"OUTLIER",""))</f>
        <v/>
      </c>
      <c r="J497" s="96" t="str">
        <f>IF(G497="","",IF(G497&gt;$I$5,"OUTLIER",""))</f>
        <v/>
      </c>
      <c r="K497" s="96" t="str">
        <f>IF(C497="","MISSING","")</f>
        <v/>
      </c>
      <c r="L497" s="96" t="str">
        <f>IF(AND(C497&lt;&gt;"",C496&lt;&gt;"",C497=C496),"STALE","")</f>
        <v/>
      </c>
      <c r="M497" s="106">
        <f>IF(D497="","",ABS(D497-G$5))</f>
        <v>3.5688794097575501E-4</v>
      </c>
    </row>
    <row r="498" spans="2:13" ht="15.75" customHeight="1" x14ac:dyDescent="0.55000000000000004">
      <c r="B498" s="94">
        <v>44526</v>
      </c>
      <c r="C498" s="95">
        <v>1.1194999999999999</v>
      </c>
      <c r="D498" s="95">
        <f>IF(OR(C498="",C497=""),"",LN(C498/C497))</f>
        <v>-1.3389870333503952E-3</v>
      </c>
      <c r="E498" s="95">
        <f>IF(D498="","",ABS(D498-$E$5)/$F$5)</f>
        <v>0.29274394291788636</v>
      </c>
      <c r="F498" s="96">
        <f>IF(D498="","",ABS(D498-$G$5)/$H$5)</f>
        <v>0.44775537754752875</v>
      </c>
      <c r="G498" s="96">
        <f>IF(D498="","",ABS(D498-$E$5)/SQRT(0.9*(IF(G497="",$F$5^2,(ABS(D497-$E$5)/MAX(G497,0.0000000001))^2))+0.1*(D498-$E$5)^2))</f>
        <v>0.37785585508869762</v>
      </c>
      <c r="H498" s="96" t="str">
        <f>IF(E498="","",IF(E498&gt;$I$5,"OUTLIER",""))</f>
        <v/>
      </c>
      <c r="I498" s="96" t="str">
        <f>IF(F498="","",IF(F498&gt;$I$5,"OUTLIER",""))</f>
        <v/>
      </c>
      <c r="J498" s="96" t="str">
        <f>IF(G498="","",IF(G498&gt;$I$5,"OUTLIER",""))</f>
        <v/>
      </c>
      <c r="K498" s="96" t="str">
        <f>IF(C498="","MISSING","")</f>
        <v/>
      </c>
      <c r="L498" s="96" t="str">
        <f>IF(AND(C498&lt;&gt;"",C497&lt;&gt;"",C498=C497),"STALE","")</f>
        <v/>
      </c>
      <c r="M498" s="106">
        <f>IF(D498="","",ABS(D498-G$5))</f>
        <v>1.3389870333503952E-3</v>
      </c>
    </row>
    <row r="499" spans="2:13" ht="15.75" customHeight="1" x14ac:dyDescent="0.55000000000000004">
      <c r="B499" s="94">
        <v>44529</v>
      </c>
      <c r="C499" s="95">
        <v>1.1294999999999999</v>
      </c>
      <c r="D499" s="95">
        <f>IF(OR(C499="",C498=""),"",LN(C499/C498))</f>
        <v>8.8928998692484554E-3</v>
      </c>
      <c r="E499" s="95">
        <f>IF(D499="","",ABS(D499-$E$5)/$F$5)</f>
        <v>1.7354321006306175</v>
      </c>
      <c r="F499" s="96">
        <f>IF(D499="","",ABS(D499-$G$5)/$H$5)</f>
        <v>2.9737731876942797</v>
      </c>
      <c r="G499" s="96">
        <f>IF(D499="","",ABS(D499-$E$5)/SQRT(0.9*(IF(G498="",$F$5^2,(ABS(D498-$E$5)/MAX(G498,0.0000000001))^2))+0.1*(D499-$E$5)^2))</f>
        <v>1.8919506504186658</v>
      </c>
      <c r="H499" s="96" t="str">
        <f>IF(E499="","",IF(E499&gt;$I$5,"OUTLIER",""))</f>
        <v/>
      </c>
      <c r="I499" s="96" t="str">
        <f>IF(F499="","",IF(F499&gt;$I$5,"OUTLIER",""))</f>
        <v/>
      </c>
      <c r="J499" s="96" t="str">
        <f>IF(G499="","",IF(G499&gt;$I$5,"OUTLIER",""))</f>
        <v/>
      </c>
      <c r="K499" s="96" t="str">
        <f>IF(C499="","MISSING","")</f>
        <v/>
      </c>
      <c r="L499" s="96" t="str">
        <f>IF(AND(C499&lt;&gt;"",C498&lt;&gt;"",C499=C498),"STALE","")</f>
        <v/>
      </c>
      <c r="M499" s="106">
        <f>IF(D499="","",ABS(D499-G$5))</f>
        <v>8.8928998692484554E-3</v>
      </c>
    </row>
    <row r="500" spans="2:13" ht="15.75" customHeight="1" x14ac:dyDescent="0.55000000000000004">
      <c r="B500" s="94">
        <v>44530</v>
      </c>
      <c r="C500" s="95">
        <v>1.1274999999999999</v>
      </c>
      <c r="D500" s="95">
        <f>IF(OR(C500="",C499=""),"",LN(C500/C499))</f>
        <v>-1.7722645312245079E-3</v>
      </c>
      <c r="E500" s="95">
        <f>IF(D500="","",ABS(D500-$E$5)/$F$5)</f>
        <v>0.37862869220823586</v>
      </c>
      <c r="F500" s="96">
        <f>IF(D500="","",ABS(D500-$G$5)/$H$5)</f>
        <v>0.59264276242237846</v>
      </c>
      <c r="G500" s="96">
        <f>IF(D500="","",ABS(D500-$E$5)/SQRT(0.9*(IF(G499="",$F$5^2,(ABS(D499-$E$5)/MAX(G499,0.0000000001))^2))+0.1*(D500-$E$5)^2))</f>
        <v>0.43104430764026835</v>
      </c>
      <c r="H500" s="96" t="str">
        <f>IF(E500="","",IF(E500&gt;$I$5,"OUTLIER",""))</f>
        <v/>
      </c>
      <c r="I500" s="96" t="str">
        <f>IF(F500="","",IF(F500&gt;$I$5,"OUTLIER",""))</f>
        <v/>
      </c>
      <c r="J500" s="96" t="str">
        <f>IF(G500="","",IF(G500&gt;$I$5,"OUTLIER",""))</f>
        <v/>
      </c>
      <c r="K500" s="96" t="str">
        <f>IF(C500="","MISSING","")</f>
        <v/>
      </c>
      <c r="L500" s="96" t="str">
        <f>IF(AND(C500&lt;&gt;"",C499&lt;&gt;"",C500=C499),"STALE","")</f>
        <v/>
      </c>
      <c r="M500" s="106">
        <f>IF(D500="","",ABS(D500-G$5))</f>
        <v>1.7722645312245079E-3</v>
      </c>
    </row>
    <row r="501" spans="2:13" ht="15.75" customHeight="1" x14ac:dyDescent="0.55000000000000004">
      <c r="B501" s="94">
        <v>44531</v>
      </c>
      <c r="C501" s="95">
        <v>1.1299999999999999</v>
      </c>
      <c r="D501" s="95">
        <f>IF(OR(C501="",C500=""),"",LN(C501/C500))</f>
        <v>2.2148403295528213E-3</v>
      </c>
      <c r="E501" s="95">
        <f>IF(D501="","",ABS(D501-$E$5)/$F$5)</f>
        <v>0.41169968404565205</v>
      </c>
      <c r="F501" s="96">
        <f>IF(D501="","",ABS(D501-$G$5)/$H$5)</f>
        <v>0.74063948586938999</v>
      </c>
      <c r="G501" s="96">
        <f>IF(D501="","",ABS(D501-$E$5)/SQRT(0.9*(IF(G500="",$F$5^2,(ABS(D500-$E$5)/MAX(G500,0.0000000001))^2))+0.1*(D501-$E$5)^2))</f>
        <v>0.48812511503115025</v>
      </c>
      <c r="H501" s="96" t="str">
        <f>IF(E501="","",IF(E501&gt;$I$5,"OUTLIER",""))</f>
        <v/>
      </c>
      <c r="I501" s="96" t="str">
        <f>IF(F501="","",IF(F501&gt;$I$5,"OUTLIER",""))</f>
        <v/>
      </c>
      <c r="J501" s="96" t="str">
        <f>IF(G501="","",IF(G501&gt;$I$5,"OUTLIER",""))</f>
        <v/>
      </c>
      <c r="K501" s="96" t="str">
        <f>IF(C501="","MISSING","")</f>
        <v/>
      </c>
      <c r="L501" s="96" t="str">
        <f>IF(AND(C501&lt;&gt;"",C500&lt;&gt;"",C501=C500),"STALE","")</f>
        <v/>
      </c>
      <c r="M501" s="106">
        <f>IF(D501="","",ABS(D501-G$5))</f>
        <v>2.2148403295528213E-3</v>
      </c>
    </row>
    <row r="502" spans="2:13" ht="15.75" customHeight="1" x14ac:dyDescent="0.55000000000000004">
      <c r="B502" s="94">
        <v>44532</v>
      </c>
      <c r="C502" s="95">
        <v>1.1271</v>
      </c>
      <c r="D502" s="95">
        <f>IF(OR(C502="",C501=""),"",LN(C502/C501))</f>
        <v>-2.5696704583532434E-3</v>
      </c>
      <c r="E502" s="95">
        <f>IF(D502="","",ABS(D502-$E$5)/$F$5)</f>
        <v>0.53669138521702042</v>
      </c>
      <c r="F502" s="96">
        <f>IF(D502="","",ABS(D502-$G$5)/$H$5)</f>
        <v>0.85929418104498945</v>
      </c>
      <c r="G502" s="96">
        <f>IF(D502="","",ABS(D502-$E$5)/SQRT(0.9*(IF(G501="",$F$5^2,(ABS(D501-$E$5)/MAX(G501,0.0000000001))^2))+0.1*(D502-$E$5)^2))</f>
        <v>0.65614238759763643</v>
      </c>
      <c r="H502" s="96" t="str">
        <f>IF(E502="","",IF(E502&gt;$I$5,"OUTLIER",""))</f>
        <v/>
      </c>
      <c r="I502" s="96" t="str">
        <f>IF(F502="","",IF(F502&gt;$I$5,"OUTLIER",""))</f>
        <v/>
      </c>
      <c r="J502" s="96" t="str">
        <f>IF(G502="","",IF(G502&gt;$I$5,"OUTLIER",""))</f>
        <v/>
      </c>
      <c r="K502" s="96" t="str">
        <f>IF(C502="","MISSING","")</f>
        <v/>
      </c>
      <c r="L502" s="96" t="str">
        <f>IF(AND(C502&lt;&gt;"",C501&lt;&gt;"",C502=C501),"STALE","")</f>
        <v/>
      </c>
      <c r="M502" s="106">
        <f>IF(D502="","",ABS(D502-G$5))</f>
        <v>2.5696704583532434E-3</v>
      </c>
    </row>
    <row r="503" spans="2:13" ht="15.75" customHeight="1" x14ac:dyDescent="0.55000000000000004">
      <c r="B503" s="94">
        <v>44533</v>
      </c>
      <c r="C503" s="95">
        <v>1.1265000000000001</v>
      </c>
      <c r="D503" s="95">
        <f>IF(OR(C503="",C502=""),"",LN(C503/C502))</f>
        <v>-5.3248137573374318E-4</v>
      </c>
      <c r="E503" s="95">
        <f>IF(D503="","",ABS(D503-$E$5)/$F$5)</f>
        <v>0.13287749117388237</v>
      </c>
      <c r="F503" s="96">
        <f>IF(D503="","",ABS(D503-$G$5)/$H$5)</f>
        <v>0.17806102186973005</v>
      </c>
      <c r="G503" s="96">
        <f>IF(D503="","",ABS(D503-$E$5)/SQRT(0.9*(IF(G502="",$F$5^2,(ABS(D502-$E$5)/MAX(G502,0.0000000001))^2))+0.1*(D503-$E$5)^2))</f>
        <v>0.17098886437481758</v>
      </c>
      <c r="H503" s="96" t="str">
        <f>IF(E503="","",IF(E503&gt;$I$5,"OUTLIER",""))</f>
        <v/>
      </c>
      <c r="I503" s="96" t="str">
        <f>IF(F503="","",IF(F503&gt;$I$5,"OUTLIER",""))</f>
        <v/>
      </c>
      <c r="J503" s="96" t="str">
        <f>IF(G503="","",IF(G503&gt;$I$5,"OUTLIER",""))</f>
        <v/>
      </c>
      <c r="K503" s="96" t="str">
        <f>IF(C503="","MISSING","")</f>
        <v/>
      </c>
      <c r="L503" s="96" t="str">
        <f>IF(AND(C503&lt;&gt;"",C502&lt;&gt;"",C503=C502),"STALE","")</f>
        <v/>
      </c>
      <c r="M503" s="106">
        <f>IF(D503="","",ABS(D503-G$5))</f>
        <v>5.3248137573374318E-4</v>
      </c>
    </row>
    <row r="504" spans="2:13" ht="15.75" customHeight="1" x14ac:dyDescent="0.55000000000000004">
      <c r="B504" s="94">
        <v>44536</v>
      </c>
      <c r="C504" s="95">
        <v>1.1265000000000001</v>
      </c>
      <c r="D504" s="95">
        <f>IF(OR(C504="",C503=""),"",LN(C504/C503))</f>
        <v>0</v>
      </c>
      <c r="E504" s="95">
        <f>IF(D504="","",ABS(D504-$E$5)/$F$5)</f>
        <v>2.7328438474265301E-2</v>
      </c>
      <c r="F504" s="96">
        <f>IF(D504="","",ABS(D504-$G$5)/$H$5)</f>
        <v>0</v>
      </c>
      <c r="G504" s="96">
        <f>IF(D504="","",ABS(D504-$E$5)/SQRT(0.9*(IF(G503="",$F$5^2,(ABS(D503-$E$5)/MAX(G503,0.0000000001))^2))+0.1*(D504-$E$5)^2))</f>
        <v>3.7066376640639657E-2</v>
      </c>
      <c r="H504" s="96" t="str">
        <f>IF(E504="","",IF(E504&gt;$I$5,"OUTLIER",""))</f>
        <v/>
      </c>
      <c r="I504" s="96" t="str">
        <f>IF(F504="","",IF(F504&gt;$I$5,"OUTLIER",""))</f>
        <v/>
      </c>
      <c r="J504" s="96" t="str">
        <f>IF(G504="","",IF(G504&gt;$I$5,"OUTLIER",""))</f>
        <v/>
      </c>
      <c r="K504" s="96" t="str">
        <f>IF(C504="","MISSING","")</f>
        <v/>
      </c>
      <c r="L504" s="96" t="str">
        <f>IF(AND(C504&lt;&gt;"",C503&lt;&gt;"",C504=C503),"STALE","")</f>
        <v>STALE</v>
      </c>
      <c r="M504" s="106">
        <f>IF(D504="","",ABS(D504-G$5))</f>
        <v>0</v>
      </c>
    </row>
    <row r="505" spans="2:13" ht="15.75" customHeight="1" x14ac:dyDescent="0.55000000000000004">
      <c r="B505" s="94">
        <v>44537</v>
      </c>
      <c r="C505" s="95">
        <v>1.1293</v>
      </c>
      <c r="D505" s="95">
        <f>IF(OR(C505="",C504=""),"",LN(C505/C504))</f>
        <v>2.4824908573253504E-3</v>
      </c>
      <c r="E505" s="95">
        <f>IF(D505="","",ABS(D505-$E$5)/$F$5)</f>
        <v>0.46475367043534499</v>
      </c>
      <c r="F505" s="96">
        <f>IF(D505="","",ABS(D505-$G$5)/$H$5)</f>
        <v>0.83014144528248246</v>
      </c>
      <c r="G505" s="96">
        <f>IF(D505="","",ABS(D505-$E$5)/SQRT(0.9*(IF(G504="",$F$5^2,(ABS(D504-$E$5)/MAX(G504,0.0000000001))^2))+0.1*(D505-$E$5)^2))</f>
        <v>0.65025751417994138</v>
      </c>
      <c r="H505" s="96" t="str">
        <f>IF(E505="","",IF(E505&gt;$I$5,"OUTLIER",""))</f>
        <v/>
      </c>
      <c r="I505" s="96" t="str">
        <f>IF(F505="","",IF(F505&gt;$I$5,"OUTLIER",""))</f>
        <v/>
      </c>
      <c r="J505" s="96" t="str">
        <f>IF(G505="","",IF(G505&gt;$I$5,"OUTLIER",""))</f>
        <v/>
      </c>
      <c r="K505" s="96" t="str">
        <f>IF(C505="","MISSING","")</f>
        <v/>
      </c>
      <c r="L505" s="96" t="str">
        <f>IF(AND(C505&lt;&gt;"",C504&lt;&gt;"",C505=C504),"STALE","")</f>
        <v/>
      </c>
      <c r="M505" s="106">
        <f>IF(D505="","",ABS(D505-G$5))</f>
        <v>2.4824908573253504E-3</v>
      </c>
    </row>
    <row r="506" spans="2:13" ht="15.75" customHeight="1" x14ac:dyDescent="0.55000000000000004">
      <c r="B506" s="94">
        <v>44538</v>
      </c>
      <c r="C506" s="95">
        <v>1.1303000000000001</v>
      </c>
      <c r="D506" s="95">
        <f>IF(OR(C506="",C505=""),"",LN(C506/C505))</f>
        <v>8.8511246706103911E-4</v>
      </c>
      <c r="E506" s="95">
        <f>IF(D506="","",ABS(D506-$E$5)/$F$5)</f>
        <v>0.14811954278551101</v>
      </c>
      <c r="F506" s="96">
        <f>IF(D506="","",ABS(D506-$G$5)/$H$5)</f>
        <v>0.29598036201238559</v>
      </c>
      <c r="G506" s="96">
        <f>IF(D506="","",ABS(D506-$E$5)/SQRT(0.9*(IF(G505="",$F$5^2,(ABS(D505-$E$5)/MAX(G505,0.0000000001))^2))+0.1*(D506-$E$5)^2))</f>
        <v>0.217931436154117</v>
      </c>
      <c r="H506" s="96" t="str">
        <f>IF(E506="","",IF(E506&gt;$I$5,"OUTLIER",""))</f>
        <v/>
      </c>
      <c r="I506" s="96" t="str">
        <f>IF(F506="","",IF(F506&gt;$I$5,"OUTLIER",""))</f>
        <v/>
      </c>
      <c r="J506" s="96" t="str">
        <f>IF(G506="","",IF(G506&gt;$I$5,"OUTLIER",""))</f>
        <v/>
      </c>
      <c r="K506" s="96" t="str">
        <f>IF(C506="","MISSING","")</f>
        <v/>
      </c>
      <c r="L506" s="96" t="str">
        <f>IF(AND(C506&lt;&gt;"",C505&lt;&gt;"",C506=C505),"STALE","")</f>
        <v/>
      </c>
      <c r="M506" s="106">
        <f>IF(D506="","",ABS(D506-G$5))</f>
        <v>8.8511246706103911E-4</v>
      </c>
    </row>
    <row r="507" spans="2:13" ht="15.75" customHeight="1" x14ac:dyDescent="0.55000000000000004">
      <c r="B507" s="94">
        <v>44539</v>
      </c>
      <c r="C507" s="95">
        <v>1.1265000000000001</v>
      </c>
      <c r="D507" s="95">
        <f>IF(OR(C507="",C506=""),"",LN(C507/C506))</f>
        <v>-3.3676033243863427E-3</v>
      </c>
      <c r="E507" s="95">
        <f>IF(D507="","",ABS(D507-$E$5)/$F$5)</f>
        <v>0.69485852864364261</v>
      </c>
      <c r="F507" s="96">
        <f>IF(D507="","",ABS(D507-$G$5)/$H$5)</f>
        <v>1.1261218072948525</v>
      </c>
      <c r="G507" s="96">
        <f>IF(D507="","",ABS(D507-$E$5)/SQRT(0.9*(IF(G506="",$F$5^2,(ABS(D506-$E$5)/MAX(G506,0.0000000001))^2))+0.1*(D507-$E$5)^2))</f>
        <v>1.0200563844037509</v>
      </c>
      <c r="H507" s="96" t="str">
        <f>IF(E507="","",IF(E507&gt;$I$5,"OUTLIER",""))</f>
        <v/>
      </c>
      <c r="I507" s="96" t="str">
        <f>IF(F507="","",IF(F507&gt;$I$5,"OUTLIER",""))</f>
        <v/>
      </c>
      <c r="J507" s="96" t="str">
        <f>IF(G507="","",IF(G507&gt;$I$5,"OUTLIER",""))</f>
        <v/>
      </c>
      <c r="K507" s="96" t="str">
        <f>IF(C507="","MISSING","")</f>
        <v/>
      </c>
      <c r="L507" s="96" t="str">
        <f>IF(AND(C507&lt;&gt;"",C506&lt;&gt;"",C507=C506),"STALE","")</f>
        <v/>
      </c>
      <c r="M507" s="106">
        <f>IF(D507="","",ABS(D507-G$5))</f>
        <v>3.3676033243863427E-3</v>
      </c>
    </row>
    <row r="508" spans="2:13" ht="15.75" customHeight="1" x14ac:dyDescent="0.55000000000000004">
      <c r="B508" s="94">
        <v>44540</v>
      </c>
      <c r="C508" s="95">
        <v>1.1315999999999999</v>
      </c>
      <c r="D508" s="95">
        <f>IF(OR(C508="",C507=""),"",LN(C508/C507))</f>
        <v>4.5170795551128205E-3</v>
      </c>
      <c r="E508" s="95">
        <f>IF(D508="","",ABS(D508-$E$5)/$F$5)</f>
        <v>0.86805211329430398</v>
      </c>
      <c r="F508" s="96">
        <f>IF(D508="","",ABS(D508-$G$5)/$H$5)</f>
        <v>1.5105050394334105</v>
      </c>
      <c r="G508" s="96">
        <f>IF(D508="","",ABS(D508-$E$5)/SQRT(0.9*(IF(G507="",$F$5^2,(ABS(D507-$E$5)/MAX(G507,0.0000000001))^2))+0.1*(D508-$E$5)^2))</f>
        <v>1.2363246357709614</v>
      </c>
      <c r="H508" s="96" t="str">
        <f>IF(E508="","",IF(E508&gt;$I$5,"OUTLIER",""))</f>
        <v/>
      </c>
      <c r="I508" s="96" t="str">
        <f>IF(F508="","",IF(F508&gt;$I$5,"OUTLIER",""))</f>
        <v/>
      </c>
      <c r="J508" s="96" t="str">
        <f>IF(G508="","",IF(G508&gt;$I$5,"OUTLIER",""))</f>
        <v/>
      </c>
      <c r="K508" s="96" t="str">
        <f>IF(C508="","MISSING","")</f>
        <v/>
      </c>
      <c r="L508" s="96" t="str">
        <f>IF(AND(C508&lt;&gt;"",C507&lt;&gt;"",C508=C507),"STALE","")</f>
        <v/>
      </c>
      <c r="M508" s="106">
        <f>IF(D508="","",ABS(D508-G$5))</f>
        <v>4.5170795551128205E-3</v>
      </c>
    </row>
    <row r="509" spans="2:13" ht="15.75" customHeight="1" x14ac:dyDescent="0.55000000000000004">
      <c r="B509" s="94">
        <v>44543</v>
      </c>
      <c r="C509" s="95">
        <v>1.1271</v>
      </c>
      <c r="D509" s="95">
        <f>IF(OR(C509="",C508=""),"",LN(C509/C508))</f>
        <v>-3.9845981793792153E-3</v>
      </c>
      <c r="E509" s="95">
        <f>IF(D509="","",ABS(D509-$E$5)/$F$5)</f>
        <v>0.81715993754324501</v>
      </c>
      <c r="F509" s="96">
        <f>IF(D509="","",ABS(D509-$G$5)/$H$5)</f>
        <v>1.3324440175637267</v>
      </c>
      <c r="G509" s="96">
        <f>IF(D509="","",ABS(D509-$E$5)/SQRT(0.9*(IF(G508="",$F$5^2,(ABS(D508-$E$5)/MAX(G508,0.0000000001))^2))+0.1*(D509-$E$5)^2))</f>
        <v>1.1437435666041929</v>
      </c>
      <c r="H509" s="96" t="str">
        <f>IF(E509="","",IF(E509&gt;$I$5,"OUTLIER",""))</f>
        <v/>
      </c>
      <c r="I509" s="96" t="str">
        <f>IF(F509="","",IF(F509&gt;$I$5,"OUTLIER",""))</f>
        <v/>
      </c>
      <c r="J509" s="96" t="str">
        <f>IF(G509="","",IF(G509&gt;$I$5,"OUTLIER",""))</f>
        <v/>
      </c>
      <c r="K509" s="96" t="str">
        <f>IF(C509="","MISSING","")</f>
        <v/>
      </c>
      <c r="L509" s="96" t="str">
        <f>IF(AND(C509&lt;&gt;"",C508&lt;&gt;"",C509=C508),"STALE","")</f>
        <v/>
      </c>
      <c r="M509" s="106">
        <f>IF(D509="","",ABS(D509-G$5))</f>
        <v>3.9845981793792153E-3</v>
      </c>
    </row>
    <row r="510" spans="2:13" ht="15.75" customHeight="1" x14ac:dyDescent="0.55000000000000004">
      <c r="B510" s="94">
        <v>44544</v>
      </c>
      <c r="C510" s="95">
        <v>1.1256999999999999</v>
      </c>
      <c r="D510" s="95">
        <f>IF(OR(C510="",C509=""),"",LN(C510/C509))</f>
        <v>-1.2428978872746565E-3</v>
      </c>
      <c r="E510" s="95">
        <f>IF(D510="","",ABS(D510-$E$5)/$F$5)</f>
        <v>0.27369704511975435</v>
      </c>
      <c r="F510" s="96">
        <f>IF(D510="","",ABS(D510-$G$5)/$H$5)</f>
        <v>0.41562330247305485</v>
      </c>
      <c r="G510" s="96">
        <f>IF(D510="","",ABS(D510-$E$5)/SQRT(0.9*(IF(G509="",$F$5^2,(ABS(D509-$E$5)/MAX(G509,0.0000000001))^2))+0.1*(D510-$E$5)^2))</f>
        <v>0.40055140489530244</v>
      </c>
      <c r="H510" s="96" t="str">
        <f>IF(E510="","",IF(E510&gt;$I$5,"OUTLIER",""))</f>
        <v/>
      </c>
      <c r="I510" s="96" t="str">
        <f>IF(F510="","",IF(F510&gt;$I$5,"OUTLIER",""))</f>
        <v/>
      </c>
      <c r="J510" s="96" t="str">
        <f>IF(G510="","",IF(G510&gt;$I$5,"OUTLIER",""))</f>
        <v/>
      </c>
      <c r="K510" s="96" t="str">
        <f>IF(C510="","MISSING","")</f>
        <v/>
      </c>
      <c r="L510" s="96" t="str">
        <f>IF(AND(C510&lt;&gt;"",C509&lt;&gt;"",C510=C509),"STALE","")</f>
        <v/>
      </c>
      <c r="M510" s="106">
        <f>IF(D510="","",ABS(D510-G$5))</f>
        <v>1.2428978872746565E-3</v>
      </c>
    </row>
    <row r="511" spans="2:13" ht="15.75" customHeight="1" x14ac:dyDescent="0.55000000000000004">
      <c r="B511" s="94">
        <v>44545</v>
      </c>
      <c r="C511" s="95">
        <v>1.1296999999999999</v>
      </c>
      <c r="D511" s="95">
        <f>IF(OR(C511="",C510=""),"",LN(C511/C510))</f>
        <v>3.5470463721246777E-3</v>
      </c>
      <c r="E511" s="95">
        <f>IF(D511="","",ABS(D511-$E$5)/$F$5)</f>
        <v>0.67577105292762385</v>
      </c>
      <c r="F511" s="96">
        <f>IF(D511="","",ABS(D511-$G$5)/$H$5)</f>
        <v>1.1861273096538374</v>
      </c>
      <c r="G511" s="96">
        <f>IF(D511="","",ABS(D511-$E$5)/SQRT(0.9*(IF(G510="",$F$5^2,(ABS(D510-$E$5)/MAX(G510,0.0000000001))^2))+0.1*(D511-$E$5)^2))</f>
        <v>0.99006610088012759</v>
      </c>
      <c r="H511" s="96" t="str">
        <f>IF(E511="","",IF(E511&gt;$I$5,"OUTLIER",""))</f>
        <v/>
      </c>
      <c r="I511" s="96" t="str">
        <f>IF(F511="","",IF(F511&gt;$I$5,"OUTLIER",""))</f>
        <v/>
      </c>
      <c r="J511" s="96" t="str">
        <f>IF(G511="","",IF(G511&gt;$I$5,"OUTLIER",""))</f>
        <v/>
      </c>
      <c r="K511" s="96" t="str">
        <f>IF(C511="","MISSING","")</f>
        <v/>
      </c>
      <c r="L511" s="96" t="str">
        <f>IF(AND(C511&lt;&gt;"",C510&lt;&gt;"",C511=C510),"STALE","")</f>
        <v/>
      </c>
      <c r="M511" s="106">
        <f>IF(D511="","",ABS(D511-G$5))</f>
        <v>3.5470463721246777E-3</v>
      </c>
    </row>
    <row r="512" spans="2:13" ht="15.75" customHeight="1" x14ac:dyDescent="0.55000000000000004">
      <c r="B512" s="94">
        <v>44546</v>
      </c>
      <c r="C512" s="95">
        <v>1.1325000000000001</v>
      </c>
      <c r="D512" s="95">
        <f>IF(OR(C512="",C511=""),"",LN(C512/C511))</f>
        <v>2.4754676243060655E-3</v>
      </c>
      <c r="E512" s="95">
        <f>IF(D512="","",ABS(D512-$E$5)/$F$5)</f>
        <v>0.46336151734632341</v>
      </c>
      <c r="F512" s="96">
        <f>IF(D512="","",ABS(D512-$G$5)/$H$5)</f>
        <v>0.8277928860553736</v>
      </c>
      <c r="G512" s="96">
        <f>IF(D512="","",ABS(D512-$E$5)/SQRT(0.9*(IF(G511="",$F$5^2,(ABS(D511-$E$5)/MAX(G511,0.0000000001))^2))+0.1*(D512-$E$5)^2))</f>
        <v>0.69794187800170415</v>
      </c>
      <c r="H512" s="96" t="str">
        <f>IF(E512="","",IF(E512&gt;$I$5,"OUTLIER",""))</f>
        <v/>
      </c>
      <c r="I512" s="96" t="str">
        <f>IF(F512="","",IF(F512&gt;$I$5,"OUTLIER",""))</f>
        <v/>
      </c>
      <c r="J512" s="96" t="str">
        <f>IF(G512="","",IF(G512&gt;$I$5,"OUTLIER",""))</f>
        <v/>
      </c>
      <c r="K512" s="96" t="str">
        <f>IF(C512="","MISSING","")</f>
        <v/>
      </c>
      <c r="L512" s="96" t="str">
        <f>IF(AND(C512&lt;&gt;"",C511&lt;&gt;"",C512=C511),"STALE","")</f>
        <v/>
      </c>
      <c r="M512" s="106">
        <f>IF(D512="","",ABS(D512-G$5))</f>
        <v>2.4754676243060655E-3</v>
      </c>
    </row>
    <row r="513" spans="2:13" ht="15.75" customHeight="1" x14ac:dyDescent="0.55000000000000004">
      <c r="B513" s="94">
        <v>44547</v>
      </c>
      <c r="C513" s="95">
        <v>1.1255999999999999</v>
      </c>
      <c r="D513" s="95">
        <f>IF(OR(C513="",C512=""),"",LN(C513/C512))</f>
        <v>-6.1113515570099322E-3</v>
      </c>
      <c r="E513" s="95">
        <f>IF(D513="","",ABS(D513-$E$5)/$F$5)</f>
        <v>1.2387273661229035</v>
      </c>
      <c r="F513" s="96">
        <f>IF(D513="","",ABS(D513-$G$5)/$H$5)</f>
        <v>2.0436273508098886</v>
      </c>
      <c r="G513" s="96">
        <f>IF(D513="","",ABS(D513-$E$5)/SQRT(0.9*(IF(G512="",$F$5^2,(ABS(D512-$E$5)/MAX(G512,0.0000000001))^2))+0.1*(D513-$E$5)^2))</f>
        <v>1.6701055393434663</v>
      </c>
      <c r="H513" s="96" t="str">
        <f>IF(E513="","",IF(E513&gt;$I$5,"OUTLIER",""))</f>
        <v/>
      </c>
      <c r="I513" s="96" t="str">
        <f>IF(F513="","",IF(F513&gt;$I$5,"OUTLIER",""))</f>
        <v/>
      </c>
      <c r="J513" s="96" t="str">
        <f>IF(G513="","",IF(G513&gt;$I$5,"OUTLIER",""))</f>
        <v/>
      </c>
      <c r="K513" s="96" t="str">
        <f>IF(C513="","MISSING","")</f>
        <v/>
      </c>
      <c r="L513" s="96" t="str">
        <f>IF(AND(C513&lt;&gt;"",C512&lt;&gt;"",C513=C512),"STALE","")</f>
        <v/>
      </c>
      <c r="M513" s="106">
        <f>IF(D513="","",ABS(D513-G$5))</f>
        <v>6.1113515570099322E-3</v>
      </c>
    </row>
    <row r="514" spans="2:13" ht="15.75" customHeight="1" x14ac:dyDescent="0.55000000000000004">
      <c r="B514" s="94">
        <v>44550</v>
      </c>
      <c r="C514" s="95">
        <v>1.1251</v>
      </c>
      <c r="D514" s="95">
        <f>IF(OR(C514="",C513=""),"",LN(C514/C513))</f>
        <v>-4.4430622315305414E-4</v>
      </c>
      <c r="E514" s="95">
        <f>IF(D514="","",ABS(D514-$E$5)/$F$5)</f>
        <v>0.11539931400062174</v>
      </c>
      <c r="F514" s="96">
        <f>IF(D514="","",ABS(D514-$G$5)/$H$5)</f>
        <v>0.14857537507053081</v>
      </c>
      <c r="G514" s="96">
        <f>IF(D514="","",ABS(D514-$E$5)/SQRT(0.9*(IF(G513="",$F$5^2,(ABS(D513-$E$5)/MAX(G513,0.0000000001))^2))+0.1*(D514-$E$5)^2))</f>
        <v>0.16378226943118362</v>
      </c>
      <c r="H514" s="96" t="str">
        <f>IF(E514="","",IF(E514&gt;$I$5,"OUTLIER",""))</f>
        <v/>
      </c>
      <c r="I514" s="96" t="str">
        <f>IF(F514="","",IF(F514&gt;$I$5,"OUTLIER",""))</f>
        <v/>
      </c>
      <c r="J514" s="96" t="str">
        <f>IF(G514="","",IF(G514&gt;$I$5,"OUTLIER",""))</f>
        <v/>
      </c>
      <c r="K514" s="96" t="str">
        <f>IF(C514="","MISSING","")</f>
        <v/>
      </c>
      <c r="L514" s="96" t="str">
        <f>IF(AND(C514&lt;&gt;"",C513&lt;&gt;"",C514=C513),"STALE","")</f>
        <v/>
      </c>
      <c r="M514" s="106">
        <f>IF(D514="","",ABS(D514-G$5))</f>
        <v>4.4430622315305414E-4</v>
      </c>
    </row>
    <row r="515" spans="2:13" ht="15.75" customHeight="1" x14ac:dyDescent="0.55000000000000004">
      <c r="B515" s="94">
        <v>44551</v>
      </c>
      <c r="C515" s="95">
        <v>1.1335</v>
      </c>
      <c r="D515" s="95">
        <f>IF(OR(C515="",C514=""),"",LN(C515/C514))</f>
        <v>7.4382703705574236E-3</v>
      </c>
      <c r="E515" s="95">
        <f>IF(D515="","",ABS(D515-$E$5)/$F$5)</f>
        <v>1.4470938176170736</v>
      </c>
      <c r="F515" s="96">
        <f>IF(D515="","",ABS(D515-$G$5)/$H$5)</f>
        <v>2.4873471326573937</v>
      </c>
      <c r="G515" s="96">
        <f>IF(D515="","",ABS(D515-$E$5)/SQRT(0.9*(IF(G514="",$F$5^2,(ABS(D514-$E$5)/MAX(G514,0.0000000001))^2))+0.1*(D515-$E$5)^2))</f>
        <v>1.7863856422716899</v>
      </c>
      <c r="H515" s="96" t="str">
        <f>IF(E515="","",IF(E515&gt;$I$5,"OUTLIER",""))</f>
        <v/>
      </c>
      <c r="I515" s="96" t="str">
        <f>IF(F515="","",IF(F515&gt;$I$5,"OUTLIER",""))</f>
        <v/>
      </c>
      <c r="J515" s="96" t="str">
        <f>IF(G515="","",IF(G515&gt;$I$5,"OUTLIER",""))</f>
        <v/>
      </c>
      <c r="K515" s="96" t="str">
        <f>IF(C515="","MISSING","")</f>
        <v/>
      </c>
      <c r="L515" s="96" t="str">
        <f>IF(AND(C515&lt;&gt;"",C514&lt;&gt;"",C515=C514),"STALE","")</f>
        <v/>
      </c>
      <c r="M515" s="106">
        <f>IF(D515="","",ABS(D515-G$5))</f>
        <v>7.4382703705574236E-3</v>
      </c>
    </row>
    <row r="516" spans="2:13" ht="15.75" customHeight="1" x14ac:dyDescent="0.55000000000000004">
      <c r="B516" s="94">
        <v>44552</v>
      </c>
      <c r="C516" s="95">
        <v>1.1302000000000001</v>
      </c>
      <c r="D516" s="95">
        <f>IF(OR(C516="",C515=""),"",LN(C516/C515))</f>
        <v>-2.9155827518405585E-3</v>
      </c>
      <c r="E516" s="95">
        <f>IF(D516="","",ABS(D516-$E$5)/$F$5)</f>
        <v>0.6052585061692366</v>
      </c>
      <c r="F516" s="96">
        <f>IF(D516="","",ABS(D516-$G$5)/$H$5)</f>
        <v>0.97496676465559795</v>
      </c>
      <c r="G516" s="96">
        <f>IF(D516="","",ABS(D516-$E$5)/SQRT(0.9*(IF(G515="",$F$5^2,(ABS(D515-$E$5)/MAX(G515,0.0000000001))^2))+0.1*(D516-$E$5)^2))</f>
        <v>0.76424031608457399</v>
      </c>
      <c r="H516" s="96" t="str">
        <f>IF(E516="","",IF(E516&gt;$I$5,"OUTLIER",""))</f>
        <v/>
      </c>
      <c r="I516" s="96" t="str">
        <f>IF(F516="","",IF(F516&gt;$I$5,"OUTLIER",""))</f>
        <v/>
      </c>
      <c r="J516" s="96" t="str">
        <f>IF(G516="","",IF(G516&gt;$I$5,"OUTLIER",""))</f>
        <v/>
      </c>
      <c r="K516" s="96" t="str">
        <f>IF(C516="","MISSING","")</f>
        <v/>
      </c>
      <c r="L516" s="96" t="str">
        <f>IF(AND(C516&lt;&gt;"",C515&lt;&gt;"",C516=C515),"STALE","")</f>
        <v/>
      </c>
      <c r="M516" s="106">
        <f>IF(D516="","",ABS(D516-G$5))</f>
        <v>2.9155827518405585E-3</v>
      </c>
    </row>
    <row r="517" spans="2:13" ht="15.75" customHeight="1" x14ac:dyDescent="0.55000000000000004">
      <c r="B517" s="94">
        <v>44553</v>
      </c>
      <c r="C517" s="95">
        <v>1.1295999999999999</v>
      </c>
      <c r="D517" s="95">
        <f>IF(OR(C517="",C516=""),"",LN(C517/C516))</f>
        <v>-5.3102045676542745E-4</v>
      </c>
      <c r="E517" s="95">
        <f>IF(D517="","",ABS(D517-$E$5)/$F$5)</f>
        <v>0.13258790618517896</v>
      </c>
      <c r="F517" s="96">
        <f>IF(D517="","",ABS(D517-$G$5)/$H$5)</f>
        <v>0.17757249262491145</v>
      </c>
      <c r="G517" s="96">
        <f>IF(D517="","",ABS(D517-$E$5)/SQRT(0.9*(IF(G516="",$F$5^2,(ABS(D516-$E$5)/MAX(G516,0.0000000001))^2))+0.1*(D517-$E$5)^2))</f>
        <v>0.17619619115320856</v>
      </c>
      <c r="H517" s="96" t="str">
        <f>IF(E517="","",IF(E517&gt;$I$5,"OUTLIER",""))</f>
        <v/>
      </c>
      <c r="I517" s="96" t="str">
        <f>IF(F517="","",IF(F517&gt;$I$5,"OUTLIER",""))</f>
        <v/>
      </c>
      <c r="J517" s="96" t="str">
        <f>IF(G517="","",IF(G517&gt;$I$5,"OUTLIER",""))</f>
        <v/>
      </c>
      <c r="K517" s="96" t="str">
        <f>IF(C517="","MISSING","")</f>
        <v/>
      </c>
      <c r="L517" s="96" t="str">
        <f>IF(AND(C517&lt;&gt;"",C516&lt;&gt;"",C517=C516),"STALE","")</f>
        <v/>
      </c>
      <c r="M517" s="106">
        <f>IF(D517="","",ABS(D517-G$5))</f>
        <v>5.3102045676542745E-4</v>
      </c>
    </row>
    <row r="518" spans="2:13" ht="15.75" customHeight="1" x14ac:dyDescent="0.55000000000000004">
      <c r="B518" s="94">
        <v>44554</v>
      </c>
      <c r="C518" s="95"/>
      <c r="D518" s="95" t="str">
        <f>IF(OR(C518="",C517=""),"",LN(C518/C517))</f>
        <v/>
      </c>
      <c r="E518" s="95" t="str">
        <f>IF(D518="","",ABS(D518-$E$5)/$F$5)</f>
        <v/>
      </c>
      <c r="F518" s="96" t="str">
        <f>IF(D518="","",ABS(D518-$G$5)/$H$5)</f>
        <v/>
      </c>
      <c r="G518" s="96" t="str">
        <f>IF(D518="","",ABS(D518-$E$5)/SQRT(0.9*(IF(G517="",$F$5^2,(ABS(D517-$E$5)/MAX(G517,0.0000000001))^2))+0.1*(D518-$E$5)^2))</f>
        <v/>
      </c>
      <c r="H518" s="96" t="str">
        <f>IF(E518="","",IF(E518&gt;$I$5,"OUTLIER",""))</f>
        <v/>
      </c>
      <c r="I518" s="96" t="str">
        <f>IF(F518="","",IF(F518&gt;$I$5,"OUTLIER",""))</f>
        <v/>
      </c>
      <c r="J518" s="96" t="str">
        <f>IF(G518="","",IF(G518&gt;$I$5,"OUTLIER",""))</f>
        <v/>
      </c>
      <c r="K518" s="96" t="str">
        <f>IF(C518="","MISSING","")</f>
        <v>MISSING</v>
      </c>
      <c r="L518" s="96" t="str">
        <f>IF(AND(C518&lt;&gt;"",C517&lt;&gt;"",C518=C517),"STALE","")</f>
        <v/>
      </c>
      <c r="M518" s="106" t="str">
        <f>IF(D518="","",ABS(D518-G$5))</f>
        <v/>
      </c>
    </row>
    <row r="519" spans="2:13" ht="15.75" customHeight="1" x14ac:dyDescent="0.55000000000000004">
      <c r="B519" s="94">
        <v>44557</v>
      </c>
      <c r="C519" s="95">
        <v>1.1326000000000001</v>
      </c>
      <c r="D519" s="95" t="str">
        <f>IF(OR(C519="",C518=""),"",LN(C519/C518))</f>
        <v/>
      </c>
      <c r="E519" s="95" t="str">
        <f>IF(D519="","",ABS(D519-$E$5)/$F$5)</f>
        <v/>
      </c>
      <c r="F519" s="96" t="str">
        <f>IF(D519="","",ABS(D519-$G$5)/$H$5)</f>
        <v/>
      </c>
      <c r="G519" s="96" t="str">
        <f>IF(D519="","",ABS(D519-$E$5)/SQRT(0.9*(IF(G518="",$F$5^2,(ABS(D518-$E$5)/MAX(G518,0.0000000001))^2))+0.1*(D519-$E$5)^2))</f>
        <v/>
      </c>
      <c r="H519" s="96" t="str">
        <f>IF(E519="","",IF(E519&gt;$I$5,"OUTLIER",""))</f>
        <v/>
      </c>
      <c r="I519" s="96" t="str">
        <f>IF(F519="","",IF(F519&gt;$I$5,"OUTLIER",""))</f>
        <v/>
      </c>
      <c r="J519" s="96" t="str">
        <f>IF(G519="","",IF(G519&gt;$I$5,"OUTLIER",""))</f>
        <v/>
      </c>
      <c r="K519" s="96" t="str">
        <f>IF(C519="","MISSING","")</f>
        <v/>
      </c>
      <c r="L519" s="96" t="str">
        <f>IF(AND(C519&lt;&gt;"",C518&lt;&gt;"",C519=C518),"STALE","")</f>
        <v/>
      </c>
      <c r="M519" s="106" t="str">
        <f>IF(D519="","",ABS(D519-G$5))</f>
        <v/>
      </c>
    </row>
    <row r="520" spans="2:13" ht="15.75" customHeight="1" x14ac:dyDescent="0.55000000000000004">
      <c r="B520" s="94">
        <v>44558</v>
      </c>
      <c r="C520" s="95">
        <v>1.1336999999999999</v>
      </c>
      <c r="D520" s="95">
        <f>IF(OR(C520="",C519=""),"",LN(C520/C519))</f>
        <v>9.7074534384824986E-4</v>
      </c>
      <c r="E520" s="95">
        <f>IF(D520="","",ABS(D520-$E$5)/$F$5)</f>
        <v>0.16509378721308068</v>
      </c>
      <c r="F520" s="96">
        <f>IF(D520="","",ABS(D520-$G$5)/$H$5)</f>
        <v>0.32461587536787961</v>
      </c>
      <c r="G520" s="96">
        <f>IF(D520="","",ABS(D520-$E$5)/SQRT(0.9*(IF(G519="",$F$5^2,(ABS(D519-$E$5)/MAX(G519,0.0000000001))^2))+0.1*(D520-$E$5)^2))</f>
        <v>0.17376121791869178</v>
      </c>
      <c r="H520" s="96" t="str">
        <f>IF(E520="","",IF(E520&gt;$I$5,"OUTLIER",""))</f>
        <v/>
      </c>
      <c r="I520" s="96" t="str">
        <f>IF(F520="","",IF(F520&gt;$I$5,"OUTLIER",""))</f>
        <v/>
      </c>
      <c r="J520" s="96" t="str">
        <f>IF(G520="","",IF(G520&gt;$I$5,"OUTLIER",""))</f>
        <v/>
      </c>
      <c r="K520" s="96" t="str">
        <f>IF(C520="","MISSING","")</f>
        <v/>
      </c>
      <c r="L520" s="96" t="str">
        <f>IF(AND(C520&lt;&gt;"",C519&lt;&gt;"",C520=C519),"STALE","")</f>
        <v/>
      </c>
      <c r="M520" s="106">
        <f>IF(D520="","",ABS(D520-G$5))</f>
        <v>9.7074534384824986E-4</v>
      </c>
    </row>
    <row r="521" spans="2:13" ht="15.75" customHeight="1" x14ac:dyDescent="0.55000000000000004">
      <c r="B521" s="94">
        <v>44559</v>
      </c>
      <c r="C521" s="95">
        <v>1.1323000000000001</v>
      </c>
      <c r="D521" s="95">
        <f>IF(OR(C521="",C520=""),"",LN(C521/C520))</f>
        <v>-1.2356577035590036E-3</v>
      </c>
      <c r="E521" s="95">
        <f>IF(D521="","",ABS(D521-$E$5)/$F$5)</f>
        <v>0.27226188782151961</v>
      </c>
      <c r="F521" s="96">
        <f>IF(D521="","",ABS(D521-$G$5)/$H$5)</f>
        <v>0.41320219523872714</v>
      </c>
      <c r="G521" s="96">
        <f>IF(D521="","",ABS(D521-$E$5)/SQRT(0.9*(IF(G520="",$F$5^2,(ABS(D520-$E$5)/MAX(G520,0.0000000001))^2))+0.1*(D521-$E$5)^2))</f>
        <v>0.30068758389453432</v>
      </c>
      <c r="H521" s="96" t="str">
        <f>IF(E521="","",IF(E521&gt;$I$5,"OUTLIER",""))</f>
        <v/>
      </c>
      <c r="I521" s="96" t="str">
        <f>IF(F521="","",IF(F521&gt;$I$5,"OUTLIER",""))</f>
        <v/>
      </c>
      <c r="J521" s="96" t="str">
        <f>IF(G521="","",IF(G521&gt;$I$5,"OUTLIER",""))</f>
        <v/>
      </c>
      <c r="K521" s="96" t="str">
        <f>IF(C521="","MISSING","")</f>
        <v/>
      </c>
      <c r="L521" s="96" t="str">
        <f>IF(AND(C521&lt;&gt;"",C520&lt;&gt;"",C521=C520),"STALE","")</f>
        <v/>
      </c>
      <c r="M521" s="106">
        <f>IF(D521="","",ABS(D521-G$5))</f>
        <v>1.2356577035590036E-3</v>
      </c>
    </row>
    <row r="522" spans="2:13" ht="15.75" customHeight="1" x14ac:dyDescent="0.55000000000000004">
      <c r="B522" s="94">
        <v>44560</v>
      </c>
      <c r="C522" s="95">
        <v>1.1286</v>
      </c>
      <c r="D522" s="95">
        <f>IF(OR(C522="",C521=""),"",LN(C522/C521))</f>
        <v>-3.2730357849541573E-3</v>
      </c>
      <c r="E522" s="95">
        <f>IF(D522="","",ABS(D522-$E$5)/$F$5)</f>
        <v>0.67611324541294437</v>
      </c>
      <c r="F522" s="96">
        <f>IF(D522="","",ABS(D522-$G$5)/$H$5)</f>
        <v>1.094498555338298</v>
      </c>
      <c r="G522" s="96">
        <f>IF(D522="","",ABS(D522-$E$5)/SQRT(0.9*(IF(G521="",$F$5^2,(ABS(D521-$E$5)/MAX(G521,0.0000000001))^2))+0.1*(D522-$E$5)^2))</f>
        <v>0.76379082693224076</v>
      </c>
      <c r="H522" s="96" t="str">
        <f>IF(E522="","",IF(E522&gt;$I$5,"OUTLIER",""))</f>
        <v/>
      </c>
      <c r="I522" s="96" t="str">
        <f>IF(F522="","",IF(F522&gt;$I$5,"OUTLIER",""))</f>
        <v/>
      </c>
      <c r="J522" s="96" t="str">
        <f>IF(G522="","",IF(G522&gt;$I$5,"OUTLIER",""))</f>
        <v/>
      </c>
      <c r="K522" s="96" t="str">
        <f>IF(C522="","MISSING","")</f>
        <v/>
      </c>
      <c r="L522" s="96" t="str">
        <f>IF(AND(C522&lt;&gt;"",C521&lt;&gt;"",C522=C521),"STALE","")</f>
        <v/>
      </c>
      <c r="M522" s="106">
        <f>IF(D522="","",ABS(D522-G$5))</f>
        <v>3.2730357849541573E-3</v>
      </c>
    </row>
    <row r="523" spans="2:13" ht="15.75" customHeight="1" x14ac:dyDescent="0.55000000000000004">
      <c r="B523" s="94">
        <v>44561</v>
      </c>
      <c r="C523" s="95">
        <v>1.1284000000000001</v>
      </c>
      <c r="D523" s="95">
        <f>IF(OR(C523="",C522=""),"",LN(C523/C522))</f>
        <v>-1.7722640719848679E-4</v>
      </c>
      <c r="E523" s="95">
        <f>IF(D523="","",ABS(D523-$E$5)/$F$5)</f>
        <v>6.245845474456295E-2</v>
      </c>
      <c r="F523" s="96">
        <f>IF(D523="","",ABS(D523-$G$5)/$H$5)</f>
        <v>5.9264260885328983E-2</v>
      </c>
      <c r="G523" s="96">
        <f>IF(D523="","",ABS(D523-$E$5)/SQRT(0.9*(IF(G522="",$F$5^2,(ABS(D522-$E$5)/MAX(G522,0.0000000001))^2))+0.1*(D523-$E$5)^2))</f>
        <v>7.435409484009925E-2</v>
      </c>
      <c r="H523" s="96" t="str">
        <f>IF(E523="","",IF(E523&gt;$I$5,"OUTLIER",""))</f>
        <v/>
      </c>
      <c r="I523" s="96" t="str">
        <f>IF(F523="","",IF(F523&gt;$I$5,"OUTLIER",""))</f>
        <v/>
      </c>
      <c r="J523" s="96" t="str">
        <f>IF(G523="","",IF(G523&gt;$I$5,"OUTLIER",""))</f>
        <v/>
      </c>
      <c r="K523" s="96" t="str">
        <f>IF(C523="","MISSING","")</f>
        <v/>
      </c>
      <c r="L523" s="96" t="str">
        <f>IF(AND(C523&lt;&gt;"",C522&lt;&gt;"",C523=C522),"STALE","")</f>
        <v/>
      </c>
      <c r="M523" s="106">
        <f>IF(D523="","",ABS(D523-G$5))</f>
        <v>1.7722640719848679E-4</v>
      </c>
    </row>
    <row r="524" spans="2:13" ht="12.75" customHeight="1" x14ac:dyDescent="0.55000000000000004">
      <c r="B524" s="97"/>
      <c r="C524" s="89"/>
      <c r="D524" s="91"/>
      <c r="E524" s="89"/>
      <c r="F524" s="89"/>
      <c r="G524" s="89"/>
      <c r="H524" s="90"/>
      <c r="I524" s="90"/>
      <c r="J524" s="90"/>
      <c r="K524" s="90"/>
      <c r="L524" s="90"/>
      <c r="M524" s="106" t="str">
        <f>IF(D524="","",ABS(D524-G$5))</f>
        <v/>
      </c>
    </row>
    <row r="525" spans="2:13" ht="12.75" customHeight="1" x14ac:dyDescent="0.55000000000000004">
      <c r="B525" s="102" t="str">
        <f>"YEAR 2025   |   Observations: "&amp;COUNTA(C528:C785)&amp;"   |   Missing: "&amp;COUNTIF(K527:K785,"MISSING")&amp;"   |   Stale: "&amp;COUNTIF(L528:L785,"STALE")&amp;"   |   Z&gt;3 Outliers: "&amp;COUNTIF(H528:H785,"OUTLIER")&amp;"   |   Robust Z&gt;3: "&amp;COUNTIF(I528:I785,"OUTLIER")</f>
        <v>YEAR 2025   |   Observations: 244   |   Missing: 12   |   Stale: 25   |   Z&gt;3 Outliers: 4   |   Robust Z&gt;3: 12</v>
      </c>
      <c r="C525" s="102"/>
      <c r="D525" s="102"/>
      <c r="E525" s="102"/>
      <c r="F525" s="102"/>
      <c r="G525" s="102"/>
      <c r="H525" s="102"/>
      <c r="I525" s="102"/>
      <c r="J525" s="102"/>
      <c r="K525" s="102"/>
      <c r="L525" s="102"/>
      <c r="M525" s="106"/>
    </row>
    <row r="526" spans="2:13" ht="12.75" customHeight="1" x14ac:dyDescent="0.55000000000000004">
      <c r="B526" s="84" t="s">
        <v>51</v>
      </c>
      <c r="C526" s="85" t="s">
        <v>52</v>
      </c>
      <c r="D526" s="81" t="s">
        <v>53</v>
      </c>
      <c r="E526" s="80" t="s">
        <v>54</v>
      </c>
      <c r="F526" s="80" t="s">
        <v>55</v>
      </c>
      <c r="G526" s="80" t="s">
        <v>56</v>
      </c>
      <c r="H526" s="82" t="s">
        <v>57</v>
      </c>
      <c r="I526" s="82" t="s">
        <v>105</v>
      </c>
      <c r="J526" s="82" t="s">
        <v>106</v>
      </c>
      <c r="K526" s="82" t="s">
        <v>58</v>
      </c>
      <c r="L526" s="82" t="s">
        <v>59</v>
      </c>
      <c r="M526" s="106"/>
    </row>
    <row r="527" spans="2:13" ht="12.75" customHeight="1" x14ac:dyDescent="0.55000000000000004">
      <c r="B527" s="97">
        <v>45658</v>
      </c>
      <c r="C527" s="89"/>
      <c r="D527" s="91"/>
      <c r="E527" s="89"/>
      <c r="F527" s="89"/>
      <c r="G527" s="89"/>
      <c r="H527" s="90"/>
      <c r="I527" s="90"/>
      <c r="J527" s="90"/>
      <c r="K527" s="90" t="str">
        <f>IF(C527="","MISSING","")</f>
        <v>MISSING</v>
      </c>
      <c r="L527" s="90"/>
      <c r="M527" s="106" t="str">
        <f>IF(D527="","",ABS(D527-G$5))</f>
        <v/>
      </c>
    </row>
    <row r="528" spans="2:13" ht="12.75" customHeight="1" x14ac:dyDescent="0.55000000000000004">
      <c r="B528" s="97">
        <v>45659</v>
      </c>
      <c r="C528" s="89">
        <v>1.0310999999999999</v>
      </c>
      <c r="D528" s="91" t="str">
        <f>IF(OR(C528="",C527=""),"",LN(C528/C527))</f>
        <v/>
      </c>
      <c r="E528" s="89" t="str">
        <f>IF(D528="","",ABS(D528-$E$5)/$F$5)</f>
        <v/>
      </c>
      <c r="F528" s="89" t="str">
        <f>IF(D528="","",ABS(D528-$G$5)/$H$5)</f>
        <v/>
      </c>
      <c r="G528" s="89" t="str">
        <f>IF(D528="","",ABS(D528-$E$5)/SQRT(0.9*(IF(G527="",$F$5^2,(ABS(D527-$E$5)/MAX(G527,0.0000000001))^2))+0.1*(D528-$E$5)^2))</f>
        <v/>
      </c>
      <c r="H528" s="90" t="str">
        <f>IF(E528="","",IF(E528&gt;$I$5,"OUTLIER",""))</f>
        <v/>
      </c>
      <c r="I528" s="90" t="str">
        <f>IF(F528="","",IF(F528&gt;$I$5,"OUTLIER",""))</f>
        <v/>
      </c>
      <c r="J528" s="90" t="str">
        <f>IF(G528="","",IF(G528&gt;$I$5,"OUTLIER",""))</f>
        <v/>
      </c>
      <c r="K528" s="90" t="str">
        <f>IF(C528="","MISSING","")</f>
        <v/>
      </c>
      <c r="L528" s="90" t="str">
        <f>IF(AND(C528&lt;&gt;"",C527&lt;&gt;"",C528=C527),"STALE","")</f>
        <v/>
      </c>
      <c r="M528" s="106" t="str">
        <f>IF(D528="","",ABS(D528-G$5))</f>
        <v/>
      </c>
    </row>
    <row r="529" spans="2:13" ht="12.75" customHeight="1" x14ac:dyDescent="0.55000000000000004">
      <c r="B529" s="97">
        <v>45660</v>
      </c>
      <c r="C529" s="89">
        <v>1.0267999999999999</v>
      </c>
      <c r="D529" s="91">
        <f>IF(OR(C529="",C528=""),"",LN(C529/C528))</f>
        <v>-4.1790235269125392E-3</v>
      </c>
      <c r="E529" s="89">
        <f>IF(D529="","",ABS(D529-$E$5)/$F$5)</f>
        <v>0.85569914696565574</v>
      </c>
      <c r="F529" s="89">
        <f>IF(D529="","",ABS(D529-$G$5)/$H$5)</f>
        <v>1.3974595798666454</v>
      </c>
      <c r="G529" s="89">
        <f>IF(D529="","",ABS(D529-$E$5)/SQRT(0.9*(IF(G528="",$F$5^2,(ABS(D528-$E$5)/MAX(G528,0.0000000001))^2))+0.1*(D529-$E$5)^2))</f>
        <v>0.8673914105795878</v>
      </c>
      <c r="H529" s="90" t="str">
        <f>IF(E529="","",IF(E529&gt;$I$5,"OUTLIER",""))</f>
        <v/>
      </c>
      <c r="I529" s="90" t="str">
        <f>IF(F529="","",IF(F529&gt;$I$5,"OUTLIER",""))</f>
        <v/>
      </c>
      <c r="J529" s="90" t="str">
        <f>IF(G529="","",IF(G529&gt;$I$5,"OUTLIER",""))</f>
        <v/>
      </c>
      <c r="K529" s="90" t="str">
        <f>IF(C529="","MISSING","")</f>
        <v/>
      </c>
      <c r="L529" s="90" t="str">
        <f>IF(AND(C529&lt;&gt;"",C528&lt;&gt;"",C529=C528),"STALE","")</f>
        <v/>
      </c>
      <c r="M529" s="106">
        <f>IF(D529="","",ABS(D529-G$5))</f>
        <v>4.1790235269125392E-3</v>
      </c>
    </row>
    <row r="530" spans="2:13" ht="12.75" customHeight="1" x14ac:dyDescent="0.55000000000000004">
      <c r="B530" s="97">
        <v>45663</v>
      </c>
      <c r="C530" s="89">
        <v>1.0295000000000001</v>
      </c>
      <c r="D530" s="91">
        <f>IF(OR(C530="",C529=""),"",LN(C530/C529))</f>
        <v>2.6260774708588902E-3</v>
      </c>
      <c r="E530" s="89">
        <f>IF(D530="","",ABS(D530-$E$5)/$F$5)</f>
        <v>0.49321556925373544</v>
      </c>
      <c r="F530" s="89">
        <f>IF(D530="","",ABS(D530-$G$5)/$H$5)</f>
        <v>0.87815660655899719</v>
      </c>
      <c r="G530" s="89">
        <f>IF(D530="","",ABS(D530-$E$5)/SQRT(0.9*(IF(G529="",$F$5^2,(ABS(D529-$E$5)/MAX(G529,0.0000000001))^2))+0.1*(D530-$E$5)^2))</f>
        <v>0.5198295802154439</v>
      </c>
      <c r="H530" s="90" t="str">
        <f>IF(E530="","",IF(E530&gt;$I$5,"OUTLIER",""))</f>
        <v/>
      </c>
      <c r="I530" s="90" t="str">
        <f>IF(F530="","",IF(F530&gt;$I$5,"OUTLIER",""))</f>
        <v/>
      </c>
      <c r="J530" s="90" t="str">
        <f>IF(G530="","",IF(G530&gt;$I$5,"OUTLIER",""))</f>
        <v/>
      </c>
      <c r="K530" s="90" t="str">
        <f>IF(C530="","MISSING","")</f>
        <v/>
      </c>
      <c r="L530" s="90" t="str">
        <f>IF(AND(C530&lt;&gt;"",C529&lt;&gt;"",C530=C529),"STALE","")</f>
        <v/>
      </c>
      <c r="M530" s="106">
        <f>IF(D530="","",ABS(D530-G$5))</f>
        <v>2.6260774708588902E-3</v>
      </c>
    </row>
    <row r="531" spans="2:13" ht="12.75" customHeight="1" x14ac:dyDescent="0.55000000000000004">
      <c r="B531" s="97">
        <v>45664</v>
      </c>
      <c r="C531" s="89">
        <v>1.0303</v>
      </c>
      <c r="D531" s="91">
        <f>IF(OR(C531="",C530=""),"",LN(C531/C530))</f>
        <v>7.7677448317808753E-4</v>
      </c>
      <c r="E531" s="89">
        <f>IF(D531="","",ABS(D531-$E$5)/$F$5)</f>
        <v>0.12664466668402319</v>
      </c>
      <c r="F531" s="89">
        <f>IF(D531="","",ABS(D531-$G$5)/$H$5)</f>
        <v>0.25975229283170748</v>
      </c>
      <c r="G531" s="89">
        <f>IF(D531="","",ABS(D531-$E$5)/SQRT(0.9*(IF(G530="",$F$5^2,(ABS(D530-$E$5)/MAX(G530,0.0000000001))^2))+0.1*(D531-$E$5)^2))</f>
        <v>0.14055957002157876</v>
      </c>
      <c r="H531" s="90" t="str">
        <f>IF(E531="","",IF(E531&gt;$I$5,"OUTLIER",""))</f>
        <v/>
      </c>
      <c r="I531" s="90" t="str">
        <f>IF(F531="","",IF(F531&gt;$I$5,"OUTLIER",""))</f>
        <v/>
      </c>
      <c r="J531" s="90" t="str">
        <f>IF(G531="","",IF(G531&gt;$I$5,"OUTLIER",""))</f>
        <v/>
      </c>
      <c r="K531" s="90" t="str">
        <f>IF(C531="","MISSING","")</f>
        <v/>
      </c>
      <c r="L531" s="90" t="str">
        <f>IF(AND(C531&lt;&gt;"",C530&lt;&gt;"",C531=C530),"STALE","")</f>
        <v/>
      </c>
      <c r="M531" s="106">
        <f>IF(D531="","",ABS(D531-G$5))</f>
        <v>7.7677448317808753E-4</v>
      </c>
    </row>
    <row r="532" spans="2:13" ht="12.75" customHeight="1" x14ac:dyDescent="0.55000000000000004">
      <c r="B532" s="97">
        <v>45665</v>
      </c>
      <c r="C532" s="89">
        <v>1.026</v>
      </c>
      <c r="D532" s="91">
        <f>IF(OR(C532="",C531=""),"",LN(C532/C531))</f>
        <v>-4.1822752203075197E-3</v>
      </c>
      <c r="E532" s="89">
        <f>IF(D532="","",ABS(D532-$E$5)/$F$5)</f>
        <v>0.85634370126022974</v>
      </c>
      <c r="F532" s="89">
        <f>IF(D532="","",ABS(D532-$G$5)/$H$5)</f>
        <v>1.3985469415568443</v>
      </c>
      <c r="G532" s="89">
        <f>IF(D532="","",ABS(D532-$E$5)/SQRT(0.9*(IF(G531="",$F$5^2,(ABS(D531-$E$5)/MAX(G531,0.0000000001))^2))+0.1*(D532-$E$5)^2))</f>
        <v>0.95506106890446696</v>
      </c>
      <c r="H532" s="90" t="str">
        <f>IF(E532="","",IF(E532&gt;$I$5,"OUTLIER",""))</f>
        <v/>
      </c>
      <c r="I532" s="90" t="str">
        <f>IF(F532="","",IF(F532&gt;$I$5,"OUTLIER",""))</f>
        <v/>
      </c>
      <c r="J532" s="90" t="str">
        <f>IF(G532="","",IF(G532&gt;$I$5,"OUTLIER",""))</f>
        <v/>
      </c>
      <c r="K532" s="90" t="str">
        <f>IF(C532="","MISSING","")</f>
        <v/>
      </c>
      <c r="L532" s="90" t="str">
        <f>IF(AND(C532&lt;&gt;"",C531&lt;&gt;"",C532=C531),"STALE","")</f>
        <v/>
      </c>
      <c r="M532" s="106">
        <f>IF(D532="","",ABS(D532-G$5))</f>
        <v>4.1822752203075197E-3</v>
      </c>
    </row>
    <row r="533" spans="2:13" ht="12.75" customHeight="1" x14ac:dyDescent="0.55000000000000004">
      <c r="B533" s="97">
        <v>45666</v>
      </c>
      <c r="C533" s="89">
        <v>1.026</v>
      </c>
      <c r="D533" s="91">
        <f>IF(OR(C533="",C532=""),"",LN(C533/C532))</f>
        <v>0</v>
      </c>
      <c r="E533" s="89">
        <f>IF(D533="","",ABS(D533-$E$5)/$F$5)</f>
        <v>2.7328438474265301E-2</v>
      </c>
      <c r="F533" s="89">
        <f>IF(D533="","",ABS(D533-$G$5)/$H$5)</f>
        <v>0</v>
      </c>
      <c r="G533" s="89">
        <f>IF(D533="","",ABS(D533-$E$5)/SQRT(0.9*(IF(G532="",$F$5^2,(ABS(D532-$E$5)/MAX(G532,0.0000000001))^2))+0.1*(D533-$E$5)^2))</f>
        <v>3.2125817273877207E-2</v>
      </c>
      <c r="H533" s="90" t="str">
        <f>IF(E533="","",IF(E533&gt;$I$5,"OUTLIER",""))</f>
        <v/>
      </c>
      <c r="I533" s="90" t="str">
        <f>IF(F533="","",IF(F533&gt;$I$5,"OUTLIER",""))</f>
        <v/>
      </c>
      <c r="J533" s="90" t="str">
        <f>IF(G533="","",IF(G533&gt;$I$5,"OUTLIER",""))</f>
        <v/>
      </c>
      <c r="K533" s="90" t="str">
        <f>IF(C533="","MISSING","")</f>
        <v/>
      </c>
      <c r="L533" s="90" t="str">
        <f>IF(AND(C533&lt;&gt;"",C532&lt;&gt;"",C533=C532),"STALE","")</f>
        <v>STALE</v>
      </c>
      <c r="M533" s="106">
        <f>IF(D533="","",ABS(D533-G$5))</f>
        <v>0</v>
      </c>
    </row>
    <row r="534" spans="2:13" ht="12.75" customHeight="1" x14ac:dyDescent="0.55000000000000004">
      <c r="B534" s="97">
        <v>45667</v>
      </c>
      <c r="C534" s="89">
        <v>1.0246999999999999</v>
      </c>
      <c r="D534" s="91">
        <f>IF(OR(C534="",C533=""),"",LN(C534/C533))</f>
        <v>-1.26785992504272E-3</v>
      </c>
      <c r="E534" s="89">
        <f>IF(D534="","",ABS(D534-$E$5)/$F$5)</f>
        <v>0.27864504811092111</v>
      </c>
      <c r="F534" s="89">
        <f>IF(D534="","",ABS(D534-$G$5)/$H$5)</f>
        <v>0.42397057273543243</v>
      </c>
      <c r="G534" s="89">
        <f>IF(D534="","",ABS(D534-$E$5)/SQRT(0.9*(IF(G533="",$F$5^2,(ABS(D533-$E$5)/MAX(G533,0.0000000001))^2))+0.1*(D534-$E$5)^2))</f>
        <v>0.34323849081738755</v>
      </c>
      <c r="H534" s="90" t="str">
        <f>IF(E534="","",IF(E534&gt;$I$5,"OUTLIER",""))</f>
        <v/>
      </c>
      <c r="I534" s="90" t="str">
        <f>IF(F534="","",IF(F534&gt;$I$5,"OUTLIER",""))</f>
        <v/>
      </c>
      <c r="J534" s="90" t="str">
        <f>IF(G534="","",IF(G534&gt;$I$5,"OUTLIER",""))</f>
        <v/>
      </c>
      <c r="K534" s="90" t="str">
        <f>IF(C534="","MISSING","")</f>
        <v/>
      </c>
      <c r="L534" s="90" t="str">
        <f>IF(AND(C534&lt;&gt;"",C533&lt;&gt;"",C534=C533),"STALE","")</f>
        <v/>
      </c>
      <c r="M534" s="106">
        <f>IF(D534="","",ABS(D534-G$5))</f>
        <v>1.26785992504272E-3</v>
      </c>
    </row>
    <row r="535" spans="2:13" ht="12.75" customHeight="1" x14ac:dyDescent="0.55000000000000004">
      <c r="B535" s="97">
        <v>45670</v>
      </c>
      <c r="C535" s="89">
        <v>1.0208999999999999</v>
      </c>
      <c r="D535" s="91">
        <f>IF(OR(C535="",C534=""),"",LN(C535/C534))</f>
        <v>-3.7152956307025344E-3</v>
      </c>
      <c r="E535" s="89">
        <f>IF(D535="","",ABS(D535-$E$5)/$F$5)</f>
        <v>0.76377848572580265</v>
      </c>
      <c r="F535" s="89">
        <f>IF(D535="","",ABS(D535-$G$5)/$H$5)</f>
        <v>1.2423896246877022</v>
      </c>
      <c r="G535" s="89">
        <f>IF(D535="","",ABS(D535-$E$5)/SQRT(0.9*(IF(G534="",$F$5^2,(ABS(D534-$E$5)/MAX(G534,0.0000000001))^2))+0.1*(D535-$E$5)^2))</f>
        <v>0.94628099421541512</v>
      </c>
      <c r="H535" s="90" t="str">
        <f>IF(E535="","",IF(E535&gt;$I$5,"OUTLIER",""))</f>
        <v/>
      </c>
      <c r="I535" s="90" t="str">
        <f>IF(F535="","",IF(F535&gt;$I$5,"OUTLIER",""))</f>
        <v/>
      </c>
      <c r="J535" s="90" t="str">
        <f>IF(G535="","",IF(G535&gt;$I$5,"OUTLIER",""))</f>
        <v/>
      </c>
      <c r="K535" s="90" t="str">
        <f>IF(C535="","MISSING","")</f>
        <v/>
      </c>
      <c r="L535" s="90" t="str">
        <f>IF(AND(C535&lt;&gt;"",C534&lt;&gt;"",C535=C534),"STALE","")</f>
        <v/>
      </c>
      <c r="M535" s="106">
        <f>IF(D535="","",ABS(D535-G$5))</f>
        <v>3.7152956307025344E-3</v>
      </c>
    </row>
    <row r="536" spans="2:13" ht="12.75" customHeight="1" x14ac:dyDescent="0.55000000000000004">
      <c r="B536" s="97">
        <v>45671</v>
      </c>
      <c r="C536" s="89"/>
      <c r="D536" s="91"/>
      <c r="E536" s="89" t="str">
        <f>IF(D536="","",ABS(D536-$E$5)/$F$5)</f>
        <v/>
      </c>
      <c r="F536" s="89" t="str">
        <f>IF(D536="","",ABS(D536-$G$5)/$H$5)</f>
        <v/>
      </c>
      <c r="G536" s="89" t="str">
        <f>IF(D536="","",ABS(D536-$E$5)/SQRT(0.9*(IF(G535="",$F$5^2,(ABS(D535-$E$5)/MAX(G535,0.0000000001))^2))+0.1*(D536-$E$5)^2))</f>
        <v/>
      </c>
      <c r="H536" s="90" t="str">
        <f>IF(E536="","",IF(E536&gt;$I$5,"OUTLIER",""))</f>
        <v/>
      </c>
      <c r="I536" s="90" t="str">
        <f>IF(F536="","",IF(F536&gt;$I$5,"OUTLIER",""))</f>
        <v/>
      </c>
      <c r="J536" s="90" t="str">
        <f>IF(G536="","",IF(G536&gt;$I$5,"OUTLIER",""))</f>
        <v/>
      </c>
      <c r="K536" s="90" t="str">
        <f>IF(C536="","MISSING","")</f>
        <v>MISSING</v>
      </c>
      <c r="L536" s="90" t="str">
        <f>IF(AND(C536&lt;&gt;"",C535&lt;&gt;"",C536=C535),"STALE","")</f>
        <v/>
      </c>
      <c r="M536" s="106" t="str">
        <f>IF(D536="","",ABS(D536-G$5))</f>
        <v/>
      </c>
    </row>
    <row r="537" spans="2:13" ht="12.75" customHeight="1" x14ac:dyDescent="0.55000000000000004">
      <c r="B537" s="97">
        <v>45672</v>
      </c>
      <c r="C537" s="89">
        <v>1.0286999999999999</v>
      </c>
      <c r="D537" s="91"/>
      <c r="E537" s="89"/>
      <c r="F537" s="89" t="str">
        <f>IF(D537="","",ABS(D537-$G$5)/$H$5)</f>
        <v/>
      </c>
      <c r="G537" s="89"/>
      <c r="H537" s="90"/>
      <c r="I537" s="90"/>
      <c r="J537" s="90"/>
      <c r="K537" s="90"/>
      <c r="L537" s="90"/>
      <c r="M537" s="106" t="str">
        <f>IF(D537="","",ABS(D537-G$5))</f>
        <v/>
      </c>
    </row>
    <row r="538" spans="2:13" ht="12.75" customHeight="1" x14ac:dyDescent="0.55000000000000004">
      <c r="B538" s="97">
        <v>45673</v>
      </c>
      <c r="C538" s="89">
        <v>1.0289999999999999</v>
      </c>
      <c r="D538" s="91"/>
      <c r="E538" s="89"/>
      <c r="F538" s="89" t="str">
        <f>IF(D538="","",ABS(D538-$G$5)/$H$5)</f>
        <v/>
      </c>
      <c r="G538" s="89"/>
      <c r="H538" s="90"/>
      <c r="I538" s="90"/>
      <c r="J538" s="90"/>
      <c r="K538" s="90"/>
      <c r="L538" s="90"/>
      <c r="M538" s="106" t="str">
        <f>IF(D538="","",ABS(D538-G$5))</f>
        <v/>
      </c>
    </row>
    <row r="539" spans="2:13" ht="12.75" customHeight="1" x14ac:dyDescent="0.55000000000000004">
      <c r="B539" s="97">
        <v>45674</v>
      </c>
      <c r="C539" s="89">
        <v>1.0301</v>
      </c>
      <c r="D539" s="91"/>
      <c r="E539" s="89"/>
      <c r="F539" s="89" t="str">
        <f>IF(D539="","",ABS(D539-$G$5)/$H$5)</f>
        <v/>
      </c>
      <c r="G539" s="89"/>
      <c r="H539" s="90"/>
      <c r="I539" s="90"/>
      <c r="J539" s="90"/>
      <c r="K539" s="90"/>
      <c r="L539" s="90"/>
      <c r="M539" s="106" t="str">
        <f>IF(D539="","",ABS(D539-G$5))</f>
        <v/>
      </c>
    </row>
    <row r="540" spans="2:13" ht="12.75" customHeight="1" x14ac:dyDescent="0.55000000000000004">
      <c r="B540" s="97">
        <v>45677</v>
      </c>
      <c r="C540" s="89"/>
      <c r="D540" s="91"/>
      <c r="E540" s="89"/>
      <c r="F540" s="89" t="str">
        <f>IF(D540="","",ABS(D540-$G$5)/$H$5)</f>
        <v/>
      </c>
      <c r="G540" s="89"/>
      <c r="H540" s="90"/>
      <c r="I540" s="90"/>
      <c r="J540" s="90"/>
      <c r="K540" s="90"/>
      <c r="L540" s="90"/>
      <c r="M540" s="106" t="str">
        <f>IF(D540="","",ABS(D540-G$5))</f>
        <v/>
      </c>
    </row>
    <row r="541" spans="2:13" ht="12.75" customHeight="1" x14ac:dyDescent="0.55000000000000004">
      <c r="B541" s="97">
        <v>45678</v>
      </c>
      <c r="C541" s="89">
        <v>1.0395000000000001</v>
      </c>
      <c r="D541" s="91"/>
      <c r="E541" s="89"/>
      <c r="F541" s="89" t="str">
        <f>IF(D541="","",ABS(D541-$G$5)/$H$5)</f>
        <v/>
      </c>
      <c r="G541" s="89"/>
      <c r="H541" s="90"/>
      <c r="I541" s="90"/>
      <c r="J541" s="90"/>
      <c r="K541" s="90"/>
      <c r="L541" s="90"/>
      <c r="M541" s="106" t="str">
        <f>IF(D541="","",ABS(D541-G$5))</f>
        <v/>
      </c>
    </row>
    <row r="542" spans="2:13" ht="12.75" customHeight="1" x14ac:dyDescent="0.55000000000000004">
      <c r="B542" s="97">
        <v>45679</v>
      </c>
      <c r="C542" s="89">
        <v>1.0451999999999999</v>
      </c>
      <c r="D542" s="91"/>
      <c r="E542" s="89"/>
      <c r="F542" s="89" t="str">
        <f>IF(D542="","",ABS(D542-$G$5)/$H$5)</f>
        <v/>
      </c>
      <c r="G542" s="89"/>
      <c r="H542" s="90"/>
      <c r="I542" s="90"/>
      <c r="J542" s="90"/>
      <c r="K542" s="90"/>
      <c r="L542" s="90"/>
      <c r="M542" s="106" t="str">
        <f>IF(D542="","",ABS(D542-G$5))</f>
        <v/>
      </c>
    </row>
    <row r="543" spans="2:13" ht="12.75" customHeight="1" x14ac:dyDescent="0.55000000000000004">
      <c r="B543" s="97">
        <v>45680</v>
      </c>
      <c r="C543" s="89">
        <v>1.0497000000000001</v>
      </c>
      <c r="D543" s="91"/>
      <c r="E543" s="89"/>
      <c r="F543" s="89" t="str">
        <f>IF(D543="","",ABS(D543-$G$5)/$H$5)</f>
        <v/>
      </c>
      <c r="G543" s="89"/>
      <c r="H543" s="90"/>
      <c r="I543" s="90"/>
      <c r="J543" s="90"/>
      <c r="K543" s="90"/>
      <c r="L543" s="90"/>
      <c r="M543" s="106" t="str">
        <f>IF(D543="","",ABS(D543-G$5))</f>
        <v/>
      </c>
    </row>
    <row r="544" spans="2:13" ht="12.75" customHeight="1" x14ac:dyDescent="0.55000000000000004">
      <c r="B544" s="97">
        <v>45681</v>
      </c>
      <c r="C544" s="89">
        <v>1.0470999999999999</v>
      </c>
      <c r="D544" s="91"/>
      <c r="E544" s="89"/>
      <c r="F544" s="89" t="str">
        <f>IF(D544="","",ABS(D544-$G$5)/$H$5)</f>
        <v/>
      </c>
      <c r="G544" s="89"/>
      <c r="H544" s="90"/>
      <c r="I544" s="90"/>
      <c r="J544" s="90"/>
      <c r="K544" s="90"/>
      <c r="L544" s="90"/>
      <c r="M544" s="106" t="str">
        <f>IF(D544="","",ABS(D544-G$5))</f>
        <v/>
      </c>
    </row>
    <row r="545" spans="2:13" ht="12.75" customHeight="1" x14ac:dyDescent="0.55000000000000004">
      <c r="B545" s="97">
        <v>45684</v>
      </c>
      <c r="C545" s="89">
        <v>1.0459000000000001</v>
      </c>
      <c r="D545" s="91"/>
      <c r="E545" s="89"/>
      <c r="F545" s="89" t="str">
        <f>IF(D545="","",ABS(D545-$G$5)/$H$5)</f>
        <v/>
      </c>
      <c r="G545" s="89"/>
      <c r="H545" s="90"/>
      <c r="I545" s="90"/>
      <c r="J545" s="90"/>
      <c r="K545" s="90"/>
      <c r="L545" s="90"/>
      <c r="M545" s="106" t="str">
        <f>IF(D545="","",ABS(D545-G$5))</f>
        <v/>
      </c>
    </row>
    <row r="546" spans="2:13" ht="12.75" customHeight="1" x14ac:dyDescent="0.55000000000000004">
      <c r="B546" s="97">
        <v>45685</v>
      </c>
      <c r="C546" s="89">
        <v>1.0421</v>
      </c>
      <c r="D546" s="91"/>
      <c r="E546" s="89"/>
      <c r="F546" s="89" t="str">
        <f>IF(D546="","",ABS(D546-$G$5)/$H$5)</f>
        <v/>
      </c>
      <c r="G546" s="89"/>
      <c r="H546" s="90"/>
      <c r="I546" s="90"/>
      <c r="J546" s="90"/>
      <c r="K546" s="90"/>
      <c r="L546" s="90"/>
      <c r="M546" s="106" t="str">
        <f>IF(D546="","",ABS(D546-G$5))</f>
        <v/>
      </c>
    </row>
    <row r="547" spans="2:13" ht="12.75" customHeight="1" x14ac:dyDescent="0.55000000000000004">
      <c r="B547" s="97">
        <v>45686</v>
      </c>
      <c r="C547" s="89">
        <v>1.0361</v>
      </c>
      <c r="D547" s="91">
        <f>IF(OR(C547="",C546=""),"",LN(C547/C546))</f>
        <v>-5.7742437406757387E-3</v>
      </c>
      <c r="E547" s="89">
        <f>IF(D547="","",ABS(D547-$E$5)/$F$5)</f>
        <v>1.1719054784602965</v>
      </c>
      <c r="F547" s="89">
        <f>IF(D547="","",ABS(D547-$G$5)/$H$5)</f>
        <v>1.9308989719552738</v>
      </c>
      <c r="G547" s="89">
        <f>IF(D547="","",ABS(D547-$E$5)/SQRT(0.9*(IF(G546="",$F$5^2,(ABS(D546-$E$5)/MAX(G546,0.0000000001))^2))+0.1*(D547-$E$5)^2))</f>
        <v>1.1506223568304692</v>
      </c>
      <c r="H547" s="90" t="str">
        <f>IF(E547="","",IF(E547&gt;$I$5,"OUTLIER",""))</f>
        <v/>
      </c>
      <c r="I547" s="90" t="str">
        <f>IF(F547="","",IF(F547&gt;$I$5,"OUTLIER",""))</f>
        <v/>
      </c>
      <c r="J547" s="90" t="str">
        <f>IF(G547="","",IF(G547&gt;$I$5,"OUTLIER",""))</f>
        <v/>
      </c>
      <c r="K547" s="90" t="str">
        <f>IF(C547="","MISSING","")</f>
        <v/>
      </c>
      <c r="L547" s="90" t="str">
        <f>IF(AND(C547&lt;&gt;"",C546&lt;&gt;"",C547=C546),"STALE","")</f>
        <v/>
      </c>
      <c r="M547" s="106">
        <f>IF(D547="","",ABS(D547-G$5))</f>
        <v>5.7742437406757387E-3</v>
      </c>
    </row>
    <row r="548" spans="2:13" ht="12.75" customHeight="1" x14ac:dyDescent="0.55000000000000004">
      <c r="B548" s="97">
        <v>45687</v>
      </c>
      <c r="C548" s="89"/>
      <c r="D548" s="91"/>
      <c r="E548" s="89"/>
      <c r="F548" s="89"/>
      <c r="G548" s="89"/>
      <c r="H548" s="90"/>
      <c r="I548" s="90"/>
      <c r="J548" s="90"/>
      <c r="K548" s="90"/>
      <c r="L548" s="90"/>
      <c r="M548" s="106" t="str">
        <f>IF(D548="","",ABS(D548-G$5))</f>
        <v/>
      </c>
    </row>
    <row r="549" spans="2:13" ht="12.75" customHeight="1" x14ac:dyDescent="0.55000000000000004">
      <c r="B549" s="97">
        <v>45688</v>
      </c>
      <c r="C549" s="89">
        <v>1.0407999999999999</v>
      </c>
      <c r="D549" s="91" t="str">
        <f>IF(OR(C549="",C548=""),"",LN(C549/C548))</f>
        <v/>
      </c>
      <c r="E549" s="89" t="str">
        <f>IF(D549="","",ABS(D549-$E$5)/$F$5)</f>
        <v/>
      </c>
      <c r="F549" s="89" t="str">
        <f>IF(D549="","",ABS(D549-$G$5)/$H$5)</f>
        <v/>
      </c>
      <c r="G549" s="89" t="str">
        <f>IF(D549="","",ABS(D549-$E$5)/SQRT(0.9*(IF(G548="",$F$5^2,(ABS(D548-$E$5)/MAX(G548,0.0000000001))^2))+0.1*(D549-$E$5)^2))</f>
        <v/>
      </c>
      <c r="H549" s="90" t="str">
        <f>IF(E549="","",IF(E549&gt;$I$5,"OUTLIER",""))</f>
        <v/>
      </c>
      <c r="I549" s="90" t="str">
        <f>IF(F549="","",IF(F549&gt;$I$5,"OUTLIER",""))</f>
        <v/>
      </c>
      <c r="J549" s="90" t="str">
        <f>IF(G549="","",IF(G549&gt;$I$5,"OUTLIER",""))</f>
        <v/>
      </c>
      <c r="K549" s="90" t="str">
        <f>IF(C549="","MISSING","")</f>
        <v/>
      </c>
      <c r="L549" s="90" t="str">
        <f>IF(AND(C549&lt;&gt;"",C548&lt;&gt;"",C549=C548),"STALE","")</f>
        <v/>
      </c>
      <c r="M549" s="106" t="str">
        <f>IF(D549="","",ABS(D549-G$5))</f>
        <v/>
      </c>
    </row>
    <row r="550" spans="2:13" ht="12.75" customHeight="1" x14ac:dyDescent="0.55000000000000004">
      <c r="B550" s="97">
        <v>45691</v>
      </c>
      <c r="C550" s="89">
        <v>1.0266</v>
      </c>
      <c r="D550" s="91">
        <f>IF(OR(C550="",C549=""),"",LN(C550/C549))</f>
        <v>-1.3737277072092758E-2</v>
      </c>
      <c r="E550" s="89">
        <f>IF(D550="","",ABS(D550-$E$5)/$F$5)</f>
        <v>2.7503468344389383</v>
      </c>
      <c r="F550" s="89">
        <f>IF(D550="","",ABS(D550-$G$5)/$H$5)</f>
        <v>4.5937260994224163</v>
      </c>
      <c r="G550" s="89">
        <f>IF(D550="","",ABS(D550-$E$5)/SQRT(0.9*(IF(G549="",$F$5^2,(ABS(D549-$E$5)/MAX(G549,0.0000000001))^2))+0.1*(D550-$E$5)^2))</f>
        <v>2.1369753299878056</v>
      </c>
      <c r="H550" s="90" t="str">
        <f>IF(E550="","",IF(E550&gt;$I$5,"OUTLIER",""))</f>
        <v/>
      </c>
      <c r="I550" s="90" t="str">
        <f>IF(F550="","",IF(F550&gt;$I$5,"OUTLIER",""))</f>
        <v>OUTLIER</v>
      </c>
      <c r="J550" s="90" t="str">
        <f>IF(G550="","",IF(G550&gt;$I$5,"OUTLIER",""))</f>
        <v/>
      </c>
      <c r="K550" s="90" t="str">
        <f>IF(C550="","MISSING","")</f>
        <v/>
      </c>
      <c r="L550" s="90" t="str">
        <f>IF(AND(C550&lt;&gt;"",C549&lt;&gt;"",C550=C549),"STALE","")</f>
        <v/>
      </c>
      <c r="M550" s="106">
        <f>IF(D550="","",ABS(D550-G$5))</f>
        <v>1.3737277072092758E-2</v>
      </c>
    </row>
    <row r="551" spans="2:13" ht="12.75" customHeight="1" x14ac:dyDescent="0.55000000000000004">
      <c r="B551" s="97">
        <v>45692</v>
      </c>
      <c r="C551" s="89">
        <v>1.0286999999999999</v>
      </c>
      <c r="D551" s="91">
        <f>IF(OR(C551="",C550=""),"",LN(C551/C550))</f>
        <v>2.0434980107815622E-3</v>
      </c>
      <c r="E551" s="89">
        <f>IF(D551="","",ABS(D551-$E$5)/$F$5)</f>
        <v>0.37773601835172688</v>
      </c>
      <c r="F551" s="89">
        <f>IF(D551="","",ABS(D551-$G$5)/$H$5)</f>
        <v>0.68334285586444687</v>
      </c>
      <c r="G551" s="89">
        <f>IF(D551="","",ABS(D551-$E$5)/SQRT(0.9*(IF(G550="",$F$5^2,(ABS(D550-$E$5)/MAX(G550,0.0000000001))^2))+0.1*(D551-$E$5)^2))</f>
        <v>0.30790075172953957</v>
      </c>
      <c r="H551" s="90" t="str">
        <f>IF(E551="","",IF(E551&gt;$I$5,"OUTLIER",""))</f>
        <v/>
      </c>
      <c r="I551" s="90" t="str">
        <f>IF(F551="","",IF(F551&gt;$I$5,"OUTLIER",""))</f>
        <v/>
      </c>
      <c r="J551" s="90" t="str">
        <f>IF(G551="","",IF(G551&gt;$I$5,"OUTLIER",""))</f>
        <v/>
      </c>
      <c r="K551" s="90" t="str">
        <f>IF(C551="","MISSING","")</f>
        <v/>
      </c>
      <c r="L551" s="90" t="str">
        <f>IF(AND(C551&lt;&gt;"",C550&lt;&gt;"",C551=C550),"STALE","")</f>
        <v/>
      </c>
      <c r="M551" s="106">
        <f>IF(D551="","",ABS(D551-G$5))</f>
        <v>2.0434980107815622E-3</v>
      </c>
    </row>
    <row r="552" spans="2:13" ht="12.75" customHeight="1" x14ac:dyDescent="0.55000000000000004">
      <c r="B552" s="97">
        <v>45693</v>
      </c>
      <c r="C552" s="89">
        <v>1.04</v>
      </c>
      <c r="D552" s="91">
        <f>IF(OR(C552="",C551=""),"",LN(C552/C551))</f>
        <v>1.0924843998434037E-2</v>
      </c>
      <c r="E552" s="89">
        <f>IF(D552="","",ABS(D552-$E$5)/$F$5)</f>
        <v>2.1382063341492143</v>
      </c>
      <c r="F552" s="89">
        <f>IF(D552="","",ABS(D552-$G$5)/$H$5)</f>
        <v>3.653252441830483</v>
      </c>
      <c r="G552" s="89">
        <f>IF(D552="","",ABS(D552-$E$5)/SQRT(0.9*(IF(G551="",$F$5^2,(ABS(D551-$E$5)/MAX(G551,0.0000000001))^2))+0.1*(D552-$E$5)^2))</f>
        <v>1.5885479391164936</v>
      </c>
      <c r="H552" s="90" t="str">
        <f>IF(E552="","",IF(E552&gt;$I$5,"OUTLIER",""))</f>
        <v/>
      </c>
      <c r="I552" s="90" t="str">
        <f>IF(F552="","",IF(F552&gt;$I$5,"OUTLIER",""))</f>
        <v>OUTLIER</v>
      </c>
      <c r="J552" s="90" t="str">
        <f>IF(G552="","",IF(G552&gt;$I$5,"OUTLIER",""))</f>
        <v/>
      </c>
      <c r="K552" s="90" t="str">
        <f>IF(C552="","MISSING","")</f>
        <v/>
      </c>
      <c r="L552" s="90" t="str">
        <f>IF(AND(C552&lt;&gt;"",C551&lt;&gt;"",C552=C551),"STALE","")</f>
        <v/>
      </c>
      <c r="M552" s="106">
        <f>IF(D552="","",ABS(D552-G$5))</f>
        <v>1.0924843998434037E-2</v>
      </c>
    </row>
    <row r="553" spans="2:13" ht="12.75" customHeight="1" x14ac:dyDescent="0.55000000000000004">
      <c r="B553" s="97">
        <v>45694</v>
      </c>
      <c r="C553" s="89">
        <v>1.0349999999999999</v>
      </c>
      <c r="D553" s="91">
        <f>IF(OR(C553="",C552=""),"",LN(C553/C552))</f>
        <v>-4.8192864359489947E-3</v>
      </c>
      <c r="E553" s="89">
        <f>IF(D553="","",ABS(D553-$E$5)/$F$5)</f>
        <v>0.98261277551158754</v>
      </c>
      <c r="F553" s="89">
        <f>IF(D553="","",ABS(D553-$G$5)/$H$5)</f>
        <v>1.6115625946269656</v>
      </c>
      <c r="G553" s="89">
        <f>IF(D553="","",ABS(D553-$E$5)/SQRT(0.9*(IF(G552="",$F$5^2,(ABS(D552-$E$5)/MAX(G552,0.0000000001))^2))+0.1*(D553-$E$5)^2))</f>
        <v>0.74768734124364666</v>
      </c>
      <c r="H553" s="90" t="str">
        <f>IF(E553="","",IF(E553&gt;$I$5,"OUTLIER",""))</f>
        <v/>
      </c>
      <c r="I553" s="90" t="str">
        <f>IF(F553="","",IF(F553&gt;$I$5,"OUTLIER",""))</f>
        <v/>
      </c>
      <c r="J553" s="90" t="str">
        <f>IF(G553="","",IF(G553&gt;$I$5,"OUTLIER",""))</f>
        <v/>
      </c>
      <c r="K553" s="90" t="str">
        <f>IF(C553="","MISSING","")</f>
        <v/>
      </c>
      <c r="L553" s="90" t="str">
        <f>IF(AND(C553&lt;&gt;"",C552&lt;&gt;"",C553=C552),"STALE","")</f>
        <v/>
      </c>
      <c r="M553" s="106">
        <f>IF(D553="","",ABS(D553-G$5))</f>
        <v>4.8192864359489947E-3</v>
      </c>
    </row>
    <row r="554" spans="2:13" ht="12.75" customHeight="1" x14ac:dyDescent="0.55000000000000004">
      <c r="B554" s="97">
        <v>45695</v>
      </c>
      <c r="C554" s="89">
        <v>1.0346</v>
      </c>
      <c r="D554" s="91">
        <f>IF(OR(C554="",C553=""),"",LN(C554/C553))</f>
        <v>-3.8654813005473631E-4</v>
      </c>
      <c r="E554" s="89">
        <f>IF(D554="","",ABS(D554-$E$5)/$F$5)</f>
        <v>0.10395044031210407</v>
      </c>
      <c r="F554" s="89">
        <f>IF(D554="","",ABS(D554-$G$5)/$H$5)</f>
        <v>0.12926115010977646</v>
      </c>
      <c r="G554" s="89">
        <f>IF(D554="","",ABS(D554-$E$5)/SQRT(0.9*(IF(G553="",$F$5^2,(ABS(D553-$E$5)/MAX(G553,0.0000000001))^2))+0.1*(D554-$E$5)^2))</f>
        <v>8.3347350778921692E-2</v>
      </c>
      <c r="H554" s="90" t="str">
        <f>IF(E554="","",IF(E554&gt;$I$5,"OUTLIER",""))</f>
        <v/>
      </c>
      <c r="I554" s="90" t="str">
        <f>IF(F554="","",IF(F554&gt;$I$5,"OUTLIER",""))</f>
        <v/>
      </c>
      <c r="J554" s="90" t="str">
        <f>IF(G554="","",IF(G554&gt;$I$5,"OUTLIER",""))</f>
        <v/>
      </c>
      <c r="K554" s="90" t="str">
        <f>IF(C554="","MISSING","")</f>
        <v/>
      </c>
      <c r="L554" s="90" t="str">
        <f>IF(AND(C554&lt;&gt;"",C553&lt;&gt;"",C554=C553),"STALE","")</f>
        <v/>
      </c>
      <c r="M554" s="106">
        <f>IF(D554="","",ABS(D554-G$5))</f>
        <v>3.8654813005473631E-4</v>
      </c>
    </row>
    <row r="555" spans="2:13" ht="12.75" customHeight="1" x14ac:dyDescent="0.55000000000000004">
      <c r="B555" s="97">
        <v>45698</v>
      </c>
      <c r="C555" s="89">
        <v>1.0299</v>
      </c>
      <c r="D555" s="91">
        <f>IF(OR(C555="",C554=""),"",LN(C555/C554))</f>
        <v>-4.553168437658581E-3</v>
      </c>
      <c r="E555" s="89">
        <f>IF(D555="","",ABS(D555-$E$5)/$F$5)</f>
        <v>0.92986256882658125</v>
      </c>
      <c r="F555" s="89">
        <f>IF(D555="","",ABS(D555-$G$5)/$H$5)</f>
        <v>1.5225731109136196</v>
      </c>
      <c r="G555" s="89">
        <f>IF(D555="","",ABS(D555-$E$5)/SQRT(0.9*(IF(G554="",$F$5^2,(ABS(D554-$E$5)/MAX(G554,0.0000000001))^2))+0.1*(D555-$E$5)^2))</f>
        <v>0.76269211235835466</v>
      </c>
      <c r="H555" s="90" t="str">
        <f>IF(E555="","",IF(E555&gt;$I$5,"OUTLIER",""))</f>
        <v/>
      </c>
      <c r="I555" s="90" t="str">
        <f>IF(F555="","",IF(F555&gt;$I$5,"OUTLIER",""))</f>
        <v/>
      </c>
      <c r="J555" s="90" t="str">
        <f>IF(G555="","",IF(G555&gt;$I$5,"OUTLIER",""))</f>
        <v/>
      </c>
      <c r="K555" s="90" t="str">
        <f>IF(C555="","MISSING","")</f>
        <v/>
      </c>
      <c r="L555" s="90" t="str">
        <f>IF(AND(C555&lt;&gt;"",C554&lt;&gt;"",C555=C554),"STALE","")</f>
        <v/>
      </c>
      <c r="M555" s="106">
        <f>IF(D555="","",ABS(D555-G$5))</f>
        <v>4.553168437658581E-3</v>
      </c>
    </row>
    <row r="556" spans="2:13" ht="12.75" customHeight="1" x14ac:dyDescent="0.55000000000000004">
      <c r="B556" s="97">
        <v>45699</v>
      </c>
      <c r="C556" s="89"/>
      <c r="D556" s="91"/>
      <c r="E556" s="89"/>
      <c r="F556" s="89"/>
      <c r="G556" s="89"/>
      <c r="H556" s="90"/>
      <c r="I556" s="90"/>
      <c r="J556" s="90"/>
      <c r="K556" s="90"/>
      <c r="L556" s="90"/>
      <c r="M556" s="106" t="str">
        <f>IF(D556="","",ABS(D556-G$5))</f>
        <v/>
      </c>
    </row>
    <row r="557" spans="2:13" ht="12.75" customHeight="1" x14ac:dyDescent="0.55000000000000004">
      <c r="B557" s="97">
        <v>45700</v>
      </c>
      <c r="C557" s="89">
        <v>1.0388999999999999</v>
      </c>
      <c r="D557" s="91" t="str">
        <f>IF(OR(C557="",C556=""),"",LN(C557/C556))</f>
        <v/>
      </c>
      <c r="E557" s="89" t="str">
        <f>IF(D557="","",ABS(D557-$E$5)/$F$5)</f>
        <v/>
      </c>
      <c r="F557" s="89" t="str">
        <f>IF(D557="","",ABS(D557-$G$5)/$H$5)</f>
        <v/>
      </c>
      <c r="G557" s="89" t="str">
        <f>IF(D557="","",ABS(D557-$E$5)/SQRT(0.9*(IF(G556="",$F$5^2,(ABS(D556-$E$5)/MAX(G556,0.0000000001))^2))+0.1*(D557-$E$5)^2))</f>
        <v/>
      </c>
      <c r="H557" s="90" t="str">
        <f>IF(E557="","",IF(E557&gt;$I$5,"OUTLIER",""))</f>
        <v/>
      </c>
      <c r="I557" s="90" t="str">
        <f>IF(F557="","",IF(F557&gt;$I$5,"OUTLIER",""))</f>
        <v/>
      </c>
      <c r="J557" s="90" t="str">
        <f>IF(G557="","",IF(G557&gt;$I$5,"OUTLIER",""))</f>
        <v/>
      </c>
      <c r="K557" s="90" t="str">
        <f>IF(C557="","MISSING","")</f>
        <v/>
      </c>
      <c r="L557" s="90" t="str">
        <f>IF(AND(C557&lt;&gt;"",C556&lt;&gt;"",C557=C556),"STALE","")</f>
        <v/>
      </c>
      <c r="M557" s="106" t="str">
        <f>IF(D557="","",ABS(D557-G$5))</f>
        <v/>
      </c>
    </row>
    <row r="558" spans="2:13" ht="12.75" customHeight="1" x14ac:dyDescent="0.55000000000000004">
      <c r="B558" s="97">
        <v>45701</v>
      </c>
      <c r="C558" s="89">
        <v>1.0412999999999999</v>
      </c>
      <c r="D558" s="91">
        <f>IF(OR(C558="",C557=""),"",LN(C558/C557))</f>
        <v>2.3074714593642868E-3</v>
      </c>
      <c r="E558" s="89">
        <f>IF(D558="","",ABS(D558-$E$5)/$F$5)</f>
        <v>0.43006112999974361</v>
      </c>
      <c r="F558" s="89">
        <f>IF(D558="","",ABS(D558-$G$5)/$H$5)</f>
        <v>0.77161520517684734</v>
      </c>
      <c r="G558" s="89">
        <f>IF(D558="","",ABS(D558-$E$5)/SQRT(0.9*(IF(G557="",$F$5^2,(ABS(D557-$E$5)/MAX(G557,0.0000000001))^2))+0.1*(D558-$E$5)^2))</f>
        <v>0.44873684749487264</v>
      </c>
      <c r="H558" s="90" t="str">
        <f>IF(E558="","",IF(E558&gt;$I$5,"OUTLIER",""))</f>
        <v/>
      </c>
      <c r="I558" s="90" t="str">
        <f>IF(F558="","",IF(F558&gt;$I$5,"OUTLIER",""))</f>
        <v/>
      </c>
      <c r="J558" s="90" t="str">
        <f>IF(G558="","",IF(G558&gt;$I$5,"OUTLIER",""))</f>
        <v/>
      </c>
      <c r="K558" s="90" t="str">
        <f>IF(C558="","MISSING","")</f>
        <v/>
      </c>
      <c r="L558" s="90" t="str">
        <f>IF(AND(C558&lt;&gt;"",C557&lt;&gt;"",C558=C557),"STALE","")</f>
        <v/>
      </c>
      <c r="M558" s="106">
        <f>IF(D558="","",ABS(D558-G$5))</f>
        <v>2.3074714593642868E-3</v>
      </c>
    </row>
    <row r="559" spans="2:13" ht="12.75" customHeight="1" x14ac:dyDescent="0.55000000000000004">
      <c r="B559" s="97">
        <v>45702</v>
      </c>
      <c r="C559" s="89">
        <v>1.048</v>
      </c>
      <c r="D559" s="91">
        <f>IF(OR(C559="",C558=""),"",LN(C559/C558))</f>
        <v>6.4136533451372661E-3</v>
      </c>
      <c r="E559" s="89">
        <f>IF(D559="","",ABS(D559-$E$5)/$F$5)</f>
        <v>1.243993087072323</v>
      </c>
      <c r="F559" s="89">
        <f>IF(D559="","",ABS(D559-$G$5)/$H$5)</f>
        <v>2.1447166428678992</v>
      </c>
      <c r="G559" s="89">
        <f>IF(D559="","",ABS(D559-$E$5)/SQRT(0.9*(IF(G558="",$F$5^2,(ABS(D558-$E$5)/MAX(G558,0.0000000001))^2))+0.1*(D559-$E$5)^2))</f>
        <v>1.255727683008798</v>
      </c>
      <c r="H559" s="90" t="str">
        <f>IF(E559="","",IF(E559&gt;$I$5,"OUTLIER",""))</f>
        <v/>
      </c>
      <c r="I559" s="90" t="str">
        <f>IF(F559="","",IF(F559&gt;$I$5,"OUTLIER",""))</f>
        <v/>
      </c>
      <c r="J559" s="90" t="str">
        <f>IF(G559="","",IF(G559&gt;$I$5,"OUTLIER",""))</f>
        <v/>
      </c>
      <c r="K559" s="90" t="str">
        <f>IF(C559="","MISSING","")</f>
        <v/>
      </c>
      <c r="L559" s="90" t="str">
        <f>IF(AND(C559&lt;&gt;"",C558&lt;&gt;"",C559=C558),"STALE","")</f>
        <v/>
      </c>
      <c r="M559" s="106">
        <f>IF(D559="","",ABS(D559-G$5))</f>
        <v>6.4136533451372661E-3</v>
      </c>
    </row>
    <row r="560" spans="2:13" ht="12.75" customHeight="1" x14ac:dyDescent="0.55000000000000004">
      <c r="B560" s="97">
        <v>45705</v>
      </c>
      <c r="C560" s="89"/>
      <c r="D560" s="91" t="str">
        <f>IF(OR(C560="",C559=""),"",LN(C560/C559))</f>
        <v/>
      </c>
      <c r="E560" s="89" t="str">
        <f>IF(D560="","",ABS(D560-$E$5)/$F$5)</f>
        <v/>
      </c>
      <c r="F560" s="89" t="str">
        <f>IF(D560="","",ABS(D560-$G$5)/$H$5)</f>
        <v/>
      </c>
      <c r="G560" s="89" t="str">
        <f>IF(D560="","",ABS(D560-$E$5)/SQRT(0.9*(IF(G559="",$F$5^2,(ABS(D559-$E$5)/MAX(G559,0.0000000001))^2))+0.1*(D560-$E$5)^2))</f>
        <v/>
      </c>
      <c r="H560" s="90" t="str">
        <f>IF(E560="","",IF(E560&gt;$I$5,"OUTLIER",""))</f>
        <v/>
      </c>
      <c r="I560" s="90" t="str">
        <f>IF(F560="","",IF(F560&gt;$I$5,"OUTLIER",""))</f>
        <v/>
      </c>
      <c r="J560" s="90" t="str">
        <f>IF(G560="","",IF(G560&gt;$I$5,"OUTLIER",""))</f>
        <v/>
      </c>
      <c r="K560" s="90" t="str">
        <f>IF(C560="","MISSING","")</f>
        <v>MISSING</v>
      </c>
      <c r="L560" s="90" t="str">
        <f>IF(AND(C560&lt;&gt;"",C559&lt;&gt;"",C560=C559),"STALE","")</f>
        <v/>
      </c>
      <c r="M560" s="106" t="str">
        <f>IF(D560="","",ABS(D560-G$5))</f>
        <v/>
      </c>
    </row>
    <row r="561" spans="2:13" ht="12.75" customHeight="1" x14ac:dyDescent="0.55000000000000004">
      <c r="B561" s="97">
        <v>45706</v>
      </c>
      <c r="C561" s="89">
        <v>1.0498000000000001</v>
      </c>
      <c r="D561" s="91" t="str">
        <f>IF(OR(C561="",C560=""),"",LN(C561/C560))</f>
        <v/>
      </c>
      <c r="E561" s="89" t="str">
        <f>IF(D561="","",ABS(D561-$E$5)/$F$5)</f>
        <v/>
      </c>
      <c r="F561" s="89" t="str">
        <f>IF(D561="","",ABS(D561-$G$5)/$H$5)</f>
        <v/>
      </c>
      <c r="G561" s="89" t="str">
        <f>IF(D561="","",ABS(D561-$E$5)/SQRT(0.9*(IF(G560="",$F$5^2,(ABS(D560-$E$5)/MAX(G560,0.0000000001))^2))+0.1*(D561-$E$5)^2))</f>
        <v/>
      </c>
      <c r="H561" s="90" t="str">
        <f>IF(E561="","",IF(E561&gt;$I$5,"OUTLIER",""))</f>
        <v/>
      </c>
      <c r="I561" s="90" t="str">
        <f>IF(F561="","",IF(F561&gt;$I$5,"OUTLIER",""))</f>
        <v/>
      </c>
      <c r="J561" s="90" t="str">
        <f>IF(G561="","",IF(G561&gt;$I$5,"OUTLIER",""))</f>
        <v/>
      </c>
      <c r="K561" s="90" t="str">
        <f>IF(C561="","MISSING","")</f>
        <v/>
      </c>
      <c r="L561" s="90" t="str">
        <f>IF(AND(C561&lt;&gt;"",C560&lt;&gt;"",C561=C560),"STALE","")</f>
        <v/>
      </c>
      <c r="M561" s="106" t="str">
        <f>IF(D561="","",ABS(D561-G$5))</f>
        <v/>
      </c>
    </row>
    <row r="562" spans="2:13" ht="12.75" customHeight="1" x14ac:dyDescent="0.55000000000000004">
      <c r="B562" s="97">
        <v>45707</v>
      </c>
      <c r="C562" s="89">
        <v>1.0504</v>
      </c>
      <c r="D562" s="91">
        <f>IF(OR(C562="",C561=""),"",LN(C562/C561))</f>
        <v>5.7137417038703416E-4</v>
      </c>
      <c r="E562" s="89">
        <f>IF(D562="","",ABS(D562-$E$5)/$F$5)</f>
        <v>8.5929987397021651E-2</v>
      </c>
      <c r="F562" s="89">
        <f>IF(D562="","",ABS(D562-$G$5)/$H$5)</f>
        <v>0.19106671760846219</v>
      </c>
      <c r="G562" s="89">
        <f>IF(D562="","",ABS(D562-$E$5)/SQRT(0.9*(IF(G561="",$F$5^2,(ABS(D561-$E$5)/MAX(G561,0.0000000001))^2))+0.1*(D562-$E$5)^2))</f>
        <v>9.0541025689764076E-2</v>
      </c>
      <c r="H562" s="90" t="str">
        <f>IF(E562="","",IF(E562&gt;$I$5,"OUTLIER",""))</f>
        <v/>
      </c>
      <c r="I562" s="90" t="str">
        <f>IF(F562="","",IF(F562&gt;$I$5,"OUTLIER",""))</f>
        <v/>
      </c>
      <c r="J562" s="90" t="str">
        <f>IF(G562="","",IF(G562&gt;$I$5,"OUTLIER",""))</f>
        <v/>
      </c>
      <c r="K562" s="90" t="str">
        <f>IF(C562="","MISSING","")</f>
        <v/>
      </c>
      <c r="L562" s="90" t="str">
        <f>IF(AND(C562&lt;&gt;"",C561&lt;&gt;"",C562=C561),"STALE","")</f>
        <v/>
      </c>
      <c r="M562" s="106">
        <f>IF(D562="","",ABS(D562-G$5))</f>
        <v>5.7137417038703416E-4</v>
      </c>
    </row>
    <row r="563" spans="2:13" ht="12.75" customHeight="1" x14ac:dyDescent="0.55000000000000004">
      <c r="B563" s="97">
        <v>45708</v>
      </c>
      <c r="C563" s="89">
        <v>1.0516000000000001</v>
      </c>
      <c r="D563" s="91">
        <f>IF(OR(C563="",C562=""),"",LN(C563/C562))</f>
        <v>1.1417698671398863E-3</v>
      </c>
      <c r="E563" s="89">
        <f>IF(D563="","",ABS(D563-$E$5)/$F$5)</f>
        <v>0.19899445913228431</v>
      </c>
      <c r="F563" s="89">
        <f>IF(D563="","",ABS(D563-$G$5)/$H$5)</f>
        <v>0.38180623501215671</v>
      </c>
      <c r="G563" s="89">
        <f>IF(D563="","",ABS(D563-$E$5)/SQRT(0.9*(IF(G562="",$F$5^2,(ABS(D562-$E$5)/MAX(G562,0.0000000001))^2))+0.1*(D563-$E$5)^2))</f>
        <v>0.22047648033308939</v>
      </c>
      <c r="H563" s="90" t="str">
        <f>IF(E563="","",IF(E563&gt;$I$5,"OUTLIER",""))</f>
        <v/>
      </c>
      <c r="I563" s="90" t="str">
        <f>IF(F563="","",IF(F563&gt;$I$5,"OUTLIER",""))</f>
        <v/>
      </c>
      <c r="J563" s="90" t="str">
        <f>IF(G563="","",IF(G563&gt;$I$5,"OUTLIER",""))</f>
        <v/>
      </c>
      <c r="K563" s="90" t="str">
        <f>IF(C563="","MISSING","")</f>
        <v/>
      </c>
      <c r="L563" s="90" t="str">
        <f>IF(AND(C563&lt;&gt;"",C562&lt;&gt;"",C563=C562),"STALE","")</f>
        <v/>
      </c>
      <c r="M563" s="106">
        <f>IF(D563="","",ABS(D563-G$5))</f>
        <v>1.1417698671398863E-3</v>
      </c>
    </row>
    <row r="564" spans="2:13" ht="12.75" customHeight="1" x14ac:dyDescent="0.55000000000000004">
      <c r="B564" s="97">
        <v>45709</v>
      </c>
      <c r="C564" s="89">
        <v>1.0516000000000001</v>
      </c>
      <c r="D564" s="91">
        <f>IF(OR(C564="",C563=""),"",LN(C564/C563))</f>
        <v>0</v>
      </c>
      <c r="E564" s="89">
        <f>IF(D564="","",ABS(D564-$E$5)/$F$5)</f>
        <v>2.7328438474265301E-2</v>
      </c>
      <c r="F564" s="89">
        <f>IF(D564="","",ABS(D564-$G$5)/$H$5)</f>
        <v>0</v>
      </c>
      <c r="G564" s="89">
        <f>IF(D564="","",ABS(D564-$E$5)/SQRT(0.9*(IF(G563="",$F$5^2,(ABS(D563-$E$5)/MAX(G563,0.0000000001))^2))+0.1*(D564-$E$5)^2))</f>
        <v>3.1914844072443299E-2</v>
      </c>
      <c r="H564" s="90" t="str">
        <f>IF(E564="","",IF(E564&gt;$I$5,"OUTLIER",""))</f>
        <v/>
      </c>
      <c r="I564" s="90" t="str">
        <f>IF(F564="","",IF(F564&gt;$I$5,"OUTLIER",""))</f>
        <v/>
      </c>
      <c r="J564" s="90" t="str">
        <f>IF(G564="","",IF(G564&gt;$I$5,"OUTLIER",""))</f>
        <v/>
      </c>
      <c r="K564" s="90" t="str">
        <f>IF(C564="","MISSING","")</f>
        <v/>
      </c>
      <c r="L564" s="90" t="str">
        <f>IF(AND(C564&lt;&gt;"",C563&lt;&gt;"",C564=C563),"STALE","")</f>
        <v>STALE</v>
      </c>
      <c r="M564" s="106">
        <f>IF(D564="","",ABS(D564-G$5))</f>
        <v>0</v>
      </c>
    </row>
    <row r="565" spans="2:13" ht="12.75" customHeight="1" x14ac:dyDescent="0.55000000000000004">
      <c r="B565" s="97">
        <v>45712</v>
      </c>
      <c r="C565" s="89">
        <v>1.0501</v>
      </c>
      <c r="D565" s="91">
        <f>IF(OR(C565="",C564=""),"",LN(C565/C564))</f>
        <v>-1.4274161437785584E-3</v>
      </c>
      <c r="E565" s="89">
        <f>IF(D565="","",ABS(D565-$E$5)/$F$5)</f>
        <v>0.31027245989916297</v>
      </c>
      <c r="F565" s="89">
        <f>IF(D565="","",ABS(D565-$G$5)/$H$5)</f>
        <v>0.47732594749314</v>
      </c>
      <c r="G565" s="89">
        <f>IF(D565="","",ABS(D565-$E$5)/SQRT(0.9*(IF(G564="",$F$5^2,(ABS(D564-$E$5)/MAX(G564,0.0000000001))^2))+0.1*(D565-$E$5)^2))</f>
        <v>0.37918835746409724</v>
      </c>
      <c r="H565" s="90" t="str">
        <f>IF(E565="","",IF(E565&gt;$I$5,"OUTLIER",""))</f>
        <v/>
      </c>
      <c r="I565" s="90" t="str">
        <f>IF(F565="","",IF(F565&gt;$I$5,"OUTLIER",""))</f>
        <v/>
      </c>
      <c r="J565" s="90" t="str">
        <f>IF(G565="","",IF(G565&gt;$I$5,"OUTLIER",""))</f>
        <v/>
      </c>
      <c r="K565" s="90" t="str">
        <f>IF(C565="","MISSING","")</f>
        <v/>
      </c>
      <c r="L565" s="90" t="str">
        <f>IF(AND(C565&lt;&gt;"",C564&lt;&gt;"",C565=C564),"STALE","")</f>
        <v/>
      </c>
      <c r="M565" s="106">
        <f>IF(D565="","",ABS(D565-G$5))</f>
        <v>1.4274161437785584E-3</v>
      </c>
    </row>
    <row r="566" spans="2:13" ht="12.75" customHeight="1" x14ac:dyDescent="0.55000000000000004">
      <c r="B566" s="97">
        <v>45713</v>
      </c>
      <c r="C566" s="89">
        <v>1.0479000000000001</v>
      </c>
      <c r="D566" s="91">
        <f>IF(OR(C566="",C565=""),"",LN(C566/C565))</f>
        <v>-2.0972362310516454E-3</v>
      </c>
      <c r="E566" s="89">
        <f>IF(D566="","",ABS(D566-$E$5)/$F$5)</f>
        <v>0.44304494530943345</v>
      </c>
      <c r="F566" s="89">
        <f>IF(D566="","",ABS(D566-$G$5)/$H$5)</f>
        <v>0.70131284101475622</v>
      </c>
      <c r="G566" s="89">
        <f>IF(D566="","",ABS(D566-$E$5)/SQRT(0.9*(IF(G565="",$F$5^2,(ABS(D565-$E$5)/MAX(G565,0.0000000001))^2))+0.1*(D566-$E$5)^2))</f>
        <v>0.5616653305357433</v>
      </c>
      <c r="H566" s="90" t="str">
        <f>IF(E566="","",IF(E566&gt;$I$5,"OUTLIER",""))</f>
        <v/>
      </c>
      <c r="I566" s="90" t="str">
        <f>IF(F566="","",IF(F566&gt;$I$5,"OUTLIER",""))</f>
        <v/>
      </c>
      <c r="J566" s="90" t="str">
        <f>IF(G566="","",IF(G566&gt;$I$5,"OUTLIER",""))</f>
        <v/>
      </c>
      <c r="K566" s="90" t="str">
        <f>IF(C566="","MISSING","")</f>
        <v/>
      </c>
      <c r="L566" s="90" t="str">
        <f>IF(AND(C566&lt;&gt;"",C565&lt;&gt;"",C566=C565),"STALE","")</f>
        <v/>
      </c>
      <c r="M566" s="106">
        <f>IF(D566="","",ABS(D566-G$5))</f>
        <v>2.0972362310516454E-3</v>
      </c>
    </row>
    <row r="567" spans="2:13" ht="12.75" customHeight="1" x14ac:dyDescent="0.55000000000000004">
      <c r="B567" s="97">
        <v>45714</v>
      </c>
      <c r="C567" s="89">
        <v>1.0451999999999999</v>
      </c>
      <c r="D567" s="91">
        <f>IF(OR(C567="",C566=""),"",LN(C567/C566))</f>
        <v>-2.5799068344386855E-3</v>
      </c>
      <c r="E567" s="89">
        <f>IF(D567="","",ABS(D567-$E$5)/$F$5)</f>
        <v>0.53872045111140332</v>
      </c>
      <c r="F567" s="89">
        <f>IF(D567="","",ABS(D567-$G$5)/$H$5)</f>
        <v>0.86271721078664954</v>
      </c>
      <c r="G567" s="89">
        <f>IF(D567="","",ABS(D567-$E$5)/SQRT(0.9*(IF(G566="",$F$5^2,(ABS(D566-$E$5)/MAX(G566,0.0000000001))^2))+0.1*(D567-$E$5)^2))</f>
        <v>0.70194030057423429</v>
      </c>
      <c r="H567" s="90" t="str">
        <f>IF(E567="","",IF(E567&gt;$I$5,"OUTLIER",""))</f>
        <v/>
      </c>
      <c r="I567" s="90" t="str">
        <f>IF(F567="","",IF(F567&gt;$I$5,"OUTLIER",""))</f>
        <v/>
      </c>
      <c r="J567" s="90" t="str">
        <f>IF(G567="","",IF(G567&gt;$I$5,"OUTLIER",""))</f>
        <v/>
      </c>
      <c r="K567" s="90" t="str">
        <f>IF(C567="","MISSING","")</f>
        <v/>
      </c>
      <c r="L567" s="90" t="str">
        <f>IF(AND(C567&lt;&gt;"",C566&lt;&gt;"",C567=C566),"STALE","")</f>
        <v/>
      </c>
      <c r="M567" s="106">
        <f>IF(D567="","",ABS(D567-G$5))</f>
        <v>2.5799068344386855E-3</v>
      </c>
    </row>
    <row r="568" spans="2:13" ht="12.75" customHeight="1" x14ac:dyDescent="0.55000000000000004">
      <c r="B568" s="97">
        <v>45715</v>
      </c>
      <c r="C568" s="89">
        <v>1.0369999999999999</v>
      </c>
      <c r="D568" s="91">
        <f>IF(OR(C568="",C567=""),"",LN(C568/C567))</f>
        <v>-7.8763254169300703E-3</v>
      </c>
      <c r="E568" s="89">
        <f>IF(D568="","",ABS(D568-$E$5)/$F$5)</f>
        <v>1.5885824548524454</v>
      </c>
      <c r="F568" s="89">
        <f>IF(D568="","",ABS(D568-$G$5)/$H$5)</f>
        <v>2.6338321230194008</v>
      </c>
      <c r="G568" s="89">
        <f>IF(D568="","",ABS(D568-$E$5)/SQRT(0.9*(IF(G567="",$F$5^2,(ABS(D567-$E$5)/MAX(G567,0.0000000001))^2))+0.1*(D568-$E$5)^2))</f>
        <v>1.7958705552282266</v>
      </c>
      <c r="H568" s="90" t="str">
        <f>IF(E568="","",IF(E568&gt;$I$5,"OUTLIER",""))</f>
        <v/>
      </c>
      <c r="I568" s="90" t="str">
        <f>IF(F568="","",IF(F568&gt;$I$5,"OUTLIER",""))</f>
        <v/>
      </c>
      <c r="J568" s="90" t="str">
        <f>IF(G568="","",IF(G568&gt;$I$5,"OUTLIER",""))</f>
        <v/>
      </c>
      <c r="K568" s="90" t="str">
        <f>IF(C568="","MISSING","")</f>
        <v/>
      </c>
      <c r="L568" s="90" t="str">
        <f>IF(AND(C568&lt;&gt;"",C567&lt;&gt;"",C568=C567),"STALE","")</f>
        <v/>
      </c>
      <c r="M568" s="106">
        <f>IF(D568="","",ABS(D568-G$5))</f>
        <v>7.8763254169300703E-3</v>
      </c>
    </row>
    <row r="569" spans="2:13" ht="12.75" customHeight="1" x14ac:dyDescent="0.55000000000000004">
      <c r="B569" s="97">
        <v>45716</v>
      </c>
      <c r="C569" s="89">
        <v>1.0383</v>
      </c>
      <c r="D569" s="91">
        <f>IF(OR(C569="",C568=""),"",LN(C569/C568))</f>
        <v>1.2528310798810718E-3</v>
      </c>
      <c r="E569" s="89">
        <f>IF(D569="","",ABS(D569-$E$5)/$F$5)</f>
        <v>0.22100913669795438</v>
      </c>
      <c r="F569" s="89">
        <f>IF(D569="","",ABS(D569-$G$5)/$H$5)</f>
        <v>0.41894494808646232</v>
      </c>
      <c r="G569" s="89">
        <f>IF(D569="","",ABS(D569-$E$5)/SQRT(0.9*(IF(G568="",$F$5^2,(ABS(D568-$E$5)/MAX(G568,0.0000000001))^2))+0.1*(D569-$E$5)^2))</f>
        <v>0.26245406863469978</v>
      </c>
      <c r="H569" s="90" t="str">
        <f>IF(E569="","",IF(E569&gt;$I$5,"OUTLIER",""))</f>
        <v/>
      </c>
      <c r="I569" s="90" t="str">
        <f>IF(F569="","",IF(F569&gt;$I$5,"OUTLIER",""))</f>
        <v/>
      </c>
      <c r="J569" s="90" t="str">
        <f>IF(G569="","",IF(G569&gt;$I$5,"OUTLIER",""))</f>
        <v/>
      </c>
      <c r="K569" s="90" t="str">
        <f>IF(C569="","MISSING","")</f>
        <v/>
      </c>
      <c r="L569" s="90" t="str">
        <f>IF(AND(C569&lt;&gt;"",C568&lt;&gt;"",C569=C568),"STALE","")</f>
        <v/>
      </c>
      <c r="M569" s="106">
        <f>IF(D569="","",ABS(D569-G$5))</f>
        <v>1.2528310798810718E-3</v>
      </c>
    </row>
    <row r="570" spans="2:13" ht="12.75" customHeight="1" x14ac:dyDescent="0.55000000000000004">
      <c r="B570" s="97">
        <v>45719</v>
      </c>
      <c r="C570" s="89">
        <v>1.0412999999999999</v>
      </c>
      <c r="D570" s="91">
        <f>IF(OR(C570="",C569=""),"",LN(C570/C569))</f>
        <v>2.8851722264418311E-3</v>
      </c>
      <c r="E570" s="89">
        <f>IF(D570="","",ABS(D570-$E$5)/$F$5)</f>
        <v>0.54457362092931683</v>
      </c>
      <c r="F570" s="89">
        <f>IF(D570="","",ABS(D570-$G$5)/$H$5)</f>
        <v>0.9647975278055182</v>
      </c>
      <c r="G570" s="89">
        <f>IF(D570="","",ABS(D570-$E$5)/SQRT(0.9*(IF(G569="",$F$5^2,(ABS(D569-$E$5)/MAX(G569,0.0000000001))^2))+0.1*(D570-$E$5)^2))</f>
        <v>0.66636992362134306</v>
      </c>
      <c r="H570" s="90" t="str">
        <f>IF(E570="","",IF(E570&gt;$I$5,"OUTLIER",""))</f>
        <v/>
      </c>
      <c r="I570" s="90" t="str">
        <f>IF(F570="","",IF(F570&gt;$I$5,"OUTLIER",""))</f>
        <v/>
      </c>
      <c r="J570" s="90" t="str">
        <f>IF(G570="","",IF(G570&gt;$I$5,"OUTLIER",""))</f>
        <v/>
      </c>
      <c r="K570" s="90" t="str">
        <f>IF(C570="","MISSING","")</f>
        <v/>
      </c>
      <c r="L570" s="90" t="str">
        <f>IF(AND(C570&lt;&gt;"",C569&lt;&gt;"",C570=C569),"STALE","")</f>
        <v/>
      </c>
      <c r="M570" s="106">
        <f>IF(D570="","",ABS(D570-G$5))</f>
        <v>2.8851722264418311E-3</v>
      </c>
    </row>
    <row r="571" spans="2:13" ht="12.75" customHeight="1" x14ac:dyDescent="0.55000000000000004">
      <c r="B571" s="97">
        <v>45720</v>
      </c>
      <c r="C571" s="89">
        <v>1.0660000000000001</v>
      </c>
      <c r="D571" s="91">
        <f>IF(OR(C571="",C570=""),"",LN(C571/C570))</f>
        <v>2.3443393189939633E-2</v>
      </c>
      <c r="E571" s="89">
        <f>IF(D571="","",ABS(D571-$E$5)/$F$5)</f>
        <v>4.6196471291746413</v>
      </c>
      <c r="F571" s="89">
        <f>IF(D571="","",ABS(D571-$G$5)/$H$5)</f>
        <v>7.8394376549647165</v>
      </c>
      <c r="G571" s="89">
        <f>IF(D571="","",ABS(D571-$E$5)/SQRT(0.9*(IF(G570="",$F$5^2,(ABS(D570-$E$5)/MAX(G570,0.0000000001))^2))+0.1*(D571-$E$5)^2))</f>
        <v>2.7932869067871673</v>
      </c>
      <c r="H571" s="90" t="str">
        <f>IF(E571="","",IF(E571&gt;$I$5,"OUTLIER",""))</f>
        <v>OUTLIER</v>
      </c>
      <c r="I571" s="90" t="str">
        <f>IF(F571="","",IF(F571&gt;$I$5,"OUTLIER",""))</f>
        <v>OUTLIER</v>
      </c>
      <c r="J571" s="90" t="str">
        <f>IF(G571="","",IF(G571&gt;$I$5,"OUTLIER",""))</f>
        <v/>
      </c>
      <c r="K571" s="90" t="str">
        <f>IF(C571="","MISSING","")</f>
        <v/>
      </c>
      <c r="L571" s="90" t="str">
        <f>IF(AND(C571&lt;&gt;"",C570&lt;&gt;"",C571=C570),"STALE","")</f>
        <v/>
      </c>
      <c r="M571" s="106">
        <f>IF(D571="","",ABS(D571-G$5))</f>
        <v>2.3443393189939633E-2</v>
      </c>
    </row>
    <row r="572" spans="2:13" ht="12.75" customHeight="1" x14ac:dyDescent="0.55000000000000004">
      <c r="B572" s="97">
        <v>45721</v>
      </c>
      <c r="C572" s="89">
        <v>1.0802</v>
      </c>
      <c r="D572" s="91">
        <f>IF(OR(C572="",C571=""),"",LN(C572/C571))</f>
        <v>1.323288343300081E-2</v>
      </c>
      <c r="E572" s="89">
        <f>IF(D572="","",ABS(D572-$E$5)/$F$5)</f>
        <v>2.595708487301883</v>
      </c>
      <c r="F572" s="89">
        <f>IF(D572="","",ABS(D572-$G$5)/$H$5)</f>
        <v>4.4250575771148615</v>
      </c>
      <c r="G572" s="89">
        <f>IF(D572="","",ABS(D572-$E$5)/SQRT(0.9*(IF(G571="",$F$5^2,(ABS(D571-$E$5)/MAX(G571,0.0000000001))^2))+0.1*(D572-$E$5)^2))</f>
        <v>1.4659088592335026</v>
      </c>
      <c r="H572" s="90" t="str">
        <f>IF(E572="","",IF(E572&gt;$I$5,"OUTLIER",""))</f>
        <v/>
      </c>
      <c r="I572" s="90" t="str">
        <f>IF(F572="","",IF(F572&gt;$I$5,"OUTLIER",""))</f>
        <v>OUTLIER</v>
      </c>
      <c r="J572" s="90" t="str">
        <f>IF(G572="","",IF(G572&gt;$I$5,"OUTLIER",""))</f>
        <v/>
      </c>
      <c r="K572" s="90" t="str">
        <f>IF(C572="","MISSING","")</f>
        <v/>
      </c>
      <c r="L572" s="90" t="str">
        <f>IF(AND(C572&lt;&gt;"",C571&lt;&gt;"",C572=C571),"STALE","")</f>
        <v/>
      </c>
      <c r="M572" s="106">
        <f>IF(D572="","",ABS(D572-G$5))</f>
        <v>1.323288343300081E-2</v>
      </c>
    </row>
    <row r="573" spans="2:13" ht="12.75" customHeight="1" x14ac:dyDescent="0.55000000000000004">
      <c r="B573" s="97">
        <v>45722</v>
      </c>
      <c r="C573" s="89">
        <v>1.0851</v>
      </c>
      <c r="D573" s="91">
        <f>IF(OR(C573="",C572=""),"",LN(C573/C572))</f>
        <v>4.5259394673710521E-3</v>
      </c>
      <c r="E573" s="89">
        <f>IF(D573="","",ABS(D573-$E$5)/$F$5)</f>
        <v>0.86980833499232957</v>
      </c>
      <c r="F573" s="89">
        <f>IF(D573="","",ABS(D573-$G$5)/$H$5)</f>
        <v>1.5134677816104547</v>
      </c>
      <c r="G573" s="89">
        <f>IF(D573="","",ABS(D573-$E$5)/SQRT(0.9*(IF(G572="",$F$5^2,(ABS(D572-$E$5)/MAX(G572,0.0000000001))^2))+0.1*(D573-$E$5)^2))</f>
        <v>0.51098504340601347</v>
      </c>
      <c r="H573" s="90" t="str">
        <f>IF(E573="","",IF(E573&gt;$I$5,"OUTLIER",""))</f>
        <v/>
      </c>
      <c r="I573" s="90" t="str">
        <f>IF(F573="","",IF(F573&gt;$I$5,"OUTLIER",""))</f>
        <v/>
      </c>
      <c r="J573" s="90" t="str">
        <f>IF(G573="","",IF(G573&gt;$I$5,"OUTLIER",""))</f>
        <v/>
      </c>
      <c r="K573" s="90" t="str">
        <f>IF(C573="","MISSING","")</f>
        <v/>
      </c>
      <c r="L573" s="90" t="str">
        <f>IF(AND(C573&lt;&gt;"",C572&lt;&gt;"",C573=C572),"STALE","")</f>
        <v/>
      </c>
      <c r="M573" s="106">
        <f>IF(D573="","",ABS(D573-G$5))</f>
        <v>4.5259394673710521E-3</v>
      </c>
    </row>
    <row r="574" spans="2:13" ht="12.75" customHeight="1" x14ac:dyDescent="0.55000000000000004">
      <c r="B574" s="97">
        <v>45723</v>
      </c>
      <c r="C574" s="89">
        <v>1.0912999999999999</v>
      </c>
      <c r="D574" s="91">
        <f>IF(OR(C574="",C573=""),"",LN(C574/C573))</f>
        <v>5.6974974928820721E-3</v>
      </c>
      <c r="E574" s="89">
        <f>IF(D574="","",ABS(D574-$E$5)/$F$5)</f>
        <v>1.102035874603319</v>
      </c>
      <c r="F574" s="89">
        <f>IF(D574="","",ABS(D574-$G$5)/$H$5)</f>
        <v>1.9052351348154732</v>
      </c>
      <c r="G574" s="89">
        <f>IF(D574="","",ABS(D574-$E$5)/SQRT(0.9*(IF(G573="",$F$5^2,(ABS(D573-$E$5)/MAX(G573,0.0000000001))^2))+0.1*(D574-$E$5)^2))</f>
        <v>0.66707504494787717</v>
      </c>
      <c r="H574" s="90" t="str">
        <f>IF(E574="","",IF(E574&gt;$I$5,"OUTLIER",""))</f>
        <v/>
      </c>
      <c r="I574" s="90" t="str">
        <f>IF(F574="","",IF(F574&gt;$I$5,"OUTLIER",""))</f>
        <v/>
      </c>
      <c r="J574" s="90" t="str">
        <f>IF(G574="","",IF(G574&gt;$I$5,"OUTLIER",""))</f>
        <v/>
      </c>
      <c r="K574" s="90" t="str">
        <f>IF(C574="","MISSING","")</f>
        <v/>
      </c>
      <c r="L574" s="90" t="str">
        <f>IF(AND(C574&lt;&gt;"",C573&lt;&gt;"",C574=C573),"STALE","")</f>
        <v/>
      </c>
      <c r="M574" s="106">
        <f>IF(D574="","",ABS(D574-G$5))</f>
        <v>5.6974974928820721E-3</v>
      </c>
    </row>
    <row r="575" spans="2:13" ht="12.75" customHeight="1" x14ac:dyDescent="0.55000000000000004">
      <c r="B575" s="97">
        <v>45726</v>
      </c>
      <c r="C575" s="89">
        <v>1.0918000000000001</v>
      </c>
      <c r="D575" s="91">
        <f>IF(OR(C575="",C574=""),"",LN(C575/C574))</f>
        <v>4.5806422861324324E-4</v>
      </c>
      <c r="E575" s="89">
        <f>IF(D575="","",ABS(D575-$E$5)/$F$5)</f>
        <v>6.3469564252283076E-2</v>
      </c>
      <c r="F575" s="89">
        <f>IF(D575="","",ABS(D575-$G$5)/$H$5)</f>
        <v>0.15317603271372987</v>
      </c>
      <c r="G575" s="89">
        <f>IF(D575="","",ABS(D575-$E$5)/SQRT(0.9*(IF(G574="",$F$5^2,(ABS(D574-$E$5)/MAX(G574,0.0000000001))^2))+0.1*(D575-$E$5)^2))</f>
        <v>4.0493714293085209E-2</v>
      </c>
      <c r="H575" s="90" t="str">
        <f>IF(E575="","",IF(E575&gt;$I$5,"OUTLIER",""))</f>
        <v/>
      </c>
      <c r="I575" s="90" t="str">
        <f>IF(F575="","",IF(F575&gt;$I$5,"OUTLIER",""))</f>
        <v/>
      </c>
      <c r="J575" s="90" t="str">
        <f>IF(G575="","",IF(G575&gt;$I$5,"OUTLIER",""))</f>
        <v/>
      </c>
      <c r="K575" s="90" t="str">
        <f>IF(C575="","MISSING","")</f>
        <v/>
      </c>
      <c r="L575" s="90" t="str">
        <f>IF(AND(C575&lt;&gt;"",C574&lt;&gt;"",C575=C574),"STALE","")</f>
        <v/>
      </c>
      <c r="M575" s="106">
        <f>IF(D575="","",ABS(D575-G$5))</f>
        <v>4.5806422861324324E-4</v>
      </c>
    </row>
    <row r="576" spans="2:13" ht="12.75" customHeight="1" x14ac:dyDescent="0.55000000000000004">
      <c r="B576" s="97">
        <v>45727</v>
      </c>
      <c r="C576" s="89">
        <v>1.0895999999999999</v>
      </c>
      <c r="D576" s="91">
        <f>IF(OR(C576="",C575=""),"",LN(C576/C575))</f>
        <v>-2.0170539524094794E-3</v>
      </c>
      <c r="E576" s="89">
        <f>IF(D576="","",ABS(D576-$E$5)/$F$5)</f>
        <v>0.42715112453060267</v>
      </c>
      <c r="F576" s="89">
        <f>IF(D576="","",ABS(D576-$G$5)/$H$5)</f>
        <v>0.67449999999999999</v>
      </c>
      <c r="G576" s="89">
        <f>IF(D576="","",ABS(D576-$E$5)/SQRT(0.9*(IF(G575="",$F$5^2,(ABS(D575-$E$5)/MAX(G575,0.0000000001))^2))+0.1*(D576-$E$5)^2))</f>
        <v>0.28608680532012709</v>
      </c>
      <c r="H576" s="90" t="str">
        <f>IF(E576="","",IF(E576&gt;$I$5,"OUTLIER",""))</f>
        <v/>
      </c>
      <c r="I576" s="90" t="str">
        <f>IF(F576="","",IF(F576&gt;$I$5,"OUTLIER",""))</f>
        <v/>
      </c>
      <c r="J576" s="90" t="str">
        <f>IF(G576="","",IF(G576&gt;$I$5,"OUTLIER",""))</f>
        <v/>
      </c>
      <c r="K576" s="90" t="str">
        <f>IF(C576="","MISSING","")</f>
        <v/>
      </c>
      <c r="L576" s="90" t="str">
        <f>IF(AND(C576&lt;&gt;"",C575&lt;&gt;"",C576=C575),"STALE","")</f>
        <v/>
      </c>
      <c r="M576" s="106">
        <f>IF(D576="","",ABS(D576-G$5))</f>
        <v>2.0170539524094794E-3</v>
      </c>
    </row>
    <row r="577" spans="2:13" ht="12.75" customHeight="1" x14ac:dyDescent="0.55000000000000004">
      <c r="B577" s="97">
        <v>45728</v>
      </c>
      <c r="C577" s="89">
        <v>1.0905</v>
      </c>
      <c r="D577" s="91">
        <f>IF(OR(C577="",C576=""),"",LN(C577/C576))</f>
        <v>8.2565024643601454E-4</v>
      </c>
      <c r="E577" s="89">
        <f>IF(D577="","",ABS(D577-$E$5)/$F$5)</f>
        <v>0.1363328750363553</v>
      </c>
      <c r="F577" s="89">
        <f>IF(D577="","",ABS(D577-$G$5)/$H$5)</f>
        <v>0.27609627920752616</v>
      </c>
      <c r="G577" s="89">
        <f>IF(D577="","",ABS(D577-$E$5)/SQRT(0.9*(IF(G576="",$F$5^2,(ABS(D576-$E$5)/MAX(G576,0.0000000001))^2))+0.1*(D577-$E$5)^2))</f>
        <v>9.6204313300743707E-2</v>
      </c>
      <c r="H577" s="90" t="str">
        <f>IF(E577="","",IF(E577&gt;$I$5,"OUTLIER",""))</f>
        <v/>
      </c>
      <c r="I577" s="90" t="str">
        <f>IF(F577="","",IF(F577&gt;$I$5,"OUTLIER",""))</f>
        <v/>
      </c>
      <c r="J577" s="90" t="str">
        <f>IF(G577="","",IF(G577&gt;$I$5,"OUTLIER",""))</f>
        <v/>
      </c>
      <c r="K577" s="90" t="str">
        <f>IF(C577="","MISSING","")</f>
        <v/>
      </c>
      <c r="L577" s="90" t="str">
        <f>IF(AND(C577&lt;&gt;"",C576&lt;&gt;"",C577=C576),"STALE","")</f>
        <v/>
      </c>
      <c r="M577" s="106">
        <f>IF(D577="","",ABS(D577-G$5))</f>
        <v>8.2565024643601454E-4</v>
      </c>
    </row>
    <row r="578" spans="2:13" ht="12.75" customHeight="1" x14ac:dyDescent="0.55000000000000004">
      <c r="B578" s="97">
        <v>45729</v>
      </c>
      <c r="C578" s="89">
        <v>1.0884</v>
      </c>
      <c r="D578" s="91">
        <f>IF(OR(C578="",C577=""),"",LN(C578/C577))</f>
        <v>-1.9275787325925067E-3</v>
      </c>
      <c r="E578" s="89">
        <f>IF(D578="","",ABS(D578-$E$5)/$F$5)</f>
        <v>0.40941524657851863</v>
      </c>
      <c r="F578" s="89">
        <f>IF(D578="","",ABS(D578-$G$5)/$H$5)</f>
        <v>0.644579612548561</v>
      </c>
      <c r="G578" s="89">
        <f>IF(D578="","",ABS(D578-$E$5)/SQRT(0.9*(IF(G577="",$F$5^2,(ABS(D577-$E$5)/MAX(G577,0.0000000001))^2))+0.1*(D578-$E$5)^2))</f>
        <v>0.30313224492343455</v>
      </c>
      <c r="H578" s="90" t="str">
        <f>IF(E578="","",IF(E578&gt;$I$5,"OUTLIER",""))</f>
        <v/>
      </c>
      <c r="I578" s="90" t="str">
        <f>IF(F578="","",IF(F578&gt;$I$5,"OUTLIER",""))</f>
        <v/>
      </c>
      <c r="J578" s="90" t="str">
        <f>IF(G578="","",IF(G578&gt;$I$5,"OUTLIER",""))</f>
        <v/>
      </c>
      <c r="K578" s="90" t="str">
        <f>IF(C578="","MISSING","")</f>
        <v/>
      </c>
      <c r="L578" s="90" t="str">
        <f>IF(AND(C578&lt;&gt;"",C577&lt;&gt;"",C578=C577),"STALE","")</f>
        <v/>
      </c>
      <c r="M578" s="106">
        <f>IF(D578="","",ABS(D578-G$5))</f>
        <v>1.9275787325925067E-3</v>
      </c>
    </row>
    <row r="579" spans="2:13" ht="12.75" customHeight="1" x14ac:dyDescent="0.55000000000000004">
      <c r="B579" s="97">
        <v>45730</v>
      </c>
      <c r="C579" s="89">
        <v>1.0845</v>
      </c>
      <c r="D579" s="91">
        <f>IF(OR(C579="",C578=""),"",LN(C579/C578))</f>
        <v>-3.5896766421621359E-3</v>
      </c>
      <c r="E579" s="89">
        <f>IF(D579="","",ABS(D579-$E$5)/$F$5)</f>
        <v>0.73887814959056664</v>
      </c>
      <c r="F579" s="89">
        <f>IF(D579="","",ABS(D579-$G$5)/$H$5)</f>
        <v>1.2003828118955682</v>
      </c>
      <c r="G579" s="89">
        <f>IF(D579="","",ABS(D579-$E$5)/SQRT(0.9*(IF(G578="",$F$5^2,(ABS(D578-$E$5)/MAX(G578,0.0000000001))^2))+0.1*(D579-$E$5)^2))</f>
        <v>0.5673044861276707</v>
      </c>
      <c r="H579" s="90" t="str">
        <f>IF(E579="","",IF(E579&gt;$I$5,"OUTLIER",""))</f>
        <v/>
      </c>
      <c r="I579" s="90" t="str">
        <f>IF(F579="","",IF(F579&gt;$I$5,"OUTLIER",""))</f>
        <v/>
      </c>
      <c r="J579" s="90" t="str">
        <f>IF(G579="","",IF(G579&gt;$I$5,"OUTLIER",""))</f>
        <v/>
      </c>
      <c r="K579" s="90" t="str">
        <f>IF(C579="","MISSING","")</f>
        <v/>
      </c>
      <c r="L579" s="90" t="str">
        <f>IF(AND(C579&lt;&gt;"",C578&lt;&gt;"",C579=C578),"STALE","")</f>
        <v/>
      </c>
      <c r="M579" s="106">
        <f>IF(D579="","",ABS(D579-G$5))</f>
        <v>3.5896766421621359E-3</v>
      </c>
    </row>
    <row r="580" spans="2:13" ht="12.75" customHeight="1" x14ac:dyDescent="0.55000000000000004">
      <c r="B580" s="97">
        <v>45733</v>
      </c>
      <c r="C580" s="89">
        <v>1.0921000000000001</v>
      </c>
      <c r="D580" s="91">
        <f>IF(OR(C580="",C579=""),"",LN(C580/C579))</f>
        <v>6.9833969367536159E-3</v>
      </c>
      <c r="E580" s="89">
        <f>IF(D580="","",ABS(D580-$E$5)/$F$5)</f>
        <v>1.3569282977994923</v>
      </c>
      <c r="F580" s="89">
        <f>IF(D580="","",ABS(D580-$G$5)/$H$5)</f>
        <v>2.3352380972326525</v>
      </c>
      <c r="G580" s="89">
        <f>IF(D580="","",ABS(D580-$E$5)/SQRT(0.9*(IF(G579="",$F$5^2,(ABS(D579-$E$5)/MAX(G579,0.0000000001))^2))+0.1*(D580-$E$5)^2))</f>
        <v>1.0374164982874572</v>
      </c>
      <c r="H580" s="90" t="str">
        <f>IF(E580="","",IF(E580&gt;$I$5,"OUTLIER",""))</f>
        <v/>
      </c>
      <c r="I580" s="90" t="str">
        <f>IF(F580="","",IF(F580&gt;$I$5,"OUTLIER",""))</f>
        <v/>
      </c>
      <c r="J580" s="90" t="str">
        <f>IF(G580="","",IF(G580&gt;$I$5,"OUTLIER",""))</f>
        <v/>
      </c>
      <c r="K580" s="90" t="str">
        <f>IF(C580="","MISSING","")</f>
        <v/>
      </c>
      <c r="L580" s="90" t="str">
        <f>IF(AND(C580&lt;&gt;"",C579&lt;&gt;"",C580=C579),"STALE","")</f>
        <v/>
      </c>
      <c r="M580" s="106">
        <f>IF(D580="","",ABS(D580-G$5))</f>
        <v>6.9833969367536159E-3</v>
      </c>
    </row>
    <row r="581" spans="2:13" ht="12.75" customHeight="1" x14ac:dyDescent="0.55000000000000004">
      <c r="B581" s="97">
        <v>45734</v>
      </c>
      <c r="C581" s="89">
        <v>1.0914999999999999</v>
      </c>
      <c r="D581" s="91">
        <f>IF(OR(C581="",C580=""),"",LN(C581/C580))</f>
        <v>-5.4955121368428176E-4</v>
      </c>
      <c r="E581" s="89">
        <f>IF(D581="","",ABS(D581-$E$5)/$F$5)</f>
        <v>0.13626109350726467</v>
      </c>
      <c r="F581" s="89">
        <f>IF(D581="","",ABS(D581-$G$5)/$H$5)</f>
        <v>0.18376915163189367</v>
      </c>
      <c r="G581" s="89">
        <f>IF(D581="","",ABS(D581-$E$5)/SQRT(0.9*(IF(G580="",$F$5^2,(ABS(D580-$E$5)/MAX(G580,0.0000000001))^2))+0.1*(D581-$E$5)^2))</f>
        <v>0.10974510960074385</v>
      </c>
      <c r="H581" s="90" t="str">
        <f>IF(E581="","",IF(E581&gt;$I$5,"OUTLIER",""))</f>
        <v/>
      </c>
      <c r="I581" s="90" t="str">
        <f>IF(F581="","",IF(F581&gt;$I$5,"OUTLIER",""))</f>
        <v/>
      </c>
      <c r="J581" s="90" t="str">
        <f>IF(G581="","",IF(G581&gt;$I$5,"OUTLIER",""))</f>
        <v/>
      </c>
      <c r="K581" s="90" t="str">
        <f>IF(C581="","MISSING","")</f>
        <v/>
      </c>
      <c r="L581" s="90" t="str">
        <f>IF(AND(C581&lt;&gt;"",C580&lt;&gt;"",C581=C580),"STALE","")</f>
        <v/>
      </c>
      <c r="M581" s="106">
        <f>IF(D581="","",ABS(D581-G$5))</f>
        <v>5.4955121368428176E-4</v>
      </c>
    </row>
    <row r="582" spans="2:13" ht="12.75" customHeight="1" x14ac:dyDescent="0.55000000000000004">
      <c r="B582" s="97">
        <v>45735</v>
      </c>
      <c r="C582" s="89">
        <v>1.0868</v>
      </c>
      <c r="D582" s="91">
        <f>IF(OR(C582="",C581=""),"",LN(C582/C581))</f>
        <v>-4.315298437805897E-3</v>
      </c>
      <c r="E582" s="89">
        <f>IF(D582="","",ABS(D582-$E$5)/$F$5)</f>
        <v>0.88271171192475562</v>
      </c>
      <c r="F582" s="89">
        <f>IF(D582="","",ABS(D582-$G$5)/$H$5)</f>
        <v>1.4430297180812279</v>
      </c>
      <c r="G582" s="89">
        <f>IF(D582="","",ABS(D582-$E$5)/SQRT(0.9*(IF(G581="",$F$5^2,(ABS(D581-$E$5)/MAX(G581,0.0000000001))^2))+0.1*(D582-$E$5)^2))</f>
        <v>0.72919926440406102</v>
      </c>
      <c r="H582" s="90" t="str">
        <f>IF(E582="","",IF(E582&gt;$I$5,"OUTLIER",""))</f>
        <v/>
      </c>
      <c r="I582" s="90" t="str">
        <f>IF(F582="","",IF(F582&gt;$I$5,"OUTLIER",""))</f>
        <v/>
      </c>
      <c r="J582" s="90" t="str">
        <f>IF(G582="","",IF(G582&gt;$I$5,"OUTLIER",""))</f>
        <v/>
      </c>
      <c r="K582" s="90" t="str">
        <f>IF(C582="","MISSING","")</f>
        <v/>
      </c>
      <c r="L582" s="90" t="str">
        <f>IF(AND(C582&lt;&gt;"",C581&lt;&gt;"",C582=C581),"STALE","")</f>
        <v/>
      </c>
      <c r="M582" s="106">
        <f>IF(D582="","",ABS(D582-G$5))</f>
        <v>4.315298437805897E-3</v>
      </c>
    </row>
    <row r="583" spans="2:13" ht="12.75" customHeight="1" x14ac:dyDescent="0.55000000000000004">
      <c r="B583" s="97">
        <v>45736</v>
      </c>
      <c r="C583" s="89">
        <v>1.0820000000000001</v>
      </c>
      <c r="D583" s="91">
        <f>IF(OR(C583="",C582=""),"",LN(C583/C582))</f>
        <v>-4.4264181457657646E-3</v>
      </c>
      <c r="E583" s="89">
        <f>IF(D583="","",ABS(D583-$E$5)/$F$5)</f>
        <v>0.90473798447797027</v>
      </c>
      <c r="F583" s="89">
        <f>IF(D583="","",ABS(D583-$G$5)/$H$5)</f>
        <v>1.4801879918742509</v>
      </c>
      <c r="G583" s="89">
        <f>IF(D583="","",ABS(D583-$E$5)/SQRT(0.9*(IF(G582="",$F$5^2,(ABS(D582-$E$5)/MAX(G582,0.0000000001))^2))+0.1*(D583-$E$5)^2))</f>
        <v>0.76445694603057168</v>
      </c>
      <c r="H583" s="90" t="str">
        <f>IF(E583="","",IF(E583&gt;$I$5,"OUTLIER",""))</f>
        <v/>
      </c>
      <c r="I583" s="90" t="str">
        <f>IF(F583="","",IF(F583&gt;$I$5,"OUTLIER",""))</f>
        <v/>
      </c>
      <c r="J583" s="90" t="str">
        <f>IF(G583="","",IF(G583&gt;$I$5,"OUTLIER",""))</f>
        <v/>
      </c>
      <c r="K583" s="90" t="str">
        <f>IF(C583="","MISSING","")</f>
        <v/>
      </c>
      <c r="L583" s="90" t="str">
        <f>IF(AND(C583&lt;&gt;"",C582&lt;&gt;"",C583=C582),"STALE","")</f>
        <v/>
      </c>
      <c r="M583" s="106">
        <f>IF(D583="","",ABS(D583-G$5))</f>
        <v>4.4264181457657646E-3</v>
      </c>
    </row>
    <row r="584" spans="2:13" ht="12.75" customHeight="1" x14ac:dyDescent="0.55000000000000004">
      <c r="B584" s="97">
        <v>45737</v>
      </c>
      <c r="C584" s="89">
        <v>1.0824</v>
      </c>
      <c r="D584" s="91">
        <f>IF(OR(C584="",C583=""),"",LN(C584/C583))</f>
        <v>3.6961745015132408E-4</v>
      </c>
      <c r="E584" s="89">
        <f>IF(D584="","",ABS(D584-$E$5)/$F$5)</f>
        <v>4.5937545093632765E-2</v>
      </c>
      <c r="F584" s="89">
        <f>IF(D584="","",ABS(D584-$G$5)/$H$5)</f>
        <v>0.12359955460252191</v>
      </c>
      <c r="G584" s="89">
        <f>IF(D584="","",ABS(D584-$E$5)/SQRT(0.9*(IF(G583="",$F$5^2,(ABS(D583-$E$5)/MAX(G583,0.0000000001))^2))+0.1*(D584-$E$5)^2))</f>
        <v>4.0911027561108634E-2</v>
      </c>
      <c r="H584" s="90" t="str">
        <f>IF(E584="","",IF(E584&gt;$I$5,"OUTLIER",""))</f>
        <v/>
      </c>
      <c r="I584" s="90" t="str">
        <f>IF(F584="","",IF(F584&gt;$I$5,"OUTLIER",""))</f>
        <v/>
      </c>
      <c r="J584" s="90" t="str">
        <f>IF(G584="","",IF(G584&gt;$I$5,"OUTLIER",""))</f>
        <v/>
      </c>
      <c r="K584" s="90" t="str">
        <f>IF(C584="","MISSING","")</f>
        <v/>
      </c>
      <c r="L584" s="90" t="str">
        <f>IF(AND(C584&lt;&gt;"",C583&lt;&gt;"",C584=C583),"STALE","")</f>
        <v/>
      </c>
      <c r="M584" s="106">
        <f>IF(D584="","",ABS(D584-G$5))</f>
        <v>3.6961745015132408E-4</v>
      </c>
    </row>
    <row r="585" spans="2:13" ht="12.75" customHeight="1" x14ac:dyDescent="0.55000000000000004">
      <c r="B585" s="97">
        <v>45740</v>
      </c>
      <c r="C585" s="89">
        <v>1.0799000000000001</v>
      </c>
      <c r="D585" s="91">
        <f>IF(OR(C585="",C584=""),"",LN(C585/C584))</f>
        <v>-2.3123536178641271E-3</v>
      </c>
      <c r="E585" s="89">
        <f>IF(D585="","",ABS(D585-$E$5)/$F$5)</f>
        <v>0.48568575385599927</v>
      </c>
      <c r="F585" s="89">
        <f>IF(D585="","",ABS(D585-$G$5)/$H$5)</f>
        <v>0.77324779210106354</v>
      </c>
      <c r="G585" s="89">
        <f>IF(D585="","",ABS(D585-$E$5)/SQRT(0.9*(IF(G584="",$F$5^2,(ABS(D584-$E$5)/MAX(G584,0.0000000001))^2))+0.1*(D585-$E$5)^2))</f>
        <v>0.45127256333779642</v>
      </c>
      <c r="H585" s="90" t="str">
        <f>IF(E585="","",IF(E585&gt;$I$5,"OUTLIER",""))</f>
        <v/>
      </c>
      <c r="I585" s="90" t="str">
        <f>IF(F585="","",IF(F585&gt;$I$5,"OUTLIER",""))</f>
        <v/>
      </c>
      <c r="J585" s="90" t="str">
        <f>IF(G585="","",IF(G585&gt;$I$5,"OUTLIER",""))</f>
        <v/>
      </c>
      <c r="K585" s="90" t="str">
        <f>IF(C585="","MISSING","")</f>
        <v/>
      </c>
      <c r="L585" s="90" t="str">
        <f>IF(AND(C585&lt;&gt;"",C584&lt;&gt;"",C585=C584),"STALE","")</f>
        <v/>
      </c>
      <c r="M585" s="106">
        <f>IF(D585="","",ABS(D585-G$5))</f>
        <v>2.3123536178641271E-3</v>
      </c>
    </row>
    <row r="586" spans="2:13" ht="12.75" customHeight="1" x14ac:dyDescent="0.55000000000000004">
      <c r="B586" s="97">
        <v>45741</v>
      </c>
      <c r="C586" s="89">
        <v>1.0806</v>
      </c>
      <c r="D586" s="91">
        <f>IF(OR(C586="",C585=""),"",LN(C586/C585))</f>
        <v>6.4799817125126881E-4</v>
      </c>
      <c r="E586" s="89">
        <f>IF(D586="","",ABS(D586-$E$5)/$F$5)</f>
        <v>0.10111848238265406</v>
      </c>
      <c r="F586" s="89">
        <f>IF(D586="","",ABS(D586-$G$5)/$H$5)</f>
        <v>0.21668967554728594</v>
      </c>
      <c r="G586" s="89">
        <f>IF(D586="","",ABS(D586-$E$5)/SQRT(0.9*(IF(G585="",$F$5^2,(ABS(D585-$E$5)/MAX(G585,0.0000000001))^2))+0.1*(D586-$E$5)^2))</f>
        <v>9.8987413623549764E-2</v>
      </c>
      <c r="H586" s="90" t="str">
        <f>IF(E586="","",IF(E586&gt;$I$5,"OUTLIER",""))</f>
        <v/>
      </c>
      <c r="I586" s="90" t="str">
        <f>IF(F586="","",IF(F586&gt;$I$5,"OUTLIER",""))</f>
        <v/>
      </c>
      <c r="J586" s="90" t="str">
        <f>IF(G586="","",IF(G586&gt;$I$5,"OUTLIER",""))</f>
        <v/>
      </c>
      <c r="K586" s="90" t="str">
        <f>IF(C586="","MISSING","")</f>
        <v/>
      </c>
      <c r="L586" s="90" t="str">
        <f>IF(AND(C586&lt;&gt;"",C585&lt;&gt;"",C586=C585),"STALE","")</f>
        <v/>
      </c>
      <c r="M586" s="106">
        <f>IF(D586="","",ABS(D586-G$5))</f>
        <v>6.4799817125126881E-4</v>
      </c>
    </row>
    <row r="587" spans="2:13" ht="12.75" customHeight="1" x14ac:dyDescent="0.55000000000000004">
      <c r="B587" s="97">
        <v>45742</v>
      </c>
      <c r="C587" s="89">
        <v>1.0741000000000001</v>
      </c>
      <c r="D587" s="91">
        <f>IF(OR(C587="",C586=""),"",LN(C587/C586))</f>
        <v>-6.0333408059640714E-3</v>
      </c>
      <c r="E587" s="89">
        <f>IF(D587="","",ABS(D587-$E$5)/$F$5)</f>
        <v>1.223263987968259</v>
      </c>
      <c r="F587" s="89">
        <f>IF(D587="","",ABS(D587-$G$5)/$H$5)</f>
        <v>2.0175406655640238</v>
      </c>
      <c r="G587" s="89">
        <f>IF(D587="","",ABS(D587-$E$5)/SQRT(0.9*(IF(G586="",$F$5^2,(ABS(D586-$E$5)/MAX(G586,0.0000000001))^2))+0.1*(D587-$E$5)^2))</f>
        <v>1.1723165304954637</v>
      </c>
      <c r="H587" s="90" t="str">
        <f>IF(E587="","",IF(E587&gt;$I$5,"OUTLIER",""))</f>
        <v/>
      </c>
      <c r="I587" s="90" t="str">
        <f>IF(F587="","",IF(F587&gt;$I$5,"OUTLIER",""))</f>
        <v/>
      </c>
      <c r="J587" s="90" t="str">
        <f>IF(G587="","",IF(G587&gt;$I$5,"OUTLIER",""))</f>
        <v/>
      </c>
      <c r="K587" s="90" t="str">
        <f>IF(C587="","MISSING","")</f>
        <v/>
      </c>
      <c r="L587" s="90" t="str">
        <f>IF(AND(C587&lt;&gt;"",C586&lt;&gt;"",C587=C586),"STALE","")</f>
        <v/>
      </c>
      <c r="M587" s="106">
        <f>IF(D587="","",ABS(D587-G$5))</f>
        <v>6.0333408059640714E-3</v>
      </c>
    </row>
    <row r="588" spans="2:13" ht="12.75" customHeight="1" x14ac:dyDescent="0.55000000000000004">
      <c r="B588" s="97">
        <v>45743</v>
      </c>
      <c r="C588" s="89">
        <v>1.0799000000000001</v>
      </c>
      <c r="D588" s="91">
        <f>IF(OR(C588="",C587=""),"",LN(C588/C587))</f>
        <v>5.3853426347127663E-3</v>
      </c>
      <c r="E588" s="89">
        <f>IF(D588="","",ABS(D588-$E$5)/$F$5)</f>
        <v>1.0401601901628017</v>
      </c>
      <c r="F588" s="89">
        <f>IF(D588="","",ABS(D588-$G$5)/$H$5)</f>
        <v>1.8008509900167258</v>
      </c>
      <c r="G588" s="89">
        <f>IF(D588="","",ABS(D588-$E$5)/SQRT(0.9*(IF(G587="",$F$5^2,(ABS(D587-$E$5)/MAX(G587,0.0000000001))^2))+0.1*(D588-$E$5)^2))</f>
        <v>0.99715355649219095</v>
      </c>
      <c r="H588" s="90" t="str">
        <f>IF(E588="","",IF(E588&gt;$I$5,"OUTLIER",""))</f>
        <v/>
      </c>
      <c r="I588" s="90" t="str">
        <f>IF(F588="","",IF(F588&gt;$I$5,"OUTLIER",""))</f>
        <v/>
      </c>
      <c r="J588" s="90" t="str">
        <f>IF(G588="","",IF(G588&gt;$I$5,"OUTLIER",""))</f>
        <v/>
      </c>
      <c r="K588" s="90" t="str">
        <f>IF(C588="","MISSING","")</f>
        <v/>
      </c>
      <c r="L588" s="90" t="str">
        <f>IF(AND(C588&lt;&gt;"",C587&lt;&gt;"",C588=C587),"STALE","")</f>
        <v/>
      </c>
      <c r="M588" s="106">
        <f>IF(D588="","",ABS(D588-G$5))</f>
        <v>5.3853426347127663E-3</v>
      </c>
    </row>
    <row r="589" spans="2:13" ht="12.75" customHeight="1" x14ac:dyDescent="0.55000000000000004">
      <c r="B589" s="97">
        <v>45744</v>
      </c>
      <c r="C589" s="89">
        <v>1.0812999999999999</v>
      </c>
      <c r="D589" s="91">
        <f>IF(OR(C589="",C588=""),"",LN(C589/C588))</f>
        <v>1.295576712777213E-3</v>
      </c>
      <c r="E589" s="89">
        <f>IF(D589="","",ABS(D589-$E$5)/$F$5)</f>
        <v>0.22948222376699265</v>
      </c>
      <c r="F589" s="89">
        <f>IF(D589="","",ABS(D589-$G$5)/$H$5)</f>
        <v>0.43323902750561016</v>
      </c>
      <c r="G589" s="89">
        <f>IF(D589="","",ABS(D589-$E$5)/SQRT(0.9*(IF(G588="",$F$5^2,(ABS(D588-$E$5)/MAX(G588,0.0000000001))^2))+0.1*(D589-$E$5)^2))</f>
        <v>0.2312730521283265</v>
      </c>
      <c r="H589" s="90" t="str">
        <f>IF(E589="","",IF(E589&gt;$I$5,"OUTLIER",""))</f>
        <v/>
      </c>
      <c r="I589" s="90" t="str">
        <f>IF(F589="","",IF(F589&gt;$I$5,"OUTLIER",""))</f>
        <v/>
      </c>
      <c r="J589" s="90" t="str">
        <f>IF(G589="","",IF(G589&gt;$I$5,"OUTLIER",""))</f>
        <v/>
      </c>
      <c r="K589" s="90" t="str">
        <f>IF(C589="","MISSING","")</f>
        <v/>
      </c>
      <c r="L589" s="90" t="str">
        <f>IF(AND(C589&lt;&gt;"",C588&lt;&gt;"",C589=C588),"STALE","")</f>
        <v/>
      </c>
      <c r="M589" s="106">
        <f>IF(D589="","",ABS(D589-G$5))</f>
        <v>1.295576712777213E-3</v>
      </c>
    </row>
    <row r="590" spans="2:13" ht="12.75" customHeight="1" x14ac:dyDescent="0.55000000000000004">
      <c r="B590" s="97">
        <v>45747</v>
      </c>
      <c r="C590" s="89">
        <v>1.083</v>
      </c>
      <c r="D590" s="91">
        <f>IF(OR(C590="",C589=""),"",LN(C590/C589))</f>
        <v>1.5709470494991869E-3</v>
      </c>
      <c r="E590" s="89">
        <f>IF(D590="","",ABS(D590-$E$5)/$F$5)</f>
        <v>0.28406643930416164</v>
      </c>
      <c r="F590" s="89">
        <f>IF(D590="","",ABS(D590-$G$5)/$H$5)</f>
        <v>0.52532248015549998</v>
      </c>
      <c r="G590" s="89">
        <f>IF(D590="","",ABS(D590-$E$5)/SQRT(0.9*(IF(G589="",$F$5^2,(ABS(D589-$E$5)/MAX(G589,0.0000000001))^2))+0.1*(D590-$E$5)^2))</f>
        <v>0.3004043125290296</v>
      </c>
      <c r="H590" s="90" t="str">
        <f>IF(E590="","",IF(E590&gt;$I$5,"OUTLIER",""))</f>
        <v/>
      </c>
      <c r="I590" s="90" t="str">
        <f>IF(F590="","",IF(F590&gt;$I$5,"OUTLIER",""))</f>
        <v/>
      </c>
      <c r="J590" s="90" t="str">
        <f>IF(G590="","",IF(G590&gt;$I$5,"OUTLIER",""))</f>
        <v/>
      </c>
      <c r="K590" s="90" t="str">
        <f>IF(C590="","MISSING","")</f>
        <v/>
      </c>
      <c r="L590" s="90" t="str">
        <f>IF(AND(C590&lt;&gt;"",C589&lt;&gt;"",C590=C589),"STALE","")</f>
        <v/>
      </c>
      <c r="M590" s="106">
        <f>IF(D590="","",ABS(D590-G$5))</f>
        <v>1.5709470494991869E-3</v>
      </c>
    </row>
    <row r="591" spans="2:13" ht="12.75" customHeight="1" x14ac:dyDescent="0.55000000000000004">
      <c r="B591" s="97">
        <v>45748</v>
      </c>
      <c r="C591" s="89">
        <v>1.0747</v>
      </c>
      <c r="D591" s="91">
        <f>IF(OR(C591="",C590=""),"",LN(C591/C590))</f>
        <v>-7.6934151538829822E-3</v>
      </c>
      <c r="E591" s="89">
        <f>IF(D591="","",ABS(D591-$E$5)/$F$5)</f>
        <v>1.5523257783310271</v>
      </c>
      <c r="F591" s="89">
        <f>IF(D591="","",ABS(D591-$G$5)/$H$5)</f>
        <v>2.5726671887458847</v>
      </c>
      <c r="G591" s="89">
        <f>IF(D591="","",ABS(D591-$E$5)/SQRT(0.9*(IF(G590="",$F$5^2,(ABS(D590-$E$5)/MAX(G590,0.0000000001))^2))+0.1*(D591-$E$5)^2))</f>
        <v>1.5179985641402669</v>
      </c>
      <c r="H591" s="90" t="str">
        <f>IF(E591="","",IF(E591&gt;$I$5,"OUTLIER",""))</f>
        <v/>
      </c>
      <c r="I591" s="90" t="str">
        <f>IF(F591="","",IF(F591&gt;$I$5,"OUTLIER",""))</f>
        <v/>
      </c>
      <c r="J591" s="90" t="str">
        <f>IF(G591="","",IF(G591&gt;$I$5,"OUTLIER",""))</f>
        <v/>
      </c>
      <c r="K591" s="90" t="str">
        <f>IF(C591="","MISSING","")</f>
        <v/>
      </c>
      <c r="L591" s="90" t="str">
        <f>IF(AND(C591&lt;&gt;"",C590&lt;&gt;"",C591=C590),"STALE","")</f>
        <v/>
      </c>
      <c r="M591" s="106">
        <f>IF(D591="","",ABS(D591-G$5))</f>
        <v>7.6934151538829822E-3</v>
      </c>
    </row>
    <row r="592" spans="2:13" ht="12.75" customHeight="1" x14ac:dyDescent="0.55000000000000004">
      <c r="B592" s="97">
        <v>45749</v>
      </c>
      <c r="C592" s="89">
        <v>1.0899000000000001</v>
      </c>
      <c r="D592" s="91">
        <f>IF(OR(C592="",C591=""),"",LN(C592/C591))</f>
        <v>1.4044396048158389E-2</v>
      </c>
      <c r="E592" s="89">
        <f>IF(D592="","",ABS(D592-$E$5)/$F$5)</f>
        <v>2.756567423758848</v>
      </c>
      <c r="F592" s="89">
        <f>IF(D592="","",ABS(D592-$G$5)/$H$5)</f>
        <v>4.6964262523403955</v>
      </c>
      <c r="G592" s="89">
        <f>IF(D592="","",ABS(D592-$E$5)/SQRT(0.9*(IF(G591="",$F$5^2,(ABS(D591-$E$5)/MAX(G591,0.0000000001))^2))+0.1*(D592-$E$5)^2))</f>
        <v>2.113549976334856</v>
      </c>
      <c r="H592" s="90" t="str">
        <f>IF(E592="","",IF(E592&gt;$I$5,"OUTLIER",""))</f>
        <v/>
      </c>
      <c r="I592" s="90" t="str">
        <f>IF(F592="","",IF(F592&gt;$I$5,"OUTLIER",""))</f>
        <v>OUTLIER</v>
      </c>
      <c r="J592" s="90" t="str">
        <f>IF(G592="","",IF(G592&gt;$I$5,"OUTLIER",""))</f>
        <v/>
      </c>
      <c r="K592" s="90" t="str">
        <f>IF(C592="","MISSING","")</f>
        <v/>
      </c>
      <c r="L592" s="90" t="str">
        <f>IF(AND(C592&lt;&gt;"",C591&lt;&gt;"",C592=C591),"STALE","")</f>
        <v/>
      </c>
      <c r="M592" s="106">
        <f>IF(D592="","",ABS(D592-G$5))</f>
        <v>1.4044396048158389E-2</v>
      </c>
    </row>
    <row r="593" spans="2:13" ht="12.75" customHeight="1" x14ac:dyDescent="0.55000000000000004">
      <c r="B593" s="97">
        <v>45750</v>
      </c>
      <c r="C593" s="89">
        <v>1.0980000000000001</v>
      </c>
      <c r="D593" s="91">
        <f>IF(OR(C593="",C592=""),"",LN(C593/C592))</f>
        <v>7.404394174210089E-3</v>
      </c>
      <c r="E593" s="89">
        <f>IF(D593="","",ABS(D593-$E$5)/$F$5)</f>
        <v>1.4403788401615705</v>
      </c>
      <c r="F593" s="89">
        <f>IF(D593="","",ABS(D593-$G$5)/$H$5)</f>
        <v>2.4760189803246404</v>
      </c>
      <c r="G593" s="89">
        <f>IF(D593="","",ABS(D593-$E$5)/SQRT(0.9*(IF(G592="",$F$5^2,(ABS(D592-$E$5)/MAX(G592,0.0000000001))^2))+0.1*(D593-$E$5)^2))</f>
        <v>1.0924517445488651</v>
      </c>
      <c r="H593" s="90" t="str">
        <f>IF(E593="","",IF(E593&gt;$I$5,"OUTLIER",""))</f>
        <v/>
      </c>
      <c r="I593" s="90" t="str">
        <f>IF(F593="","",IF(F593&gt;$I$5,"OUTLIER",""))</f>
        <v/>
      </c>
      <c r="J593" s="90" t="str">
        <f>IF(G593="","",IF(G593&gt;$I$5,"OUTLIER",""))</f>
        <v/>
      </c>
      <c r="K593" s="90" t="str">
        <f>IF(C593="","MISSING","")</f>
        <v/>
      </c>
      <c r="L593" s="90" t="str">
        <f>IF(AND(C593&lt;&gt;"",C592&lt;&gt;"",C593=C592),"STALE","")</f>
        <v/>
      </c>
      <c r="M593" s="106">
        <f>IF(D593="","",ABS(D593-G$5))</f>
        <v>7.404394174210089E-3</v>
      </c>
    </row>
    <row r="594" spans="2:13" ht="12.75" customHeight="1" x14ac:dyDescent="0.55000000000000004">
      <c r="B594" s="97">
        <v>45751</v>
      </c>
      <c r="C594" s="89">
        <v>1.0972999999999999</v>
      </c>
      <c r="D594" s="91">
        <f>IF(OR(C594="",C593=""),"",LN(C594/C593))</f>
        <v>-6.37726072722649E-4</v>
      </c>
      <c r="E594" s="89">
        <f>IF(D594="","",ABS(D594-$E$5)/$F$5)</f>
        <v>0.15373921249423858</v>
      </c>
      <c r="F594" s="89">
        <f>IF(D594="","",ABS(D594-$G$5)/$H$5)</f>
        <v>0.21325470027095406</v>
      </c>
      <c r="G594" s="89">
        <f>IF(D594="","",ABS(D594-$E$5)/SQRT(0.9*(IF(G593="",$F$5^2,(ABS(D593-$E$5)/MAX(G593,0.0000000001))^2))+0.1*(D594-$E$5)^2))</f>
        <v>0.12281774823556375</v>
      </c>
      <c r="H594" s="90" t="str">
        <f>IF(E594="","",IF(E594&gt;$I$5,"OUTLIER",""))</f>
        <v/>
      </c>
      <c r="I594" s="90" t="str">
        <f>IF(F594="","",IF(F594&gt;$I$5,"OUTLIER",""))</f>
        <v/>
      </c>
      <c r="J594" s="90" t="str">
        <f>IF(G594="","",IF(G594&gt;$I$5,"OUTLIER",""))</f>
        <v/>
      </c>
      <c r="K594" s="90" t="str">
        <f>IF(C594="","MISSING","")</f>
        <v/>
      </c>
      <c r="L594" s="90" t="str">
        <f>IF(AND(C594&lt;&gt;"",C593&lt;&gt;"",C594=C593),"STALE","")</f>
        <v/>
      </c>
      <c r="M594" s="106">
        <f>IF(D594="","",ABS(D594-G$5))</f>
        <v>6.37726072722649E-4</v>
      </c>
    </row>
    <row r="595" spans="2:13" ht="12.75" customHeight="1" x14ac:dyDescent="0.55000000000000004">
      <c r="B595" s="97">
        <v>45754</v>
      </c>
      <c r="C595" s="89">
        <v>1.0971</v>
      </c>
      <c r="D595" s="91">
        <f>IF(OR(C595="",C594=""),"",LN(C595/C594))</f>
        <v>-1.8228217330822492E-4</v>
      </c>
      <c r="E595" s="89">
        <f>IF(D595="","",ABS(D595-$E$5)/$F$5)</f>
        <v>6.3460614346517785E-2</v>
      </c>
      <c r="F595" s="89">
        <f>IF(D595="","",ABS(D595-$G$5)/$H$5)</f>
        <v>6.0954901949711419E-2</v>
      </c>
      <c r="G595" s="89">
        <f>IF(D595="","",ABS(D595-$E$5)/SQRT(0.9*(IF(G594="",$F$5^2,(ABS(D594-$E$5)/MAX(G594,0.0000000001))^2))+0.1*(D595-$E$5)^2))</f>
        <v>5.3431515583739118E-2</v>
      </c>
      <c r="H595" s="90" t="str">
        <f>IF(E595="","",IF(E595&gt;$I$5,"OUTLIER",""))</f>
        <v/>
      </c>
      <c r="I595" s="90" t="str">
        <f>IF(F595="","",IF(F595&gt;$I$5,"OUTLIER",""))</f>
        <v/>
      </c>
      <c r="J595" s="90" t="str">
        <f>IF(G595="","",IF(G595&gt;$I$5,"OUTLIER",""))</f>
        <v/>
      </c>
      <c r="K595" s="90" t="str">
        <f>IF(C595="","MISSING","")</f>
        <v/>
      </c>
      <c r="L595" s="90" t="str">
        <f>IF(AND(C595&lt;&gt;"",C594&lt;&gt;"",C595=C594),"STALE","")</f>
        <v/>
      </c>
      <c r="M595" s="106">
        <f>IF(D595="","",ABS(D595-G$5))</f>
        <v>1.8228217330822492E-4</v>
      </c>
    </row>
    <row r="596" spans="2:13" ht="12.75" customHeight="1" x14ac:dyDescent="0.55000000000000004">
      <c r="B596" s="97">
        <v>45755</v>
      </c>
      <c r="C596" s="89">
        <v>1.0934999999999999</v>
      </c>
      <c r="D596" s="91">
        <f>IF(OR(C596="",C595=""),"",LN(C596/C595))</f>
        <v>-3.2867737066226976E-3</v>
      </c>
      <c r="E596" s="89">
        <f>IF(D596="","",ABS(D596-$E$5)/$F$5)</f>
        <v>0.67883639158153652</v>
      </c>
      <c r="F596" s="89">
        <f>IF(D596="","",ABS(D596-$G$5)/$H$5)</f>
        <v>1.0990924969898643</v>
      </c>
      <c r="G596" s="89">
        <f>IF(D596="","",ABS(D596-$E$5)/SQRT(0.9*(IF(G595="",$F$5^2,(ABS(D595-$E$5)/MAX(G595,0.0000000001))^2))+0.1*(D596-$E$5)^2))</f>
        <v>0.59182717383869388</v>
      </c>
      <c r="H596" s="90" t="str">
        <f>IF(E596="","",IF(E596&gt;$I$5,"OUTLIER",""))</f>
        <v/>
      </c>
      <c r="I596" s="90" t="str">
        <f>IF(F596="","",IF(F596&gt;$I$5,"OUTLIER",""))</f>
        <v/>
      </c>
      <c r="J596" s="90" t="str">
        <f>IF(G596="","",IF(G596&gt;$I$5,"OUTLIER",""))</f>
        <v/>
      </c>
      <c r="K596" s="90" t="str">
        <f>IF(C596="","MISSING","")</f>
        <v/>
      </c>
      <c r="L596" s="90" t="str">
        <f>IF(AND(C596&lt;&gt;"",C595&lt;&gt;"",C596=C595),"STALE","")</f>
        <v/>
      </c>
      <c r="M596" s="106">
        <f>IF(D596="","",ABS(D596-G$5))</f>
        <v>3.2867737066226976E-3</v>
      </c>
    </row>
    <row r="597" spans="2:13" ht="12.75" customHeight="1" x14ac:dyDescent="0.55000000000000004">
      <c r="B597" s="97">
        <v>45756</v>
      </c>
      <c r="C597" s="89">
        <v>1.1083000000000001</v>
      </c>
      <c r="D597" s="91">
        <f>IF(OR(C597="",C596=""),"",LN(C597/C596))</f>
        <v>1.344374866478488E-2</v>
      </c>
      <c r="E597" s="89">
        <f>IF(D597="","",ABS(D597-$E$5)/$F$5)</f>
        <v>2.6375064289320949</v>
      </c>
      <c r="F597" s="89">
        <f>IF(D597="","",ABS(D597-$G$5)/$H$5)</f>
        <v>4.4955706135502309</v>
      </c>
      <c r="G597" s="89">
        <f>IF(D597="","",ABS(D597-$E$5)/SQRT(0.9*(IF(G596="",$F$5^2,(ABS(D596-$E$5)/MAX(G596,0.0000000001))^2))+0.1*(D597-$E$5)^2))</f>
        <v>1.9237378316138609</v>
      </c>
      <c r="H597" s="90" t="str">
        <f>IF(E597="","",IF(E597&gt;$I$5,"OUTLIER",""))</f>
        <v/>
      </c>
      <c r="I597" s="90" t="str">
        <f>IF(F597="","",IF(F597&gt;$I$5,"OUTLIER",""))</f>
        <v>OUTLIER</v>
      </c>
      <c r="J597" s="90" t="str">
        <f>IF(G597="","",IF(G597&gt;$I$5,"OUTLIER",""))</f>
        <v/>
      </c>
      <c r="K597" s="90" t="str">
        <f>IF(C597="","MISSING","")</f>
        <v/>
      </c>
      <c r="L597" s="90" t="str">
        <f>IF(AND(C597&lt;&gt;"",C596&lt;&gt;"",C597=C596),"STALE","")</f>
        <v/>
      </c>
      <c r="M597" s="106">
        <f>IF(D597="","",ABS(D597-G$5))</f>
        <v>1.344374866478488E-2</v>
      </c>
    </row>
    <row r="598" spans="2:13" ht="12.75" customHeight="1" x14ac:dyDescent="0.55000000000000004">
      <c r="B598" s="97">
        <v>45757</v>
      </c>
      <c r="C598" s="89">
        <v>1.1315999999999999</v>
      </c>
      <c r="D598" s="91">
        <f>IF(OR(C598="",C597=""),"",LN(C598/C597))</f>
        <v>2.0805250645804636E-2</v>
      </c>
      <c r="E598" s="89">
        <f>IF(D598="","",ABS(D598-$E$5)/$F$5)</f>
        <v>4.0967115691537748</v>
      </c>
      <c r="F598" s="89">
        <f>IF(D598="","",ABS(D598-$G$5)/$H$5)</f>
        <v>6.9572465048998238</v>
      </c>
      <c r="G598" s="89">
        <f>IF(D598="","",ABS(D598-$E$5)/SQRT(0.9*(IF(G597="",$F$5^2,(ABS(D597-$E$5)/MAX(G597,0.0000000001))^2))+0.1*(D598-$E$5)^2))</f>
        <v>2.2316008520927548</v>
      </c>
      <c r="H598" s="90" t="str">
        <f>IF(E598="","",IF(E598&gt;$I$5,"OUTLIER",""))</f>
        <v>OUTLIER</v>
      </c>
      <c r="I598" s="90" t="str">
        <f>IF(F598="","",IF(F598&gt;$I$5,"OUTLIER",""))</f>
        <v>OUTLIER</v>
      </c>
      <c r="J598" s="90" t="str">
        <f>IF(G598="","",IF(G598&gt;$I$5,"OUTLIER",""))</f>
        <v/>
      </c>
      <c r="K598" s="90" t="str">
        <f>IF(C598="","MISSING","")</f>
        <v/>
      </c>
      <c r="L598" s="90" t="str">
        <f>IF(AND(C598&lt;&gt;"",C597&lt;&gt;"",C598=C597),"STALE","")</f>
        <v/>
      </c>
      <c r="M598" s="106">
        <f>IF(D598="","",ABS(D598-G$5))</f>
        <v>2.0805250645804636E-2</v>
      </c>
    </row>
    <row r="599" spans="2:13" ht="12.75" customHeight="1" x14ac:dyDescent="0.55000000000000004">
      <c r="B599" s="97">
        <v>45758</v>
      </c>
      <c r="C599" s="89">
        <v>1.1355999999999999</v>
      </c>
      <c r="D599" s="91">
        <f>IF(OR(C599="",C598=""),"",LN(C599/C598))</f>
        <v>3.5285851714040493E-3</v>
      </c>
      <c r="E599" s="89">
        <f>IF(D599="","",ABS(D599-$E$5)/$F$5)</f>
        <v>0.67211165311279519</v>
      </c>
      <c r="F599" s="89">
        <f>IF(D599="","",ABS(D599-$G$5)/$H$5)</f>
        <v>1.179953910141549</v>
      </c>
      <c r="G599" s="89">
        <f>IF(D599="","",ABS(D599-$E$5)/SQRT(0.9*(IF(G598="",$F$5^2,(ABS(D598-$E$5)/MAX(G598,0.0000000001))^2))+0.1*(D599-$E$5)^2))</f>
        <v>0.38308136170786172</v>
      </c>
      <c r="H599" s="90" t="str">
        <f>IF(E599="","",IF(E599&gt;$I$5,"OUTLIER",""))</f>
        <v/>
      </c>
      <c r="I599" s="90" t="str">
        <f>IF(F599="","",IF(F599&gt;$I$5,"OUTLIER",""))</f>
        <v/>
      </c>
      <c r="J599" s="90" t="str">
        <f>IF(G599="","",IF(G599&gt;$I$5,"OUTLIER",""))</f>
        <v/>
      </c>
      <c r="K599" s="90" t="str">
        <f>IF(C599="","MISSING","")</f>
        <v/>
      </c>
      <c r="L599" s="90" t="str">
        <f>IF(AND(C599&lt;&gt;"",C598&lt;&gt;"",C599=C598),"STALE","")</f>
        <v/>
      </c>
      <c r="M599" s="106">
        <f>IF(D599="","",ABS(D599-G$5))</f>
        <v>3.5285851714040493E-3</v>
      </c>
    </row>
    <row r="600" spans="2:13" ht="12.75" customHeight="1" x14ac:dyDescent="0.55000000000000004">
      <c r="B600" s="97">
        <v>45761</v>
      </c>
      <c r="C600" s="89">
        <v>1.1364000000000001</v>
      </c>
      <c r="D600" s="91">
        <f>IF(OR(C600="",C599=""),"",LN(C600/C599))</f>
        <v>7.042253812168317E-4</v>
      </c>
      <c r="E600" s="89">
        <f>IF(D600="","",ABS(D600-$E$5)/$F$5)</f>
        <v>0.11226390270769314</v>
      </c>
      <c r="F600" s="89">
        <f>IF(D600="","",ABS(D600-$G$5)/$H$5)</f>
        <v>0.2354919753452008</v>
      </c>
      <c r="G600" s="89">
        <f>IF(D600="","",ABS(D600-$E$5)/SQRT(0.9*(IF(G599="",$F$5^2,(ABS(D599-$E$5)/MAX(G599,0.0000000001))^2))+0.1*(D600-$E$5)^2))</f>
        <v>6.7432570595014812E-2</v>
      </c>
      <c r="H600" s="90" t="str">
        <f>IF(E600="","",IF(E600&gt;$I$5,"OUTLIER",""))</f>
        <v/>
      </c>
      <c r="I600" s="90" t="str">
        <f>IF(F600="","",IF(F600&gt;$I$5,"OUTLIER",""))</f>
        <v/>
      </c>
      <c r="J600" s="90" t="str">
        <f>IF(G600="","",IF(G600&gt;$I$5,"OUTLIER",""))</f>
        <v/>
      </c>
      <c r="K600" s="90" t="str">
        <f>IF(C600="","MISSING","")</f>
        <v/>
      </c>
      <c r="L600" s="90" t="str">
        <f>IF(AND(C600&lt;&gt;"",C599&lt;&gt;"",C600=C599),"STALE","")</f>
        <v/>
      </c>
      <c r="M600" s="106">
        <f>IF(D600="","",ABS(D600-G$5))</f>
        <v>7.042253812168317E-4</v>
      </c>
    </row>
    <row r="601" spans="2:13" ht="12.75" customHeight="1" x14ac:dyDescent="0.55000000000000004">
      <c r="B601" s="97">
        <v>45762</v>
      </c>
      <c r="C601" s="89">
        <v>1.1392</v>
      </c>
      <c r="D601" s="91">
        <f>IF(OR(C601="",C600=""),"",LN(C601/C600))</f>
        <v>2.4608906776783803E-3</v>
      </c>
      <c r="E601" s="89">
        <f>IF(D601="","",ABS(D601-$E$5)/$F$5)</f>
        <v>0.46047205871373759</v>
      </c>
      <c r="F601" s="89">
        <f>IF(D601="","",ABS(D601-$G$5)/$H$5)</f>
        <v>0.82291837563951253</v>
      </c>
      <c r="G601" s="89">
        <f>IF(D601="","",ABS(D601-$E$5)/SQRT(0.9*(IF(G600="",$F$5^2,(ABS(D600-$E$5)/MAX(G600,0.0000000001))^2))+0.1*(D601-$E$5)^2))</f>
        <v>0.29031778272049025</v>
      </c>
      <c r="H601" s="90" t="str">
        <f>IF(E601="","",IF(E601&gt;$I$5,"OUTLIER",""))</f>
        <v/>
      </c>
      <c r="I601" s="90" t="str">
        <f>IF(F601="","",IF(F601&gt;$I$5,"OUTLIER",""))</f>
        <v/>
      </c>
      <c r="J601" s="90" t="str">
        <f>IF(G601="","",IF(G601&gt;$I$5,"OUTLIER",""))</f>
        <v/>
      </c>
      <c r="K601" s="90" t="str">
        <f>IF(C601="","MISSING","")</f>
        <v/>
      </c>
      <c r="L601" s="90" t="str">
        <f>IF(AND(C601&lt;&gt;"",C600&lt;&gt;"",C601=C600),"STALE","")</f>
        <v/>
      </c>
      <c r="M601" s="106">
        <f>IF(D601="","",ABS(D601-G$5))</f>
        <v>2.4608906776783803E-3</v>
      </c>
    </row>
    <row r="602" spans="2:13" ht="12.75" customHeight="1" x14ac:dyDescent="0.55000000000000004">
      <c r="B602" s="97">
        <v>45763</v>
      </c>
      <c r="C602" s="89">
        <v>1.1307</v>
      </c>
      <c r="D602" s="91">
        <f>IF(OR(C602="",C601=""),"",LN(C602/C601))</f>
        <v>-7.4893517165117909E-3</v>
      </c>
      <c r="E602" s="89">
        <f>IF(D602="","",ABS(D602-$E$5)/$F$5)</f>
        <v>1.5118760959820867</v>
      </c>
      <c r="F602" s="89">
        <f>IF(D602="","",ABS(D602-$G$5)/$H$5)</f>
        <v>2.5044286627796115</v>
      </c>
      <c r="G602" s="89">
        <f>IF(D602="","",ABS(D602-$E$5)/SQRT(0.9*(IF(G601="",$F$5^2,(ABS(D601-$E$5)/MAX(G601,0.0000000001))^2))+0.1*(D602-$E$5)^2))</f>
        <v>0.95759173840255807</v>
      </c>
      <c r="H602" s="90" t="str">
        <f>IF(E602="","",IF(E602&gt;$I$5,"OUTLIER",""))</f>
        <v/>
      </c>
      <c r="I602" s="90" t="str">
        <f>IF(F602="","",IF(F602&gt;$I$5,"OUTLIER",""))</f>
        <v/>
      </c>
      <c r="J602" s="90" t="str">
        <f>IF(G602="","",IF(G602&gt;$I$5,"OUTLIER",""))</f>
        <v/>
      </c>
      <c r="K602" s="90" t="str">
        <f>IF(C602="","MISSING","")</f>
        <v/>
      </c>
      <c r="L602" s="90" t="str">
        <f>IF(AND(C602&lt;&gt;"",C601&lt;&gt;"",C602=C601),"STALE","")</f>
        <v/>
      </c>
      <c r="M602" s="106">
        <f>IF(D602="","",ABS(D602-G$5))</f>
        <v>7.4893517165117909E-3</v>
      </c>
    </row>
    <row r="603" spans="2:13" ht="12.75" customHeight="1" x14ac:dyDescent="0.55000000000000004">
      <c r="B603" s="97">
        <v>45764</v>
      </c>
      <c r="C603" s="89">
        <v>1.1395</v>
      </c>
      <c r="D603" s="91">
        <f>IF(OR(C603="",C602=""),"",LN(C603/C602))</f>
        <v>7.7526597445394243E-3</v>
      </c>
      <c r="E603" s="89">
        <f>IF(D603="","",ABS(D603-$E$5)/$F$5)</f>
        <v>1.5094124302763428</v>
      </c>
      <c r="F603" s="89">
        <f>IF(D603="","",ABS(D603-$G$5)/$H$5)</f>
        <v>2.592478496395854</v>
      </c>
      <c r="G603" s="89">
        <f>IF(D603="","",ABS(D603-$E$5)/SQRT(0.9*(IF(G602="",$F$5^2,(ABS(D602-$E$5)/MAX(G602,0.0000000001))^2))+0.1*(D603-$E$5)^2))</f>
        <v>0.96016914488361027</v>
      </c>
      <c r="H603" s="90" t="str">
        <f>IF(E603="","",IF(E603&gt;$I$5,"OUTLIER",""))</f>
        <v/>
      </c>
      <c r="I603" s="90" t="str">
        <f>IF(F603="","",IF(F603&gt;$I$5,"OUTLIER",""))</f>
        <v/>
      </c>
      <c r="J603" s="90" t="str">
        <f>IF(G603="","",IF(G603&gt;$I$5,"OUTLIER",""))</f>
        <v/>
      </c>
      <c r="K603" s="90" t="str">
        <f>IF(C603="","MISSING","")</f>
        <v/>
      </c>
      <c r="L603" s="90" t="str">
        <f>IF(AND(C603&lt;&gt;"",C602&lt;&gt;"",C603=C602),"STALE","")</f>
        <v/>
      </c>
      <c r="M603" s="106">
        <f>IF(D603="","",ABS(D603-G$5))</f>
        <v>7.7526597445394243E-3</v>
      </c>
    </row>
    <row r="604" spans="2:13" ht="12.75" customHeight="1" x14ac:dyDescent="0.55000000000000004">
      <c r="B604" s="97">
        <v>45765</v>
      </c>
      <c r="C604" s="89"/>
      <c r="D604" s="91" t="str">
        <f>IF(OR(C604="",C603=""),"",LN(C604/C603))</f>
        <v/>
      </c>
      <c r="E604" s="89" t="str">
        <f>IF(D604="","",ABS(D604-$E$5)/$F$5)</f>
        <v/>
      </c>
      <c r="F604" s="89" t="str">
        <f>IF(D604="","",ABS(D604-$G$5)/$H$5)</f>
        <v/>
      </c>
      <c r="G604" s="89" t="str">
        <f>IF(D604="","",ABS(D604-$E$5)/SQRT(0.9*(IF(G603="",$F$5^2,(ABS(D603-$E$5)/MAX(G603,0.0000000001))^2))+0.1*(D604-$E$5)^2))</f>
        <v/>
      </c>
      <c r="H604" s="90" t="str">
        <f>IF(E604="","",IF(E604&gt;$I$5,"OUTLIER",""))</f>
        <v/>
      </c>
      <c r="I604" s="90" t="str">
        <f>IF(F604="","",IF(F604&gt;$I$5,"OUTLIER",""))</f>
        <v/>
      </c>
      <c r="J604" s="90" t="str">
        <f>IF(G604="","",IF(G604&gt;$I$5,"OUTLIER",""))</f>
        <v/>
      </c>
      <c r="K604" s="90" t="str">
        <f>IF(C604="","MISSING","")</f>
        <v>MISSING</v>
      </c>
      <c r="L604" s="90" t="str">
        <f>IF(AND(C604&lt;&gt;"",C603&lt;&gt;"",C604=C603),"STALE","")</f>
        <v/>
      </c>
      <c r="M604" s="106" t="str">
        <f>IF(D604="","",ABS(D604-G$5))</f>
        <v/>
      </c>
    </row>
    <row r="605" spans="2:13" ht="12.75" customHeight="1" x14ac:dyDescent="0.55000000000000004">
      <c r="B605" s="97">
        <v>45768</v>
      </c>
      <c r="C605" s="89">
        <v>1.1468</v>
      </c>
      <c r="D605" s="91" t="str">
        <f>IF(OR(C605="",C604=""),"",LN(C605/C604))</f>
        <v/>
      </c>
      <c r="E605" s="89" t="str">
        <f>IF(D605="","",ABS(D605-$E$5)/$F$5)</f>
        <v/>
      </c>
      <c r="F605" s="89" t="str">
        <f>IF(D605="","",ABS(D605-$G$5)/$H$5)</f>
        <v/>
      </c>
      <c r="G605" s="89" t="str">
        <f>IF(D605="","",ABS(D605-$E$5)/SQRT(0.9*(IF(G604="",$F$5^2,(ABS(D604-$E$5)/MAX(G604,0.0000000001))^2))+0.1*(D605-$E$5)^2))</f>
        <v/>
      </c>
      <c r="H605" s="90" t="str">
        <f>IF(E605="","",IF(E605&gt;$I$5,"OUTLIER",""))</f>
        <v/>
      </c>
      <c r="I605" s="90" t="str">
        <f>IF(F605="","",IF(F605&gt;$I$5,"OUTLIER",""))</f>
        <v/>
      </c>
      <c r="J605" s="90" t="str">
        <f>IF(G605="","",IF(G605&gt;$I$5,"OUTLIER",""))</f>
        <v/>
      </c>
      <c r="K605" s="90" t="str">
        <f>IF(C605="","MISSING","")</f>
        <v/>
      </c>
      <c r="L605" s="90" t="str">
        <f>IF(AND(C605&lt;&gt;"",C604&lt;&gt;"",C605=C604),"STALE","")</f>
        <v/>
      </c>
      <c r="M605" s="106" t="str">
        <f>IF(D605="","",ABS(D605-G$5))</f>
        <v/>
      </c>
    </row>
    <row r="606" spans="2:13" ht="12.75" customHeight="1" x14ac:dyDescent="0.55000000000000004">
      <c r="B606" s="97">
        <v>45769</v>
      </c>
      <c r="C606" s="89">
        <v>1.1456</v>
      </c>
      <c r="D606" s="91">
        <f>IF(OR(C606="",C605=""),"",LN(C606/C605))</f>
        <v>-1.0469378028337235E-3</v>
      </c>
      <c r="E606" s="89">
        <f>IF(D606="","",ABS(D606-$E$5)/$F$5)</f>
        <v>0.23485361843431138</v>
      </c>
      <c r="F606" s="89">
        <f>IF(D606="","",ABS(D606-$G$5)/$H$5)</f>
        <v>0.35009452631041471</v>
      </c>
      <c r="G606" s="89">
        <f>IF(D606="","",ABS(D606-$E$5)/SQRT(0.9*(IF(G605="",$F$5^2,(ABS(D605-$E$5)/MAX(G605,0.0000000001))^2))+0.1*(D606-$E$5)^2))</f>
        <v>0.2468023451948943</v>
      </c>
      <c r="H606" s="90" t="str">
        <f>IF(E606="","",IF(E606&gt;$I$5,"OUTLIER",""))</f>
        <v/>
      </c>
      <c r="I606" s="90" t="str">
        <f>IF(F606="","",IF(F606&gt;$I$5,"OUTLIER",""))</f>
        <v/>
      </c>
      <c r="J606" s="90" t="str">
        <f>IF(G606="","",IF(G606&gt;$I$5,"OUTLIER",""))</f>
        <v/>
      </c>
      <c r="K606" s="90" t="str">
        <f>IF(C606="","MISSING","")</f>
        <v/>
      </c>
      <c r="L606" s="90" t="str">
        <f>IF(AND(C606&lt;&gt;"",C605&lt;&gt;"",C606=C605),"STALE","")</f>
        <v/>
      </c>
      <c r="M606" s="106">
        <f>IF(D606="","",ABS(D606-G$5))</f>
        <v>1.0469378028337235E-3</v>
      </c>
    </row>
    <row r="607" spans="2:13" ht="12.75" customHeight="1" x14ac:dyDescent="0.55000000000000004">
      <c r="B607" s="97">
        <v>45770</v>
      </c>
      <c r="C607" s="89">
        <v>1.1416999999999999</v>
      </c>
      <c r="D607" s="91">
        <f>IF(OR(C607="",C606=""),"",LN(C607/C606))</f>
        <v>-3.4101375240996796E-3</v>
      </c>
      <c r="E607" s="89">
        <f>IF(D607="","",ABS(D607-$E$5)/$F$5)</f>
        <v>0.70328970519116552</v>
      </c>
      <c r="F607" s="89">
        <f>IF(D607="","",ABS(D607-$G$5)/$H$5)</f>
        <v>1.1403451837555438</v>
      </c>
      <c r="G607" s="89">
        <f>IF(D607="","",ABS(D607-$E$5)/SQRT(0.9*(IF(G606="",$F$5^2,(ABS(D606-$E$5)/MAX(G606,0.0000000001))^2))+0.1*(D607-$E$5)^2))</f>
        <v>0.75643292651676197</v>
      </c>
      <c r="H607" s="90" t="str">
        <f>IF(E607="","",IF(E607&gt;$I$5,"OUTLIER",""))</f>
        <v/>
      </c>
      <c r="I607" s="90" t="str">
        <f>IF(F607="","",IF(F607&gt;$I$5,"OUTLIER",""))</f>
        <v/>
      </c>
      <c r="J607" s="90" t="str">
        <f>IF(G607="","",IF(G607&gt;$I$5,"OUTLIER",""))</f>
        <v/>
      </c>
      <c r="K607" s="90" t="str">
        <f>IF(C607="","MISSING","")</f>
        <v/>
      </c>
      <c r="L607" s="90" t="str">
        <f>IF(AND(C607&lt;&gt;"",C606&lt;&gt;"",C607=C606),"STALE","")</f>
        <v/>
      </c>
      <c r="M607" s="106">
        <f>IF(D607="","",ABS(D607-G$5))</f>
        <v>3.4101375240996796E-3</v>
      </c>
    </row>
    <row r="608" spans="2:13" ht="12.75" customHeight="1" x14ac:dyDescent="0.55000000000000004">
      <c r="B608" s="97">
        <v>45771</v>
      </c>
      <c r="C608" s="89">
        <v>1.1382000000000001</v>
      </c>
      <c r="D608" s="91">
        <f>IF(OR(C608="",C607=""),"",LN(C608/C607))</f>
        <v>-3.0703125132578724E-3</v>
      </c>
      <c r="E608" s="89">
        <f>IF(D608="","",ABS(D608-$E$5)/$F$5)</f>
        <v>0.63592921220009224</v>
      </c>
      <c r="F608" s="89">
        <f>IF(D608="","",ABS(D608-$G$5)/$H$5)</f>
        <v>1.0267081788856478</v>
      </c>
      <c r="G608" s="89">
        <f>IF(D608="","",ABS(D608-$E$5)/SQRT(0.9*(IF(G607="",$F$5^2,(ABS(D607-$E$5)/MAX(G607,0.0000000001))^2))+0.1*(D608-$E$5)^2))</f>
        <v>0.70294228613778598</v>
      </c>
      <c r="H608" s="90" t="str">
        <f>IF(E608="","",IF(E608&gt;$I$5,"OUTLIER",""))</f>
        <v/>
      </c>
      <c r="I608" s="90" t="str">
        <f>IF(F608="","",IF(F608&gt;$I$5,"OUTLIER",""))</f>
        <v/>
      </c>
      <c r="J608" s="90" t="str">
        <f>IF(G608="","",IF(G608&gt;$I$5,"OUTLIER",""))</f>
        <v/>
      </c>
      <c r="K608" s="90" t="str">
        <f>IF(C608="","MISSING","")</f>
        <v/>
      </c>
      <c r="L608" s="90" t="str">
        <f>IF(AND(C608&lt;&gt;"",C607&lt;&gt;"",C608=C607),"STALE","")</f>
        <v/>
      </c>
      <c r="M608" s="106">
        <f>IF(D608="","",ABS(D608-G$5))</f>
        <v>3.0703125132578724E-3</v>
      </c>
    </row>
    <row r="609" spans="2:13" ht="12.75" customHeight="1" x14ac:dyDescent="0.55000000000000004">
      <c r="B609" s="97">
        <v>45772</v>
      </c>
      <c r="C609" s="89">
        <v>1.1382000000000001</v>
      </c>
      <c r="D609" s="91">
        <f>IF(OR(C609="",C608=""),"",LN(C609/C608))</f>
        <v>0</v>
      </c>
      <c r="E609" s="89">
        <f>IF(D609="","",ABS(D609-$E$5)/$F$5)</f>
        <v>2.7328438474265301E-2</v>
      </c>
      <c r="F609" s="89">
        <f>IF(D609="","",ABS(D609-$G$5)/$H$5)</f>
        <v>0</v>
      </c>
      <c r="G609" s="89">
        <f>IF(D609="","",ABS(D609-$E$5)/SQRT(0.9*(IF(G608="",$F$5^2,(ABS(D608-$E$5)/MAX(G608,0.0000000001))^2))+0.1*(D609-$E$5)^2))</f>
        <v>3.1840687799102992E-2</v>
      </c>
      <c r="H609" s="90" t="str">
        <f>IF(E609="","",IF(E609&gt;$I$5,"OUTLIER",""))</f>
        <v/>
      </c>
      <c r="I609" s="90" t="str">
        <f>IF(F609="","",IF(F609&gt;$I$5,"OUTLIER",""))</f>
        <v/>
      </c>
      <c r="J609" s="90" t="str">
        <f>IF(G609="","",IF(G609&gt;$I$5,"OUTLIER",""))</f>
        <v/>
      </c>
      <c r="K609" s="90" t="str">
        <f>IF(C609="","MISSING","")</f>
        <v/>
      </c>
      <c r="L609" s="90" t="str">
        <f>IF(AND(C609&lt;&gt;"",C608&lt;&gt;"",C609=C608),"STALE","")</f>
        <v>STALE</v>
      </c>
      <c r="M609" s="106">
        <f>IF(D609="","",ABS(D609-G$5))</f>
        <v>0</v>
      </c>
    </row>
    <row r="610" spans="2:13" ht="12.75" customHeight="1" x14ac:dyDescent="0.55000000000000004">
      <c r="B610" s="97">
        <v>45775</v>
      </c>
      <c r="C610" s="89">
        <v>1.1361000000000001</v>
      </c>
      <c r="D610" s="91">
        <f>IF(OR(C610="",C609=""),"",LN(C610/C609))</f>
        <v>-1.8467225931646629E-3</v>
      </c>
      <c r="E610" s="89">
        <f>IF(D610="","",ABS(D610-$E$5)/$F$5)</f>
        <v>0.39338785236252927</v>
      </c>
      <c r="F610" s="89">
        <f>IF(D610="","",ABS(D610-$G$5)/$H$5)</f>
        <v>0.61754143343642931</v>
      </c>
      <c r="G610" s="89">
        <f>IF(D610="","",ABS(D610-$E$5)/SQRT(0.9*(IF(G609="",$F$5^2,(ABS(D609-$E$5)/MAX(G609,0.0000000001))^2))+0.1*(D610-$E$5)^2))</f>
        <v>0.4775919009559505</v>
      </c>
      <c r="H610" s="90" t="str">
        <f>IF(E610="","",IF(E610&gt;$I$5,"OUTLIER",""))</f>
        <v/>
      </c>
      <c r="I610" s="90" t="str">
        <f>IF(F610="","",IF(F610&gt;$I$5,"OUTLIER",""))</f>
        <v/>
      </c>
      <c r="J610" s="90" t="str">
        <f>IF(G610="","",IF(G610&gt;$I$5,"OUTLIER",""))</f>
        <v/>
      </c>
      <c r="K610" s="90" t="str">
        <f>IF(C610="","MISSING","")</f>
        <v/>
      </c>
      <c r="L610" s="90" t="str">
        <f>IF(AND(C610&lt;&gt;"",C609&lt;&gt;"",C610=C609),"STALE","")</f>
        <v/>
      </c>
      <c r="M610" s="106">
        <f>IF(D610="","",ABS(D610-G$5))</f>
        <v>1.8467225931646629E-3</v>
      </c>
    </row>
    <row r="611" spans="2:13" ht="12.75" customHeight="1" x14ac:dyDescent="0.55000000000000004">
      <c r="B611" s="97">
        <v>45776</v>
      </c>
      <c r="C611" s="89">
        <v>1.1345000000000001</v>
      </c>
      <c r="D611" s="91">
        <f>IF(OR(C611="",C610=""),"",LN(C611/C610))</f>
        <v>-1.409319355962439E-3</v>
      </c>
      <c r="E611" s="89">
        <f>IF(D611="","",ABS(D611-$E$5)/$F$5)</f>
        <v>0.30668529441705517</v>
      </c>
      <c r="F611" s="89">
        <f>IF(D611="","",ABS(D611-$G$5)/$H$5)</f>
        <v>0.47127440714272373</v>
      </c>
      <c r="G611" s="89">
        <f>IF(D611="","",ABS(D611-$E$5)/SQRT(0.9*(IF(G610="",$F$5^2,(ABS(D610-$E$5)/MAX(G610,0.0000000001))^2))+0.1*(D611-$E$5)^2))</f>
        <v>0.3894829116956619</v>
      </c>
      <c r="H611" s="90" t="str">
        <f>IF(E611="","",IF(E611&gt;$I$5,"OUTLIER",""))</f>
        <v/>
      </c>
      <c r="I611" s="90" t="str">
        <f>IF(F611="","",IF(F611&gt;$I$5,"OUTLIER",""))</f>
        <v/>
      </c>
      <c r="J611" s="90" t="str">
        <f>IF(G611="","",IF(G611&gt;$I$5,"OUTLIER",""))</f>
        <v/>
      </c>
      <c r="K611" s="90" t="str">
        <f>IF(C611="","MISSING","")</f>
        <v/>
      </c>
      <c r="L611" s="90" t="str">
        <f>IF(AND(C611&lt;&gt;"",C610&lt;&gt;"",C611=C610),"STALE","")</f>
        <v/>
      </c>
      <c r="M611" s="106">
        <f>IF(D611="","",ABS(D611-G$5))</f>
        <v>1.409319355962439E-3</v>
      </c>
    </row>
    <row r="612" spans="2:13" ht="12.75" customHeight="1" x14ac:dyDescent="0.55000000000000004">
      <c r="B612" s="97">
        <v>45777</v>
      </c>
      <c r="C612" s="89">
        <v>1.1309</v>
      </c>
      <c r="D612" s="91">
        <f>IF(OR(C612="",C611=""),"",LN(C612/C611))</f>
        <v>-3.1782493426152168E-3</v>
      </c>
      <c r="E612" s="89">
        <f>IF(D612="","",ABS(D612-$E$5)/$F$5)</f>
        <v>0.65732457100371089</v>
      </c>
      <c r="F612" s="89">
        <f>IF(D612="","",ABS(D612-$G$5)/$H$5)</f>
        <v>1.0628021025581214</v>
      </c>
      <c r="G612" s="89">
        <f>IF(D612="","",ABS(D612-$E$5)/SQRT(0.9*(IF(G611="",$F$5^2,(ABS(D611-$E$5)/MAX(G611,0.0000000001))^2))+0.1*(D612-$E$5)^2))</f>
        <v>0.84773395051181921</v>
      </c>
      <c r="H612" s="90" t="str">
        <f>IF(E612="","",IF(E612&gt;$I$5,"OUTLIER",""))</f>
        <v/>
      </c>
      <c r="I612" s="90" t="str">
        <f>IF(F612="","",IF(F612&gt;$I$5,"OUTLIER",""))</f>
        <v/>
      </c>
      <c r="J612" s="90" t="str">
        <f>IF(G612="","",IF(G612&gt;$I$5,"OUTLIER",""))</f>
        <v/>
      </c>
      <c r="K612" s="90" t="str">
        <f>IF(C612="","MISSING","")</f>
        <v/>
      </c>
      <c r="L612" s="90" t="str">
        <f>IF(AND(C612&lt;&gt;"",C611&lt;&gt;"",C612=C611),"STALE","")</f>
        <v/>
      </c>
      <c r="M612" s="106">
        <f>IF(D612="","",ABS(D612-G$5))</f>
        <v>3.1782493426152168E-3</v>
      </c>
    </row>
    <row r="613" spans="2:13" ht="12.75" customHeight="1" x14ac:dyDescent="0.55000000000000004">
      <c r="B613" s="97">
        <v>45778</v>
      </c>
      <c r="C613" s="89">
        <v>1.1298999999999999</v>
      </c>
      <c r="D613" s="91">
        <f>IF(OR(C613="",C612=""),"",LN(C613/C612))</f>
        <v>-8.8464266208086262E-4</v>
      </c>
      <c r="E613" s="89">
        <f>IF(D613="","",ABS(D613-$E$5)/$F$5)</f>
        <v>0.20268329446643413</v>
      </c>
      <c r="F613" s="89">
        <f>IF(D613="","",ABS(D613-$G$5)/$H$5)</f>
        <v>0.2958232598888898</v>
      </c>
      <c r="G613" s="89">
        <f>IF(D613="","",ABS(D613-$E$5)/SQRT(0.9*(IF(G612="",$F$5^2,(ABS(D612-$E$5)/MAX(G612,0.0000000001))^2))+0.1*(D613-$E$5)^2))</f>
        <v>0.27449476559971314</v>
      </c>
      <c r="H613" s="90" t="str">
        <f>IF(E613="","",IF(E613&gt;$I$5,"OUTLIER",""))</f>
        <v/>
      </c>
      <c r="I613" s="90" t="str">
        <f>IF(F613="","",IF(F613&gt;$I$5,"OUTLIER",""))</f>
        <v/>
      </c>
      <c r="J613" s="90" t="str">
        <f>IF(G613="","",IF(G613&gt;$I$5,"OUTLIER",""))</f>
        <v/>
      </c>
      <c r="K613" s="90" t="str">
        <f>IF(C613="","MISSING","")</f>
        <v/>
      </c>
      <c r="L613" s="90" t="str">
        <f>IF(AND(C613&lt;&gt;"",C612&lt;&gt;"",C613=C612),"STALE","")</f>
        <v/>
      </c>
      <c r="M613" s="106">
        <f>IF(D613="","",ABS(D613-G$5))</f>
        <v>8.8464266208086262E-4</v>
      </c>
    </row>
    <row r="614" spans="2:13" ht="12.75" customHeight="1" x14ac:dyDescent="0.55000000000000004">
      <c r="B614" s="97">
        <v>45779</v>
      </c>
      <c r="C614" s="89">
        <v>1.131</v>
      </c>
      <c r="D614" s="91">
        <f>IF(OR(C614="",C613=""),"",LN(C614/C613))</f>
        <v>9.7306390092008444E-4</v>
      </c>
      <c r="E614" s="89">
        <f>IF(D614="","",ABS(D614-$E$5)/$F$5)</f>
        <v>0.16555337418403326</v>
      </c>
      <c r="F614" s="89">
        <f>IF(D614="","",ABS(D614-$G$5)/$H$5)</f>
        <v>0.32539119758624879</v>
      </c>
      <c r="G614" s="89">
        <f>IF(D614="","",ABS(D614-$E$5)/SQRT(0.9*(IF(G613="",$F$5^2,(ABS(D613-$E$5)/MAX(G613,0.0000000001))^2))+0.1*(D614-$E$5)^2))</f>
        <v>0.23568035449620306</v>
      </c>
      <c r="H614" s="90" t="str">
        <f>IF(E614="","",IF(E614&gt;$I$5,"OUTLIER",""))</f>
        <v/>
      </c>
      <c r="I614" s="90" t="str">
        <f>IF(F614="","",IF(F614&gt;$I$5,"OUTLIER",""))</f>
        <v/>
      </c>
      <c r="J614" s="90" t="str">
        <f>IF(G614="","",IF(G614&gt;$I$5,"OUTLIER",""))</f>
        <v/>
      </c>
      <c r="K614" s="90" t="str">
        <f>IF(C614="","MISSING","")</f>
        <v/>
      </c>
      <c r="L614" s="90" t="str">
        <f>IF(AND(C614&lt;&gt;"",C613&lt;&gt;"",C614=C613),"STALE","")</f>
        <v/>
      </c>
      <c r="M614" s="106">
        <f>IF(D614="","",ABS(D614-G$5))</f>
        <v>9.7306390092008444E-4</v>
      </c>
    </row>
    <row r="615" spans="2:13" ht="12.75" customHeight="1" x14ac:dyDescent="0.55000000000000004">
      <c r="B615" s="97">
        <v>45782</v>
      </c>
      <c r="C615" s="89">
        <v>1.1283000000000001</v>
      </c>
      <c r="D615" s="91">
        <f>IF(OR(C615="",C614=""),"",LN(C615/C614))</f>
        <v>-2.3901219717200441E-3</v>
      </c>
      <c r="E615" s="89">
        <f>IF(D615="","",ABS(D615-$E$5)/$F$5)</f>
        <v>0.50110108376906859</v>
      </c>
      <c r="F615" s="89">
        <f>IF(D615="","",ABS(D615-$G$5)/$H$5)</f>
        <v>0.79925342006810729</v>
      </c>
      <c r="G615" s="89">
        <f>IF(D615="","",ABS(D615-$E$5)/SQRT(0.9*(IF(G614="",$F$5^2,(ABS(D614-$E$5)/MAX(G614,0.0000000001))^2))+0.1*(D615-$E$5)^2))</f>
        <v>0.7315530821050924</v>
      </c>
      <c r="H615" s="90" t="str">
        <f>IF(E615="","",IF(E615&gt;$I$5,"OUTLIER",""))</f>
        <v/>
      </c>
      <c r="I615" s="90" t="str">
        <f>IF(F615="","",IF(F615&gt;$I$5,"OUTLIER",""))</f>
        <v/>
      </c>
      <c r="J615" s="90" t="str">
        <f>IF(G615="","",IF(G615&gt;$I$5,"OUTLIER",""))</f>
        <v/>
      </c>
      <c r="K615" s="90" t="str">
        <f>IF(C615="","MISSING","")</f>
        <v/>
      </c>
      <c r="L615" s="90" t="str">
        <f>IF(AND(C615&lt;&gt;"",C614&lt;&gt;"",C615=C614),"STALE","")</f>
        <v/>
      </c>
      <c r="M615" s="106">
        <f>IF(D615="","",ABS(D615-G$5))</f>
        <v>2.3901219717200441E-3</v>
      </c>
    </row>
    <row r="616" spans="2:13" ht="12.75" customHeight="1" x14ac:dyDescent="0.55000000000000004">
      <c r="B616" s="97">
        <v>45783</v>
      </c>
      <c r="C616" s="89">
        <v>1.1296999999999999</v>
      </c>
      <c r="D616" s="91">
        <f>IF(OR(C616="",C615=""),"",LN(C616/C615))</f>
        <v>1.2400355884825481E-3</v>
      </c>
      <c r="E616" s="89">
        <f>IF(D616="","",ABS(D616-$E$5)/$F$5)</f>
        <v>0.21847280010950701</v>
      </c>
      <c r="F616" s="89">
        <f>IF(D616="","",ABS(D616-$G$5)/$H$5)</f>
        <v>0.41466615378946564</v>
      </c>
      <c r="G616" s="89">
        <f>IF(D616="","",ABS(D616-$E$5)/SQRT(0.9*(IF(G615="",$F$5^2,(ABS(D615-$E$5)/MAX(G615,0.0000000001))^2))+0.1*(D616-$E$5)^2))</f>
        <v>0.33431508822231792</v>
      </c>
      <c r="H616" s="90" t="str">
        <f>IF(E616="","",IF(E616&gt;$I$5,"OUTLIER",""))</f>
        <v/>
      </c>
      <c r="I616" s="90" t="str">
        <f>IF(F616="","",IF(F616&gt;$I$5,"OUTLIER",""))</f>
        <v/>
      </c>
      <c r="J616" s="90" t="str">
        <f>IF(G616="","",IF(G616&gt;$I$5,"OUTLIER",""))</f>
        <v/>
      </c>
      <c r="K616" s="90" t="str">
        <f>IF(C616="","MISSING","")</f>
        <v/>
      </c>
      <c r="L616" s="90" t="str">
        <f>IF(AND(C616&lt;&gt;"",C615&lt;&gt;"",C616=C615),"STALE","")</f>
        <v/>
      </c>
      <c r="M616" s="106">
        <f>IF(D616="","",ABS(D616-G$5))</f>
        <v>1.2400355884825481E-3</v>
      </c>
    </row>
    <row r="617" spans="2:13" ht="12.75" customHeight="1" x14ac:dyDescent="0.55000000000000004">
      <c r="B617" s="97">
        <v>45784</v>
      </c>
      <c r="C617" s="89">
        <v>1.1254999999999999</v>
      </c>
      <c r="D617" s="91">
        <f>IF(OR(C617="",C616=""),"",LN(C617/C616))</f>
        <v>-3.7247293860961524E-3</v>
      </c>
      <c r="E617" s="89">
        <f>IF(D617="","",ABS(D617-$E$5)/$F$5)</f>
        <v>0.76564845525069769</v>
      </c>
      <c r="F617" s="89">
        <f>IF(D617="","",ABS(D617-$G$5)/$H$5)</f>
        <v>1.2455442592007722</v>
      </c>
      <c r="G617" s="89">
        <f>IF(D617="","",ABS(D617-$E$5)/SQRT(0.9*(IF(G616="",$F$5^2,(ABS(D616-$E$5)/MAX(G616,0.0000000001))^2))+0.1*(D617-$E$5)^2))</f>
        <v>1.1503820021575597</v>
      </c>
      <c r="H617" s="90" t="str">
        <f>IF(E617="","",IF(E617&gt;$I$5,"OUTLIER",""))</f>
        <v/>
      </c>
      <c r="I617" s="90" t="str">
        <f>IF(F617="","",IF(F617&gt;$I$5,"OUTLIER",""))</f>
        <v/>
      </c>
      <c r="J617" s="90" t="str">
        <f>IF(G617="","",IF(G617&gt;$I$5,"OUTLIER",""))</f>
        <v/>
      </c>
      <c r="K617" s="90" t="str">
        <f>IF(C617="","MISSING","")</f>
        <v/>
      </c>
      <c r="L617" s="90" t="str">
        <f>IF(AND(C617&lt;&gt;"",C616&lt;&gt;"",C617=C616),"STALE","")</f>
        <v/>
      </c>
      <c r="M617" s="106">
        <f>IF(D617="","",ABS(D617-G$5))</f>
        <v>3.7247293860961524E-3</v>
      </c>
    </row>
    <row r="618" spans="2:13" ht="12.75" customHeight="1" x14ac:dyDescent="0.55000000000000004">
      <c r="B618" s="97">
        <v>45785</v>
      </c>
      <c r="C618" s="89">
        <v>1.1257999999999999</v>
      </c>
      <c r="D618" s="91">
        <f>IF(OR(C618="",C617=""),"",LN(C618/C617))</f>
        <v>2.6651268313915196E-4</v>
      </c>
      <c r="E618" s="89">
        <f>IF(D618="","",ABS(D618-$E$5)/$F$5)</f>
        <v>2.5500003082039244E-2</v>
      </c>
      <c r="F618" s="89">
        <f>IF(D618="","",ABS(D618-$G$5)/$H$5)</f>
        <v>8.912146577072054E-2</v>
      </c>
      <c r="G618" s="89">
        <f>IF(D618="","",ABS(D618-$E$5)/SQRT(0.9*(IF(G617="",$F$5^2,(ABS(D617-$E$5)/MAX(G617,0.0000000001))^2))+0.1*(D618-$E$5)^2))</f>
        <v>4.0382781719179375E-2</v>
      </c>
      <c r="H618" s="90" t="str">
        <f>IF(E618="","",IF(E618&gt;$I$5,"OUTLIER",""))</f>
        <v/>
      </c>
      <c r="I618" s="90" t="str">
        <f>IF(F618="","",IF(F618&gt;$I$5,"OUTLIER",""))</f>
        <v/>
      </c>
      <c r="J618" s="90" t="str">
        <f>IF(G618="","",IF(G618&gt;$I$5,"OUTLIER",""))</f>
        <v/>
      </c>
      <c r="K618" s="90" t="str">
        <f>IF(C618="","MISSING","")</f>
        <v/>
      </c>
      <c r="L618" s="90" t="str">
        <f>IF(AND(C618&lt;&gt;"",C617&lt;&gt;"",C618=C617),"STALE","")</f>
        <v/>
      </c>
      <c r="M618" s="106">
        <f>IF(D618="","",ABS(D618-G$5))</f>
        <v>2.6651268313915196E-4</v>
      </c>
    </row>
    <row r="619" spans="2:13" ht="12.75" customHeight="1" x14ac:dyDescent="0.55000000000000004">
      <c r="B619" s="97">
        <v>45786</v>
      </c>
      <c r="C619" s="89">
        <v>1.1241000000000001</v>
      </c>
      <c r="D619" s="91">
        <f>IF(OR(C619="",C618=""),"",LN(C619/C618))</f>
        <v>-1.5111785621746629E-3</v>
      </c>
      <c r="E619" s="89">
        <f>IF(D619="","",ABS(D619-$E$5)/$F$5)</f>
        <v>0.32687593997648046</v>
      </c>
      <c r="F619" s="89">
        <f>IF(D619="","",ABS(D619-$G$5)/$H$5)</f>
        <v>0.50533598219780562</v>
      </c>
      <c r="G619" s="89">
        <f>IF(D619="","",ABS(D619-$E$5)/SQRT(0.9*(IF(G618="",$F$5^2,(ABS(D618-$E$5)/MAX(G618,0.0000000001))^2))+0.1*(D619-$E$5)^2))</f>
        <v>0.5377083288261657</v>
      </c>
      <c r="H619" s="90" t="str">
        <f>IF(E619="","",IF(E619&gt;$I$5,"OUTLIER",""))</f>
        <v/>
      </c>
      <c r="I619" s="90" t="str">
        <f>IF(F619="","",IF(F619&gt;$I$5,"OUTLIER",""))</f>
        <v/>
      </c>
      <c r="J619" s="90" t="str">
        <f>IF(G619="","",IF(G619&gt;$I$5,"OUTLIER",""))</f>
        <v/>
      </c>
      <c r="K619" s="90" t="str">
        <f>IF(C619="","MISSING","")</f>
        <v/>
      </c>
      <c r="L619" s="90" t="str">
        <f>IF(AND(C619&lt;&gt;"",C618&lt;&gt;"",C619=C618),"STALE","")</f>
        <v/>
      </c>
      <c r="M619" s="106">
        <f>IF(D619="","",ABS(D619-G$5))</f>
        <v>1.5111785621746629E-3</v>
      </c>
    </row>
    <row r="620" spans="2:13" ht="12.75" customHeight="1" x14ac:dyDescent="0.55000000000000004">
      <c r="B620" s="97">
        <v>45789</v>
      </c>
      <c r="C620" s="89">
        <v>1.1164000000000001</v>
      </c>
      <c r="D620" s="91">
        <f>IF(OR(C620="",C619=""),"",LN(C620/C619))</f>
        <v>-6.8734928055842635E-3</v>
      </c>
      <c r="E620" s="89">
        <f>IF(D620="","",ABS(D620-$E$5)/$F$5)</f>
        <v>1.3897998551831556</v>
      </c>
      <c r="F620" s="89">
        <f>IF(D620="","",ABS(D620-$G$5)/$H$5)</f>
        <v>2.2984863106058371</v>
      </c>
      <c r="G620" s="89">
        <f>IF(D620="","",ABS(D620-$E$5)/SQRT(0.9*(IF(G619="",$F$5^2,(ABS(D619-$E$5)/MAX(G619,0.0000000001))^2))+0.1*(D620-$E$5)^2))</f>
        <v>1.916739728744737</v>
      </c>
      <c r="H620" s="90" t="str">
        <f>IF(E620="","",IF(E620&gt;$I$5,"OUTLIER",""))</f>
        <v/>
      </c>
      <c r="I620" s="90" t="str">
        <f>IF(F620="","",IF(F620&gt;$I$5,"OUTLIER",""))</f>
        <v/>
      </c>
      <c r="J620" s="90" t="str">
        <f>IF(G620="","",IF(G620&gt;$I$5,"OUTLIER",""))</f>
        <v/>
      </c>
      <c r="K620" s="90" t="str">
        <f>IF(C620="","MISSING","")</f>
        <v/>
      </c>
      <c r="L620" s="90" t="str">
        <f>IF(AND(C620&lt;&gt;"",C619&lt;&gt;"",C620=C619),"STALE","")</f>
        <v/>
      </c>
      <c r="M620" s="106">
        <f>IF(D620="","",ABS(D620-G$5))</f>
        <v>6.8734928055842635E-3</v>
      </c>
    </row>
    <row r="621" spans="2:13" ht="12.75" customHeight="1" x14ac:dyDescent="0.55000000000000004">
      <c r="B621" s="97">
        <v>45790</v>
      </c>
      <c r="C621" s="89">
        <v>1.1201000000000001</v>
      </c>
      <c r="D621" s="91">
        <f>IF(OR(C621="",C620=""),"",LN(C621/C620))</f>
        <v>3.3087443555266391E-3</v>
      </c>
      <c r="E621" s="89">
        <f>IF(D621="","",ABS(D621-$E$5)/$F$5)</f>
        <v>0.62853456118427997</v>
      </c>
      <c r="F621" s="89">
        <f>IF(D621="","",ABS(D621-$G$5)/$H$5)</f>
        <v>1.1064394510304372</v>
      </c>
      <c r="G621" s="89">
        <f>IF(D621="","",ABS(D621-$E$5)/SQRT(0.9*(IF(G620="",$F$5^2,(ABS(D620-$E$5)/MAX(G620,0.0000000001))^2))+0.1*(D621-$E$5)^2))</f>
        <v>0.87782150716992213</v>
      </c>
      <c r="H621" s="90" t="str">
        <f>IF(E621="","",IF(E621&gt;$I$5,"OUTLIER",""))</f>
        <v/>
      </c>
      <c r="I621" s="90" t="str">
        <f>IF(F621="","",IF(F621&gt;$I$5,"OUTLIER",""))</f>
        <v/>
      </c>
      <c r="J621" s="90" t="str">
        <f>IF(G621="","",IF(G621&gt;$I$5,"OUTLIER",""))</f>
        <v/>
      </c>
      <c r="K621" s="90" t="str">
        <f>IF(C621="","MISSING","")</f>
        <v/>
      </c>
      <c r="L621" s="90" t="str">
        <f>IF(AND(C621&lt;&gt;"",C620&lt;&gt;"",C621=C620),"STALE","")</f>
        <v/>
      </c>
      <c r="M621" s="106">
        <f>IF(D621="","",ABS(D621-G$5))</f>
        <v>3.3087443555266391E-3</v>
      </c>
    </row>
    <row r="622" spans="2:13" ht="12.75" customHeight="1" x14ac:dyDescent="0.55000000000000004">
      <c r="B622" s="97">
        <v>45791</v>
      </c>
      <c r="C622" s="89">
        <v>1.123</v>
      </c>
      <c r="D622" s="91">
        <f>IF(OR(C622="",C621=""),"",LN(C622/C621))</f>
        <v>2.5857087207492167E-3</v>
      </c>
      <c r="E622" s="89">
        <f>IF(D622="","",ABS(D622-$E$5)/$F$5)</f>
        <v>0.48521363054391253</v>
      </c>
      <c r="F622" s="89">
        <f>IF(D622="","",ABS(D622-$G$5)/$H$5)</f>
        <v>0.86465735339502081</v>
      </c>
      <c r="G622" s="89">
        <f>IF(D622="","",ABS(D622-$E$5)/SQRT(0.9*(IF(G621="",$F$5^2,(ABS(D621-$E$5)/MAX(G621,0.0000000001))^2))+0.1*(D622-$E$5)^2))</f>
        <v>0.69675870018300157</v>
      </c>
      <c r="H622" s="90" t="str">
        <f>IF(E622="","",IF(E622&gt;$I$5,"OUTLIER",""))</f>
        <v/>
      </c>
      <c r="I622" s="90" t="str">
        <f>IF(F622="","",IF(F622&gt;$I$5,"OUTLIER",""))</f>
        <v/>
      </c>
      <c r="J622" s="90" t="str">
        <f>IF(G622="","",IF(G622&gt;$I$5,"OUTLIER",""))</f>
        <v/>
      </c>
      <c r="K622" s="90" t="str">
        <f>IF(C622="","MISSING","")</f>
        <v/>
      </c>
      <c r="L622" s="90" t="str">
        <f>IF(AND(C622&lt;&gt;"",C621&lt;&gt;"",C622=C621),"STALE","")</f>
        <v/>
      </c>
      <c r="M622" s="106">
        <f>IF(D622="","",ABS(D622-G$5))</f>
        <v>2.5857087207492167E-3</v>
      </c>
    </row>
    <row r="623" spans="2:13" ht="12.75" customHeight="1" x14ac:dyDescent="0.55000000000000004">
      <c r="B623" s="97">
        <v>45792</v>
      </c>
      <c r="C623" s="89">
        <v>1.1176999999999999</v>
      </c>
      <c r="D623" s="91">
        <f>IF(OR(C623="",C622=""),"",LN(C623/C622))</f>
        <v>-4.7306733468773987E-3</v>
      </c>
      <c r="E623" s="89">
        <f>IF(D623="","",ABS(D623-$E$5)/$F$5)</f>
        <v>0.9650477900782366</v>
      </c>
      <c r="F623" s="89">
        <f>IF(D623="","",ABS(D623-$G$5)/$H$5)</f>
        <v>1.5819305024821853</v>
      </c>
      <c r="G623" s="89">
        <f>IF(D623="","",ABS(D623-$E$5)/SQRT(0.9*(IF(G622="",$F$5^2,(ABS(D622-$E$5)/MAX(G622,0.0000000001))^2))+0.1*(D623-$E$5)^2))</f>
        <v>1.3261069059148252</v>
      </c>
      <c r="H623" s="90" t="str">
        <f>IF(E623="","",IF(E623&gt;$I$5,"OUTLIER",""))</f>
        <v/>
      </c>
      <c r="I623" s="90" t="str">
        <f>IF(F623="","",IF(F623&gt;$I$5,"OUTLIER",""))</f>
        <v/>
      </c>
      <c r="J623" s="90" t="str">
        <f>IF(G623="","",IF(G623&gt;$I$5,"OUTLIER",""))</f>
        <v/>
      </c>
      <c r="K623" s="90" t="str">
        <f>IF(C623="","MISSING","")</f>
        <v/>
      </c>
      <c r="L623" s="90" t="str">
        <f>IF(AND(C623&lt;&gt;"",C622&lt;&gt;"",C623=C622),"STALE","")</f>
        <v/>
      </c>
      <c r="M623" s="106">
        <f>IF(D623="","",ABS(D623-G$5))</f>
        <v>4.7306733468773987E-3</v>
      </c>
    </row>
    <row r="624" spans="2:13" ht="12.75" customHeight="1" x14ac:dyDescent="0.55000000000000004">
      <c r="B624" s="97">
        <v>45793</v>
      </c>
      <c r="C624" s="89">
        <v>1.1173999999999999</v>
      </c>
      <c r="D624" s="91">
        <f>IF(OR(C624="",C623=""),"",LN(C624/C623))</f>
        <v>-2.6844436651740118E-4</v>
      </c>
      <c r="E624" s="89">
        <f>IF(D624="","",ABS(D624-$E$5)/$F$5)</f>
        <v>8.0539780466118135E-2</v>
      </c>
      <c r="F624" s="89">
        <f>IF(D624="","",ABS(D624-$G$5)/$H$5)</f>
        <v>8.9767417970993954E-2</v>
      </c>
      <c r="G624" s="89">
        <f>IF(D624="","",ABS(D624-$E$5)/SQRT(0.9*(IF(G623="",$F$5^2,(ABS(D623-$E$5)/MAX(G623,0.0000000001))^2))+0.1*(D624-$E$5)^2))</f>
        <v>0.11657987364594828</v>
      </c>
      <c r="H624" s="90" t="str">
        <f>IF(E624="","",IF(E624&gt;$I$5,"OUTLIER",""))</f>
        <v/>
      </c>
      <c r="I624" s="90" t="str">
        <f>IF(F624="","",IF(F624&gt;$I$5,"OUTLIER",""))</f>
        <v/>
      </c>
      <c r="J624" s="90" t="str">
        <f>IF(G624="","",IF(G624&gt;$I$5,"OUTLIER",""))</f>
        <v/>
      </c>
      <c r="K624" s="90" t="str">
        <f>IF(C624="","MISSING","")</f>
        <v/>
      </c>
      <c r="L624" s="90" t="str">
        <f>IF(AND(C624&lt;&gt;"",C623&lt;&gt;"",C624=C623),"STALE","")</f>
        <v/>
      </c>
      <c r="M624" s="106">
        <f>IF(D624="","",ABS(D624-G$5))</f>
        <v>2.6844436651740118E-4</v>
      </c>
    </row>
    <row r="625" spans="2:13" ht="12.75" customHeight="1" x14ac:dyDescent="0.55000000000000004">
      <c r="B625" s="97">
        <v>45796</v>
      </c>
      <c r="C625" s="89">
        <v>1.1227</v>
      </c>
      <c r="D625" s="91">
        <f>IF(OR(C625="",C624=""),"",LN(C625/C624))</f>
        <v>4.7319404396855289E-3</v>
      </c>
      <c r="E625" s="89">
        <f>IF(D625="","",ABS(D625-$E$5)/$F$5)</f>
        <v>0.91064207768057215</v>
      </c>
      <c r="F625" s="89">
        <f>IF(D625="","",ABS(D625-$G$5)/$H$5)</f>
        <v>1.5823542165321058</v>
      </c>
      <c r="G625" s="89">
        <f>IF(D625="","",ABS(D625-$E$5)/SQRT(0.9*(IF(G624="",$F$5^2,(ABS(D624-$E$5)/MAX(G624,0.0000000001))^2))+0.1*(D625-$E$5)^2))</f>
        <v>1.2720656212552603</v>
      </c>
      <c r="H625" s="90" t="str">
        <f>IF(E625="","",IF(E625&gt;$I$5,"OUTLIER",""))</f>
        <v/>
      </c>
      <c r="I625" s="90" t="str">
        <f>IF(F625="","",IF(F625&gt;$I$5,"OUTLIER",""))</f>
        <v/>
      </c>
      <c r="J625" s="90" t="str">
        <f>IF(G625="","",IF(G625&gt;$I$5,"OUTLIER",""))</f>
        <v/>
      </c>
      <c r="K625" s="90" t="str">
        <f>IF(C625="","MISSING","")</f>
        <v/>
      </c>
      <c r="L625" s="90" t="str">
        <f>IF(AND(C625&lt;&gt;"",C624&lt;&gt;"",C625=C624),"STALE","")</f>
        <v/>
      </c>
      <c r="M625" s="106">
        <f>IF(D625="","",ABS(D625-G$5))</f>
        <v>4.7319404396855289E-3</v>
      </c>
    </row>
    <row r="626" spans="2:13" ht="12.75" customHeight="1" x14ac:dyDescent="0.55000000000000004">
      <c r="B626" s="97">
        <v>45797</v>
      </c>
      <c r="C626" s="89">
        <v>1.1297999999999999</v>
      </c>
      <c r="D626" s="91">
        <f>IF(OR(C626="",C625=""),"",LN(C626/C625))</f>
        <v>6.3041274264279117E-3</v>
      </c>
      <c r="E626" s="89">
        <f>IF(D626="","",ABS(D626-$E$5)/$F$5)</f>
        <v>1.2222827372034701</v>
      </c>
      <c r="F626" s="89">
        <f>IF(D626="","",ABS(D626-$G$5)/$H$5)</f>
        <v>2.10809132995487</v>
      </c>
      <c r="G626" s="89">
        <f>IF(D626="","",ABS(D626-$E$5)/SQRT(0.9*(IF(G625="",$F$5^2,(ABS(D625-$E$5)/MAX(G625,0.0000000001))^2))+0.1*(D626-$E$5)^2))</f>
        <v>1.5641665075568278</v>
      </c>
      <c r="H626" s="90" t="str">
        <f>IF(E626="","",IF(E626&gt;$I$5,"OUTLIER",""))</f>
        <v/>
      </c>
      <c r="I626" s="90" t="str">
        <f>IF(F626="","",IF(F626&gt;$I$5,"OUTLIER",""))</f>
        <v/>
      </c>
      <c r="J626" s="90" t="str">
        <f>IF(G626="","",IF(G626&gt;$I$5,"OUTLIER",""))</f>
        <v/>
      </c>
      <c r="K626" s="90" t="str">
        <f>IF(C626="","MISSING","")</f>
        <v/>
      </c>
      <c r="L626" s="90" t="str">
        <f>IF(AND(C626&lt;&gt;"",C625&lt;&gt;"",C626=C625),"STALE","")</f>
        <v/>
      </c>
      <c r="M626" s="106">
        <f>IF(D626="","",ABS(D626-G$5))</f>
        <v>6.3041274264279117E-3</v>
      </c>
    </row>
    <row r="627" spans="2:13" ht="12.75" customHeight="1" x14ac:dyDescent="0.55000000000000004">
      <c r="B627" s="97">
        <v>45798</v>
      </c>
      <c r="C627" s="89">
        <v>1.1336999999999999</v>
      </c>
      <c r="D627" s="91">
        <f>IF(OR(C627="",C626=""),"",LN(C627/C626))</f>
        <v>3.4459941323913448E-3</v>
      </c>
      <c r="E627" s="89">
        <f>IF(D627="","",ABS(D627-$E$5)/$F$5)</f>
        <v>0.65574036516445</v>
      </c>
      <c r="F627" s="89">
        <f>IF(D627="","",ABS(D627-$G$5)/$H$5)</f>
        <v>1.1523355830524182</v>
      </c>
      <c r="G627" s="89">
        <f>IF(D627="","",ABS(D627-$E$5)/SQRT(0.9*(IF(G626="",$F$5^2,(ABS(D626-$E$5)/MAX(G626,0.0000000001))^2))+0.1*(D627-$E$5)^2))</f>
        <v>0.85185112371525051</v>
      </c>
      <c r="H627" s="90" t="str">
        <f>IF(E627="","",IF(E627&gt;$I$5,"OUTLIER",""))</f>
        <v/>
      </c>
      <c r="I627" s="90" t="str">
        <f>IF(F627="","",IF(F627&gt;$I$5,"OUTLIER",""))</f>
        <v/>
      </c>
      <c r="J627" s="90" t="str">
        <f>IF(G627="","",IF(G627&gt;$I$5,"OUTLIER",""))</f>
        <v/>
      </c>
      <c r="K627" s="90" t="str">
        <f>IF(C627="","MISSING","")</f>
        <v/>
      </c>
      <c r="L627" s="90" t="str">
        <f>IF(AND(C627&lt;&gt;"",C626&lt;&gt;"",C627=C626),"STALE","")</f>
        <v/>
      </c>
      <c r="M627" s="106">
        <f>IF(D627="","",ABS(D627-G$5))</f>
        <v>3.4459941323913448E-3</v>
      </c>
    </row>
    <row r="628" spans="2:13" ht="12.75" customHeight="1" x14ac:dyDescent="0.55000000000000004">
      <c r="B628" s="97">
        <v>45799</v>
      </c>
      <c r="C628" s="89">
        <v>1.1321000000000001</v>
      </c>
      <c r="D628" s="91">
        <f>IF(OR(C628="",C627=""),"",LN(C628/C627))</f>
        <v>-1.4123049394891278E-3</v>
      </c>
      <c r="E628" s="89">
        <f>IF(D628="","",ABS(D628-$E$5)/$F$5)</f>
        <v>0.30727710011648146</v>
      </c>
      <c r="F628" s="89">
        <f>IF(D628="","",ABS(D628-$G$5)/$H$5)</f>
        <v>0.47227278206786943</v>
      </c>
      <c r="G628" s="89">
        <f>IF(D628="","",ABS(D628-$E$5)/SQRT(0.9*(IF(G627="",$F$5^2,(ABS(D627-$E$5)/MAX(G627,0.0000000001))^2))+0.1*(D628-$E$5)^2))</f>
        <v>0.41709011304640781</v>
      </c>
      <c r="H628" s="90" t="str">
        <f>IF(E628="","",IF(E628&gt;$I$5,"OUTLIER",""))</f>
        <v/>
      </c>
      <c r="I628" s="90" t="str">
        <f>IF(F628="","",IF(F628&gt;$I$5,"OUTLIER",""))</f>
        <v/>
      </c>
      <c r="J628" s="90" t="str">
        <f>IF(G628="","",IF(G628&gt;$I$5,"OUTLIER",""))</f>
        <v/>
      </c>
      <c r="K628" s="90" t="str">
        <f>IF(C628="","MISSING","")</f>
        <v/>
      </c>
      <c r="L628" s="90" t="str">
        <f>IF(AND(C628&lt;&gt;"",C627&lt;&gt;"",C628=C627),"STALE","")</f>
        <v/>
      </c>
      <c r="M628" s="106">
        <f>IF(D628="","",ABS(D628-G$5))</f>
        <v>1.4123049394891278E-3</v>
      </c>
    </row>
    <row r="629" spans="2:13" ht="12.75" customHeight="1" x14ac:dyDescent="0.55000000000000004">
      <c r="B629" s="97">
        <v>45800</v>
      </c>
      <c r="C629" s="89">
        <v>1.1341000000000001</v>
      </c>
      <c r="D629" s="91">
        <f>IF(OR(C629="",C628=""),"",LN(C629/C628))</f>
        <v>1.7650697372210194E-3</v>
      </c>
      <c r="E629" s="89">
        <f>IF(D629="","",ABS(D629-$E$5)/$F$5)</f>
        <v>0.32254565516088368</v>
      </c>
      <c r="F629" s="89">
        <f>IF(D629="","",ABS(D629-$G$5)/$H$5)</f>
        <v>0.59023683344385214</v>
      </c>
      <c r="G629" s="89">
        <f>IF(D629="","",ABS(D629-$E$5)/SQRT(0.9*(IF(G628="",$F$5^2,(ABS(D628-$E$5)/MAX(G628,0.0000000001))^2))+0.1*(D629-$E$5)^2))</f>
        <v>0.45666044497173752</v>
      </c>
      <c r="H629" s="90" t="str">
        <f>IF(E629="","",IF(E629&gt;$I$5,"OUTLIER",""))</f>
        <v/>
      </c>
      <c r="I629" s="90" t="str">
        <f>IF(F629="","",IF(F629&gt;$I$5,"OUTLIER",""))</f>
        <v/>
      </c>
      <c r="J629" s="90" t="str">
        <f>IF(G629="","",IF(G629&gt;$I$5,"OUTLIER",""))</f>
        <v/>
      </c>
      <c r="K629" s="90" t="str">
        <f>IF(C629="","MISSING","")</f>
        <v/>
      </c>
      <c r="L629" s="90" t="str">
        <f>IF(AND(C629&lt;&gt;"",C628&lt;&gt;"",C629=C628),"STALE","")</f>
        <v/>
      </c>
      <c r="M629" s="106">
        <f>IF(D629="","",ABS(D629-G$5))</f>
        <v>1.7650697372210194E-3</v>
      </c>
    </row>
    <row r="630" spans="2:13" ht="12.75" customHeight="1" x14ac:dyDescent="0.55000000000000004">
      <c r="B630" s="97">
        <v>45803</v>
      </c>
      <c r="C630" s="89"/>
      <c r="D630" s="91" t="str">
        <f>IF(OR(C630="",C629=""),"",LN(C630/C629))</f>
        <v/>
      </c>
      <c r="E630" s="89" t="str">
        <f>IF(D630="","",ABS(D630-$E$5)/$F$5)</f>
        <v/>
      </c>
      <c r="F630" s="89" t="str">
        <f>IF(D630="","",ABS(D630-$G$5)/$H$5)</f>
        <v/>
      </c>
      <c r="G630" s="89" t="str">
        <f>IF(D630="","",ABS(D630-$E$5)/SQRT(0.9*(IF(G629="",$F$5^2,(ABS(D629-$E$5)/MAX(G629,0.0000000001))^2))+0.1*(D630-$E$5)^2))</f>
        <v/>
      </c>
      <c r="H630" s="90" t="str">
        <f>IF(E630="","",IF(E630&gt;$I$5,"OUTLIER",""))</f>
        <v/>
      </c>
      <c r="I630" s="90" t="str">
        <f>IF(F630="","",IF(F630&gt;$I$5,"OUTLIER",""))</f>
        <v/>
      </c>
      <c r="J630" s="90" t="str">
        <f>IF(G630="","",IF(G630&gt;$I$5,"OUTLIER",""))</f>
        <v/>
      </c>
      <c r="K630" s="90" t="str">
        <f>IF(C630="","MISSING","")</f>
        <v>MISSING</v>
      </c>
      <c r="L630" s="90" t="str">
        <f>IF(AND(C630&lt;&gt;"",C629&lt;&gt;"",C630=C629),"STALE","")</f>
        <v/>
      </c>
      <c r="M630" s="106" t="str">
        <f>IF(D630="","",ABS(D630-G$5))</f>
        <v/>
      </c>
    </row>
    <row r="631" spans="2:13" ht="12.75" customHeight="1" x14ac:dyDescent="0.55000000000000004">
      <c r="B631" s="97">
        <v>45804</v>
      </c>
      <c r="C631" s="89">
        <v>1.1359999999999999</v>
      </c>
      <c r="D631" s="91" t="str">
        <f>IF(OR(C631="",C630=""),"",LN(C631/C630))</f>
        <v/>
      </c>
      <c r="E631" s="89" t="str">
        <f>IF(D631="","",ABS(D631-$E$5)/$F$5)</f>
        <v/>
      </c>
      <c r="F631" s="89" t="str">
        <f>IF(D631="","",ABS(D631-$G$5)/$H$5)</f>
        <v/>
      </c>
      <c r="G631" s="89" t="str">
        <f>IF(D631="","",ABS(D631-$E$5)/SQRT(0.9*(IF(G630="",$F$5^2,(ABS(D630-$E$5)/MAX(G630,0.0000000001))^2))+0.1*(D631-$E$5)^2))</f>
        <v/>
      </c>
      <c r="H631" s="90" t="str">
        <f>IF(E631="","",IF(E631&gt;$I$5,"OUTLIER",""))</f>
        <v/>
      </c>
      <c r="I631" s="90" t="str">
        <f>IF(F631="","",IF(F631&gt;$I$5,"OUTLIER",""))</f>
        <v/>
      </c>
      <c r="J631" s="90" t="str">
        <f>IF(G631="","",IF(G631&gt;$I$5,"OUTLIER",""))</f>
        <v/>
      </c>
      <c r="K631" s="90" t="str">
        <f>IF(C631="","MISSING","")</f>
        <v/>
      </c>
      <c r="L631" s="90" t="str">
        <f>IF(AND(C631&lt;&gt;"",C630&lt;&gt;"",C631=C630),"STALE","")</f>
        <v/>
      </c>
      <c r="M631" s="106" t="str">
        <f>IF(D631="","",ABS(D631-G$5))</f>
        <v/>
      </c>
    </row>
    <row r="632" spans="2:13" ht="12.75" customHeight="1" x14ac:dyDescent="0.55000000000000004">
      <c r="B632" s="97">
        <v>45805</v>
      </c>
      <c r="C632" s="89">
        <v>1.1364000000000001</v>
      </c>
      <c r="D632" s="91">
        <f>IF(OR(C632="",C631=""),"",LN(C632/C631))</f>
        <v>3.520506989362662E-4</v>
      </c>
      <c r="E632" s="89">
        <f>IF(D632="","",ABS(D632-$E$5)/$F$5)</f>
        <v>4.2455444058259954E-2</v>
      </c>
      <c r="F632" s="89">
        <f>IF(D632="","",ABS(D632-$G$5)/$H$5)</f>
        <v>0.11772525774476927</v>
      </c>
      <c r="G632" s="89">
        <f>IF(D632="","",ABS(D632-$E$5)/SQRT(0.9*(IF(G631="",$F$5^2,(ABS(D631-$E$5)/MAX(G631,0.0000000001))^2))+0.1*(D632-$E$5)^2))</f>
        <v>4.4747486781055654E-2</v>
      </c>
      <c r="H632" s="90" t="str">
        <f>IF(E632="","",IF(E632&gt;$I$5,"OUTLIER",""))</f>
        <v/>
      </c>
      <c r="I632" s="90" t="str">
        <f>IF(F632="","",IF(F632&gt;$I$5,"OUTLIER",""))</f>
        <v/>
      </c>
      <c r="J632" s="90" t="str">
        <f>IF(G632="","",IF(G632&gt;$I$5,"OUTLIER",""))</f>
        <v/>
      </c>
      <c r="K632" s="90" t="str">
        <f>IF(C632="","MISSING","")</f>
        <v/>
      </c>
      <c r="L632" s="90" t="str">
        <f>IF(AND(C632&lt;&gt;"",C631&lt;&gt;"",C632=C631),"STALE","")</f>
        <v/>
      </c>
      <c r="M632" s="106">
        <f>IF(D632="","",ABS(D632-G$5))</f>
        <v>3.520506989362662E-4</v>
      </c>
    </row>
    <row r="633" spans="2:13" ht="12.75" customHeight="1" x14ac:dyDescent="0.55000000000000004">
      <c r="B633" s="97">
        <v>45806</v>
      </c>
      <c r="C633" s="89">
        <v>1.1338999999999999</v>
      </c>
      <c r="D633" s="91">
        <f>IF(OR(C633="",C632=""),"",LN(C633/C632))</f>
        <v>-2.2023530022389319E-3</v>
      </c>
      <c r="E633" s="89">
        <f>IF(D633="","",ABS(D633-$E$5)/$F$5)</f>
        <v>0.46388130903459085</v>
      </c>
      <c r="F633" s="89">
        <f>IF(D633="","",ABS(D633-$G$5)/$H$5)</f>
        <v>0.7364637412081444</v>
      </c>
      <c r="G633" s="89">
        <f>IF(D633="","",ABS(D633-$E$5)/SQRT(0.9*(IF(G632="",$F$5^2,(ABS(D632-$E$5)/MAX(G632,0.0000000001))^2))+0.1*(D633-$E$5)^2))</f>
        <v>0.50866110921138352</v>
      </c>
      <c r="H633" s="90" t="str">
        <f>IF(E633="","",IF(E633&gt;$I$5,"OUTLIER",""))</f>
        <v/>
      </c>
      <c r="I633" s="90" t="str">
        <f>IF(F633="","",IF(F633&gt;$I$5,"OUTLIER",""))</f>
        <v/>
      </c>
      <c r="J633" s="90" t="str">
        <f>IF(G633="","",IF(G633&gt;$I$5,"OUTLIER",""))</f>
        <v/>
      </c>
      <c r="K633" s="90" t="str">
        <f>IF(C633="","MISSING","")</f>
        <v/>
      </c>
      <c r="L633" s="90" t="str">
        <f>IF(AND(C633&lt;&gt;"",C632&lt;&gt;"",C633=C632),"STALE","")</f>
        <v/>
      </c>
      <c r="M633" s="106">
        <f>IF(D633="","",ABS(D633-G$5))</f>
        <v>2.2023530022389319E-3</v>
      </c>
    </row>
    <row r="634" spans="2:13" ht="12.75" customHeight="1" x14ac:dyDescent="0.55000000000000004">
      <c r="B634" s="97">
        <v>45807</v>
      </c>
      <c r="C634" s="89">
        <v>1.1374</v>
      </c>
      <c r="D634" s="91">
        <f>IF(OR(C634="",C633=""),"",LN(C634/C633))</f>
        <v>3.0819378949052049E-3</v>
      </c>
      <c r="E634" s="89">
        <f>IF(D634="","",ABS(D634-$E$5)/$F$5)</f>
        <v>0.58357673137895039</v>
      </c>
      <c r="F634" s="89">
        <f>IF(D634="","",ABS(D634-$G$5)/$H$5)</f>
        <v>1.0305956901303317</v>
      </c>
      <c r="G634" s="89">
        <f>IF(D634="","",ABS(D634-$E$5)/SQRT(0.9*(IF(G633="",$F$5^2,(ABS(D633-$E$5)/MAX(G633,0.0000000001))^2))+0.1*(D634-$E$5)^2))</f>
        <v>0.65968509645674167</v>
      </c>
      <c r="H634" s="90" t="str">
        <f>IF(E634="","",IF(E634&gt;$I$5,"OUTLIER",""))</f>
        <v/>
      </c>
      <c r="I634" s="90" t="str">
        <f>IF(F634="","",IF(F634&gt;$I$5,"OUTLIER",""))</f>
        <v/>
      </c>
      <c r="J634" s="90" t="str">
        <f>IF(G634="","",IF(G634&gt;$I$5,"OUTLIER",""))</f>
        <v/>
      </c>
      <c r="K634" s="90" t="str">
        <f>IF(C634="","MISSING","")</f>
        <v/>
      </c>
      <c r="L634" s="90" t="str">
        <f>IF(AND(C634&lt;&gt;"",C633&lt;&gt;"",C634=C633),"STALE","")</f>
        <v/>
      </c>
      <c r="M634" s="106">
        <f>IF(D634="","",ABS(D634-G$5))</f>
        <v>3.0819378949052049E-3</v>
      </c>
    </row>
    <row r="635" spans="2:13" ht="12.75" customHeight="1" x14ac:dyDescent="0.55000000000000004">
      <c r="B635" s="97">
        <v>45810</v>
      </c>
      <c r="C635" s="89">
        <v>1.1368</v>
      </c>
      <c r="D635" s="91">
        <f>IF(OR(C635="",C634=""),"",LN(C635/C634))</f>
        <v>-5.2765808980832947E-4</v>
      </c>
      <c r="E635" s="89">
        <f>IF(D635="","",ABS(D635-$E$5)/$F$5)</f>
        <v>0.13192141405357877</v>
      </c>
      <c r="F635" s="89">
        <f>IF(D635="","",ABS(D635-$G$5)/$H$5)</f>
        <v>0.17644812185146069</v>
      </c>
      <c r="G635" s="89">
        <f>IF(D635="","",ABS(D635-$E$5)/SQRT(0.9*(IF(G634="",$F$5^2,(ABS(D634-$E$5)/MAX(G634,0.0000000001))^2))+0.1*(D635-$E$5)^2))</f>
        <v>0.15699898637679469</v>
      </c>
      <c r="H635" s="90" t="str">
        <f>IF(E635="","",IF(E635&gt;$I$5,"OUTLIER",""))</f>
        <v/>
      </c>
      <c r="I635" s="90" t="str">
        <f>IF(F635="","",IF(F635&gt;$I$5,"OUTLIER",""))</f>
        <v/>
      </c>
      <c r="J635" s="90" t="str">
        <f>IF(G635="","",IF(G635&gt;$I$5,"OUTLIER",""))</f>
        <v/>
      </c>
      <c r="K635" s="90" t="str">
        <f>IF(C635="","MISSING","")</f>
        <v/>
      </c>
      <c r="L635" s="90" t="str">
        <f>IF(AND(C635&lt;&gt;"",C634&lt;&gt;"",C635=C634),"STALE","")</f>
        <v/>
      </c>
      <c r="M635" s="106">
        <f>IF(D635="","",ABS(D635-G$5))</f>
        <v>5.2765808980832947E-4</v>
      </c>
    </row>
    <row r="636" spans="2:13" ht="12.75" customHeight="1" x14ac:dyDescent="0.55000000000000004">
      <c r="B636" s="97">
        <v>45811</v>
      </c>
      <c r="C636" s="89">
        <v>1.131</v>
      </c>
      <c r="D636" s="91">
        <f>IF(OR(C636="",C635=""),"",LN(C636/C635))</f>
        <v>-5.1151006667704887E-3</v>
      </c>
      <c r="E636" s="89">
        <f>IF(D636="","",ABS(D636-$E$5)/$F$5)</f>
        <v>1.0412494025584027</v>
      </c>
      <c r="F636" s="89">
        <f>IF(D636="","",ABS(D636-$G$5)/$H$5)</f>
        <v>1.7104824566617676</v>
      </c>
      <c r="G636" s="89">
        <f>IF(D636="","",ABS(D636-$E$5)/SQRT(0.9*(IF(G635="",$F$5^2,(ABS(D635-$E$5)/MAX(G635,0.0000000001))^2))+0.1*(D636-$E$5)^2))</f>
        <v>1.2072774196118912</v>
      </c>
      <c r="H636" s="90" t="str">
        <f>IF(E636="","",IF(E636&gt;$I$5,"OUTLIER",""))</f>
        <v/>
      </c>
      <c r="I636" s="90" t="str">
        <f>IF(F636="","",IF(F636&gt;$I$5,"OUTLIER",""))</f>
        <v/>
      </c>
      <c r="J636" s="90" t="str">
        <f>IF(G636="","",IF(G636&gt;$I$5,"OUTLIER",""))</f>
        <v/>
      </c>
      <c r="K636" s="90" t="str">
        <f>IF(C636="","MISSING","")</f>
        <v/>
      </c>
      <c r="L636" s="90" t="str">
        <f>IF(AND(C636&lt;&gt;"",C635&lt;&gt;"",C636=C635),"STALE","")</f>
        <v/>
      </c>
      <c r="M636" s="106">
        <f>IF(D636="","",ABS(D636-G$5))</f>
        <v>5.1151006667704887E-3</v>
      </c>
    </row>
    <row r="637" spans="2:13" ht="12.75" customHeight="1" x14ac:dyDescent="0.55000000000000004">
      <c r="B637" s="97">
        <v>45812</v>
      </c>
      <c r="C637" s="89">
        <v>1.1325000000000001</v>
      </c>
      <c r="D637" s="91">
        <f>IF(OR(C637="",C636=""),"",LN(C637/C636))</f>
        <v>1.3253812410687102E-3</v>
      </c>
      <c r="E637" s="89">
        <f>IF(D637="","",ABS(D637-$E$5)/$F$5)</f>
        <v>0.23539011063532037</v>
      </c>
      <c r="F637" s="89">
        <f>IF(D637="","",ABS(D637-$G$5)/$H$5)</f>
        <v>0.44320561977677897</v>
      </c>
      <c r="G637" s="89">
        <f>IF(D637="","",ABS(D637-$E$5)/SQRT(0.9*(IF(G636="",$F$5^2,(ABS(D636-$E$5)/MAX(G636,0.0000000001))^2))+0.1*(D637-$E$5)^2))</f>
        <v>0.28650320321749517</v>
      </c>
      <c r="H637" s="90" t="str">
        <f>IF(E637="","",IF(E637&gt;$I$5,"OUTLIER",""))</f>
        <v/>
      </c>
      <c r="I637" s="90" t="str">
        <f>IF(F637="","",IF(F637&gt;$I$5,"OUTLIER",""))</f>
        <v/>
      </c>
      <c r="J637" s="90" t="str">
        <f>IF(G637="","",IF(G637&gt;$I$5,"OUTLIER",""))</f>
        <v/>
      </c>
      <c r="K637" s="90" t="str">
        <f>IF(C637="","MISSING","")</f>
        <v/>
      </c>
      <c r="L637" s="90" t="str">
        <f>IF(AND(C637&lt;&gt;"",C636&lt;&gt;"",C637=C636),"STALE","")</f>
        <v/>
      </c>
      <c r="M637" s="106">
        <f>IF(D637="","",ABS(D637-G$5))</f>
        <v>1.3253812410687102E-3</v>
      </c>
    </row>
    <row r="638" spans="2:13" ht="12.75" customHeight="1" x14ac:dyDescent="0.55000000000000004">
      <c r="B638" s="97">
        <v>45813</v>
      </c>
      <c r="C638" s="89">
        <v>1.1362000000000001</v>
      </c>
      <c r="D638" s="91">
        <f>IF(OR(C638="",C637=""),"",LN(C638/C637))</f>
        <v>3.2617827658374347E-3</v>
      </c>
      <c r="E638" s="89">
        <f>IF(D638="","",ABS(D638-$E$5)/$F$5)</f>
        <v>0.61922578245350579</v>
      </c>
      <c r="F638" s="89">
        <f>IF(D638="","",ABS(D638-$G$5)/$H$5)</f>
        <v>1.0907355615992547</v>
      </c>
      <c r="G638" s="89">
        <f>IF(D638="","",ABS(D638-$E$5)/SQRT(0.9*(IF(G637="",$F$5^2,(ABS(D637-$E$5)/MAX(G637,0.0000000001))^2))+0.1*(D638-$E$5)^2))</f>
        <v>0.77051084970944927</v>
      </c>
      <c r="H638" s="90" t="str">
        <f>IF(E638="","",IF(E638&gt;$I$5,"OUTLIER",""))</f>
        <v/>
      </c>
      <c r="I638" s="90" t="str">
        <f>IF(F638="","",IF(F638&gt;$I$5,"OUTLIER",""))</f>
        <v/>
      </c>
      <c r="J638" s="90" t="str">
        <f>IF(G638="","",IF(G638&gt;$I$5,"OUTLIER",""))</f>
        <v/>
      </c>
      <c r="K638" s="90" t="str">
        <f>IF(C638="","MISSING","")</f>
        <v/>
      </c>
      <c r="L638" s="90" t="str">
        <f>IF(AND(C638&lt;&gt;"",C637&lt;&gt;"",C638=C637),"STALE","")</f>
        <v/>
      </c>
      <c r="M638" s="106">
        <f>IF(D638="","",ABS(D638-G$5))</f>
        <v>3.2617827658374347E-3</v>
      </c>
    </row>
    <row r="639" spans="2:13" ht="12.75" customHeight="1" x14ac:dyDescent="0.55000000000000004">
      <c r="B639" s="97">
        <v>45814</v>
      </c>
      <c r="C639" s="89">
        <v>1.1345000000000001</v>
      </c>
      <c r="D639" s="91">
        <f>IF(OR(C639="",C638=""),"",LN(C639/C638))</f>
        <v>-1.4973359031301107E-3</v>
      </c>
      <c r="E639" s="89">
        <f>IF(D639="","",ABS(D639-$E$5)/$F$5)</f>
        <v>0.32413203264829837</v>
      </c>
      <c r="F639" s="89">
        <f>IF(D639="","",ABS(D639-$G$5)/$H$5)</f>
        <v>0.50070701651525795</v>
      </c>
      <c r="G639" s="89">
        <f>IF(D639="","",ABS(D639-$E$5)/SQRT(0.9*(IF(G638="",$F$5^2,(ABS(D638-$E$5)/MAX(G638,0.0000000001))^2))+0.1*(D639-$E$5)^2))</f>
        <v>0.42134776474262026</v>
      </c>
      <c r="H639" s="90" t="str">
        <f>IF(E639="","",IF(E639&gt;$I$5,"OUTLIER",""))</f>
        <v/>
      </c>
      <c r="I639" s="90" t="str">
        <f>IF(F639="","",IF(F639&gt;$I$5,"OUTLIER",""))</f>
        <v/>
      </c>
      <c r="J639" s="90" t="str">
        <f>IF(G639="","",IF(G639&gt;$I$5,"OUTLIER",""))</f>
        <v/>
      </c>
      <c r="K639" s="90" t="str">
        <f>IF(C639="","MISSING","")</f>
        <v/>
      </c>
      <c r="L639" s="90" t="str">
        <f>IF(AND(C639&lt;&gt;"",C638&lt;&gt;"",C639=C638),"STALE","")</f>
        <v/>
      </c>
      <c r="M639" s="106">
        <f>IF(D639="","",ABS(D639-G$5))</f>
        <v>1.4973359031301107E-3</v>
      </c>
    </row>
    <row r="640" spans="2:13" ht="12.75" customHeight="1" x14ac:dyDescent="0.55000000000000004">
      <c r="B640" s="97">
        <v>45817</v>
      </c>
      <c r="C640" s="89">
        <v>1.1326000000000001</v>
      </c>
      <c r="D640" s="91">
        <f>IF(OR(C640="",C639=""),"",LN(C640/C639))</f>
        <v>-1.6761505401918636E-3</v>
      </c>
      <c r="E640" s="89">
        <f>IF(D640="","",ABS(D640-$E$5)/$F$5)</f>
        <v>0.35957686961501195</v>
      </c>
      <c r="F640" s="89">
        <f>IF(D640="","",ABS(D640-$G$5)/$H$5)</f>
        <v>0.56050237922931756</v>
      </c>
      <c r="G640" s="89">
        <f>IF(D640="","",ABS(D640-$E$5)/SQRT(0.9*(IF(G639="",$F$5^2,(ABS(D639-$E$5)/MAX(G639,0.0000000001))^2))+0.1*(D640-$E$5)^2))</f>
        <v>0.4868337966004998</v>
      </c>
      <c r="H640" s="90" t="str">
        <f>IF(E640="","",IF(E640&gt;$I$5,"OUTLIER",""))</f>
        <v/>
      </c>
      <c r="I640" s="90" t="str">
        <f>IF(F640="","",IF(F640&gt;$I$5,"OUTLIER",""))</f>
        <v/>
      </c>
      <c r="J640" s="90" t="str">
        <f>IF(G640="","",IF(G640&gt;$I$5,"OUTLIER",""))</f>
        <v/>
      </c>
      <c r="K640" s="90" t="str">
        <f>IF(C640="","MISSING","")</f>
        <v/>
      </c>
      <c r="L640" s="90" t="str">
        <f>IF(AND(C640&lt;&gt;"",C639&lt;&gt;"",C640=C639),"STALE","")</f>
        <v/>
      </c>
      <c r="M640" s="106">
        <f>IF(D640="","",ABS(D640-G$5))</f>
        <v>1.6761505401918636E-3</v>
      </c>
    </row>
    <row r="641" spans="2:13" ht="12.75" customHeight="1" x14ac:dyDescent="0.55000000000000004">
      <c r="B641" s="97">
        <v>45818</v>
      </c>
      <c r="C641" s="89">
        <v>1.1291</v>
      </c>
      <c r="D641" s="91">
        <f>IF(OR(C641="",C640=""),"",LN(C641/C640))</f>
        <v>-3.0950194932281463E-3</v>
      </c>
      <c r="E641" s="89">
        <f>IF(D641="","",ABS(D641-$E$5)/$F$5)</f>
        <v>0.64082665734986366</v>
      </c>
      <c r="F641" s="89">
        <f>IF(D641="","",ABS(D641-$G$5)/$H$5)</f>
        <v>1.0349701581797777</v>
      </c>
      <c r="G641" s="89">
        <f>IF(D641="","",ABS(D641-$E$5)/SQRT(0.9*(IF(G640="",$F$5^2,(ABS(D640-$E$5)/MAX(G640,0.0000000001))^2))+0.1*(D641-$E$5)^2))</f>
        <v>0.87854836543980419</v>
      </c>
      <c r="H641" s="90" t="str">
        <f>IF(E641="","",IF(E641&gt;$I$5,"OUTLIER",""))</f>
        <v/>
      </c>
      <c r="I641" s="90" t="str">
        <f>IF(F641="","",IF(F641&gt;$I$5,"OUTLIER",""))</f>
        <v/>
      </c>
      <c r="J641" s="90" t="str">
        <f>IF(G641="","",IF(G641&gt;$I$5,"OUTLIER",""))</f>
        <v/>
      </c>
      <c r="K641" s="90" t="str">
        <f>IF(C641="","MISSING","")</f>
        <v/>
      </c>
      <c r="L641" s="90" t="str">
        <f>IF(AND(C641&lt;&gt;"",C640&lt;&gt;"",C641=C640),"STALE","")</f>
        <v/>
      </c>
      <c r="M641" s="106">
        <f>IF(D641="","",ABS(D641-G$5))</f>
        <v>3.0950194932281463E-3</v>
      </c>
    </row>
    <row r="642" spans="2:13" ht="12.75" customHeight="1" x14ac:dyDescent="0.55000000000000004">
      <c r="B642" s="97">
        <v>45819</v>
      </c>
      <c r="C642" s="89">
        <v>1.1314</v>
      </c>
      <c r="D642" s="91">
        <f>IF(OR(C642="",C641=""),"",LN(C642/C641))</f>
        <v>2.0349487225787472E-3</v>
      </c>
      <c r="E642" s="89">
        <f>IF(D642="","",ABS(D642-$E$5)/$F$5)</f>
        <v>0.37604136890071144</v>
      </c>
      <c r="F642" s="89">
        <f>IF(D642="","",ABS(D642-$G$5)/$H$5)</f>
        <v>0.68048398593391757</v>
      </c>
      <c r="G642" s="89">
        <f>IF(D642="","",ABS(D642-$E$5)/SQRT(0.9*(IF(G641="",$F$5^2,(ABS(D641-$E$5)/MAX(G641,0.0000000001))^2))+0.1*(D642-$E$5)^2))</f>
        <v>0.53557432661659587</v>
      </c>
      <c r="H642" s="90" t="str">
        <f>IF(E642="","",IF(E642&gt;$I$5,"OUTLIER",""))</f>
        <v/>
      </c>
      <c r="I642" s="90" t="str">
        <f>IF(F642="","",IF(F642&gt;$I$5,"OUTLIER",""))</f>
        <v/>
      </c>
      <c r="J642" s="90" t="str">
        <f>IF(G642="","",IF(G642&gt;$I$5,"OUTLIER",""))</f>
        <v/>
      </c>
      <c r="K642" s="90" t="str">
        <f>IF(C642="","MISSING","")</f>
        <v/>
      </c>
      <c r="L642" s="90" t="str">
        <f>IF(AND(C642&lt;&gt;"",C641&lt;&gt;"",C642=C641),"STALE","")</f>
        <v/>
      </c>
      <c r="M642" s="106">
        <f>IF(D642="","",ABS(D642-G$5))</f>
        <v>2.0349487225787472E-3</v>
      </c>
    </row>
    <row r="643" spans="2:13" ht="12.75" customHeight="1" x14ac:dyDescent="0.55000000000000004">
      <c r="B643" s="97">
        <v>45820</v>
      </c>
      <c r="C643" s="89">
        <v>1.1336999999999999</v>
      </c>
      <c r="D643" s="91">
        <f>IF(OR(C643="",C642=""),"",LN(C643/C642))</f>
        <v>2.0308161144975858E-3</v>
      </c>
      <c r="E643" s="89">
        <f>IF(D643="","",ABS(D643-$E$5)/$F$5)</f>
        <v>0.37522219871368978</v>
      </c>
      <c r="F643" s="89">
        <f>IF(D643="","",ABS(D643-$G$5)/$H$5)</f>
        <v>0.67910204761371862</v>
      </c>
      <c r="G643" s="89">
        <f>IF(D643="","",ABS(D643-$E$5)/SQRT(0.9*(IF(G642="",$F$5^2,(ABS(D642-$E$5)/MAX(G642,0.0000000001))^2))+0.1*(D643-$E$5)^2))</f>
        <v>0.55458467212170448</v>
      </c>
      <c r="H643" s="90" t="str">
        <f>IF(E643="","",IF(E643&gt;$I$5,"OUTLIER",""))</f>
        <v/>
      </c>
      <c r="I643" s="90" t="str">
        <f>IF(F643="","",IF(F643&gt;$I$5,"OUTLIER",""))</f>
        <v/>
      </c>
      <c r="J643" s="90" t="str">
        <f>IF(G643="","",IF(G643&gt;$I$5,"OUTLIER",""))</f>
        <v/>
      </c>
      <c r="K643" s="90" t="str">
        <f>IF(C643="","MISSING","")</f>
        <v/>
      </c>
      <c r="L643" s="90" t="str">
        <f>IF(AND(C643&lt;&gt;"",C642&lt;&gt;"",C643=C642),"STALE","")</f>
        <v/>
      </c>
      <c r="M643" s="106">
        <f>IF(D643="","",ABS(D643-G$5))</f>
        <v>2.0308161144975858E-3</v>
      </c>
    </row>
    <row r="644" spans="2:13" ht="12.75" customHeight="1" x14ac:dyDescent="0.55000000000000004">
      <c r="B644" s="97">
        <v>45821</v>
      </c>
      <c r="C644" s="89">
        <v>1.1379999999999999</v>
      </c>
      <c r="D644" s="91">
        <f>IF(OR(C644="",C643=""),"",LN(C644/C643))</f>
        <v>3.7857156627232264E-3</v>
      </c>
      <c r="E644" s="89">
        <f>IF(D644="","",ABS(D644-$E$5)/$F$5)</f>
        <v>0.72308034613333194</v>
      </c>
      <c r="F644" s="89">
        <f>IF(D644="","",ABS(D644-$G$5)/$H$5)</f>
        <v>1.2659379841855816</v>
      </c>
      <c r="G644" s="89">
        <f>IF(D644="","",ABS(D644-$E$5)/SQRT(0.9*(IF(G643="",$F$5^2,(ABS(D643-$E$5)/MAX(G643,0.0000000001))^2))+0.1*(D644-$E$5)^2))</f>
        <v>1.061207703297155</v>
      </c>
      <c r="H644" s="90" t="str">
        <f>IF(E644="","",IF(E644&gt;$I$5,"OUTLIER",""))</f>
        <v/>
      </c>
      <c r="I644" s="90" t="str">
        <f>IF(F644="","",IF(F644&gt;$I$5,"OUTLIER",""))</f>
        <v/>
      </c>
      <c r="J644" s="90" t="str">
        <f>IF(G644="","",IF(G644&gt;$I$5,"OUTLIER",""))</f>
        <v/>
      </c>
      <c r="K644" s="90" t="str">
        <f>IF(C644="","MISSING","")</f>
        <v/>
      </c>
      <c r="L644" s="90" t="str">
        <f>IF(AND(C644&lt;&gt;"",C643&lt;&gt;"",C644=C643),"STALE","")</f>
        <v/>
      </c>
      <c r="M644" s="106">
        <f>IF(D644="","",ABS(D644-G$5))</f>
        <v>3.7857156627232264E-3</v>
      </c>
    </row>
    <row r="645" spans="2:13" ht="12.75" customHeight="1" x14ac:dyDescent="0.55000000000000004">
      <c r="B645" s="97">
        <v>45824</v>
      </c>
      <c r="C645" s="89">
        <v>1.1507000000000001</v>
      </c>
      <c r="D645" s="91">
        <f>IF(OR(C645="",C644=""),"",LN(C645/C644))</f>
        <v>1.1098117143136799E-2</v>
      </c>
      <c r="E645" s="89">
        <f>IF(D645="","",ABS(D645-$E$5)/$F$5)</f>
        <v>2.1725527303146368</v>
      </c>
      <c r="F645" s="89">
        <f>IF(D645="","",ABS(D645-$G$5)/$H$5)</f>
        <v>3.7111947373067156</v>
      </c>
      <c r="G645" s="89">
        <f>IF(D645="","",ABS(D645-$E$5)/SQRT(0.9*(IF(G644="",$F$5^2,(ABS(D644-$E$5)/MAX(G644,0.0000000001))^2))+0.1*(D645-$E$5)^2))</f>
        <v>2.3031042068959739</v>
      </c>
      <c r="H645" s="90" t="str">
        <f>IF(E645="","",IF(E645&gt;$I$5,"OUTLIER",""))</f>
        <v/>
      </c>
      <c r="I645" s="90" t="str">
        <f>IF(F645="","",IF(F645&gt;$I$5,"OUTLIER",""))</f>
        <v>OUTLIER</v>
      </c>
      <c r="J645" s="90" t="str">
        <f>IF(G645="","",IF(G645&gt;$I$5,"OUTLIER",""))</f>
        <v/>
      </c>
      <c r="K645" s="90" t="str">
        <f>IF(C645="","MISSING","")</f>
        <v/>
      </c>
      <c r="L645" s="90" t="str">
        <f>IF(AND(C645&lt;&gt;"",C644&lt;&gt;"",C645=C644),"STALE","")</f>
        <v/>
      </c>
      <c r="M645" s="106">
        <f>IF(D645="","",ABS(D645-G$5))</f>
        <v>1.1098117143136799E-2</v>
      </c>
    </row>
    <row r="646" spans="2:13" ht="12.75" customHeight="1" x14ac:dyDescent="0.55000000000000004">
      <c r="B646" s="97">
        <v>45825</v>
      </c>
      <c r="C646" s="89">
        <v>1.1528</v>
      </c>
      <c r="D646" s="91">
        <f>IF(OR(C646="",C645=""),"",LN(C646/C645))</f>
        <v>1.8233128558994556E-3</v>
      </c>
      <c r="E646" s="89">
        <f>IF(D646="","",ABS(D646-$E$5)/$F$5)</f>
        <v>0.3340906711613198</v>
      </c>
      <c r="F646" s="89">
        <f>IF(D646="","",ABS(D646-$G$5)/$H$5)</f>
        <v>0.60971325027527956</v>
      </c>
      <c r="G646" s="89">
        <f>IF(D646="","",ABS(D646-$E$5)/SQRT(0.9*(IF(G645="",$F$5^2,(ABS(D645-$E$5)/MAX(G645,0.0000000001))^2))+0.1*(D646-$E$5)^2))</f>
        <v>0.37074973361461167</v>
      </c>
      <c r="H646" s="90" t="str">
        <f>IF(E646="","",IF(E646&gt;$I$5,"OUTLIER",""))</f>
        <v/>
      </c>
      <c r="I646" s="90" t="str">
        <f>IF(F646="","",IF(F646&gt;$I$5,"OUTLIER",""))</f>
        <v/>
      </c>
      <c r="J646" s="90" t="str">
        <f>IF(G646="","",IF(G646&gt;$I$5,"OUTLIER",""))</f>
        <v/>
      </c>
      <c r="K646" s="90" t="str">
        <f>IF(C646="","MISSING","")</f>
        <v/>
      </c>
      <c r="L646" s="90" t="str">
        <f>IF(AND(C646&lt;&gt;"",C645&lt;&gt;"",C646=C645),"STALE","")</f>
        <v/>
      </c>
      <c r="M646" s="106">
        <f>IF(D646="","",ABS(D646-G$5))</f>
        <v>1.8233128558994556E-3</v>
      </c>
    </row>
    <row r="647" spans="2:13" ht="12.75" customHeight="1" x14ac:dyDescent="0.55000000000000004">
      <c r="B647" s="97">
        <v>45826</v>
      </c>
      <c r="C647" s="89">
        <v>1.1494</v>
      </c>
      <c r="D647" s="91">
        <f>IF(OR(C647="",C646=""),"",LN(C647/C646))</f>
        <v>-2.9536986116712838E-3</v>
      </c>
      <c r="E647" s="89">
        <f>IF(D647="","",ABS(D647-$E$5)/$F$5)</f>
        <v>0.61281387445309576</v>
      </c>
      <c r="F647" s="89">
        <f>IF(D647="","",ABS(D647-$G$5)/$H$5)</f>
        <v>0.98771265448423307</v>
      </c>
      <c r="G647" s="89">
        <f>IF(D647="","",ABS(D647-$E$5)/SQRT(0.9*(IF(G646="",$F$5^2,(ABS(D646-$E$5)/MAX(G646,0.0000000001))^2))+0.1*(D647-$E$5)^2))</f>
        <v>0.6991054193916435</v>
      </c>
      <c r="H647" s="90" t="str">
        <f>IF(E647="","",IF(E647&gt;$I$5,"OUTLIER",""))</f>
        <v/>
      </c>
      <c r="I647" s="90" t="str">
        <f>IF(F647="","",IF(F647&gt;$I$5,"OUTLIER",""))</f>
        <v/>
      </c>
      <c r="J647" s="90" t="str">
        <f>IF(G647="","",IF(G647&gt;$I$5,"OUTLIER",""))</f>
        <v/>
      </c>
      <c r="K647" s="90" t="str">
        <f>IF(C647="","MISSING","")</f>
        <v/>
      </c>
      <c r="L647" s="90" t="str">
        <f>IF(AND(C647&lt;&gt;"",C646&lt;&gt;"",C647=C646),"STALE","")</f>
        <v/>
      </c>
      <c r="M647" s="106">
        <f>IF(D647="","",ABS(D647-G$5))</f>
        <v>2.9536986116712838E-3</v>
      </c>
    </row>
    <row r="648" spans="2:13" ht="12.75" customHeight="1" x14ac:dyDescent="0.55000000000000004">
      <c r="B648" s="97">
        <v>45827</v>
      </c>
      <c r="C648" s="89"/>
      <c r="D648" s="91" t="str">
        <f>IF(OR(C648="",C647=""),"",LN(C648/C647))</f>
        <v/>
      </c>
      <c r="E648" s="89" t="str">
        <f>IF(D648="","",ABS(D648-$E$5)/$F$5)</f>
        <v/>
      </c>
      <c r="F648" s="89" t="str">
        <f>IF(D648="","",ABS(D648-$G$5)/$H$5)</f>
        <v/>
      </c>
      <c r="G648" s="89" t="str">
        <f>IF(D648="","",ABS(D648-$E$5)/SQRT(0.9*(IF(G647="",$F$5^2,(ABS(D647-$E$5)/MAX(G647,0.0000000001))^2))+0.1*(D648-$E$5)^2))</f>
        <v/>
      </c>
      <c r="H648" s="90" t="str">
        <f>IF(E648="","",IF(E648&gt;$I$5,"OUTLIER",""))</f>
        <v/>
      </c>
      <c r="I648" s="90" t="str">
        <f>IF(F648="","",IF(F648&gt;$I$5,"OUTLIER",""))</f>
        <v/>
      </c>
      <c r="J648" s="90" t="str">
        <f>IF(G648="","",IF(G648&gt;$I$5,"OUTLIER",""))</f>
        <v/>
      </c>
      <c r="K648" s="90" t="str">
        <f>IF(C648="","MISSING","")</f>
        <v>MISSING</v>
      </c>
      <c r="L648" s="90" t="str">
        <f>IF(AND(C648&lt;&gt;"",C647&lt;&gt;"",C648=C647),"STALE","")</f>
        <v/>
      </c>
      <c r="M648" s="106" t="str">
        <f>IF(D648="","",ABS(D648-G$5))</f>
        <v/>
      </c>
    </row>
    <row r="649" spans="2:13" ht="12.75" customHeight="1" x14ac:dyDescent="0.55000000000000004">
      <c r="B649" s="97">
        <v>45828</v>
      </c>
      <c r="C649" s="89">
        <v>1.1487000000000001</v>
      </c>
      <c r="D649" s="91" t="str">
        <f>IF(OR(C649="",C648=""),"",LN(C649/C648))</f>
        <v/>
      </c>
      <c r="E649" s="89" t="str">
        <f>IF(D649="","",ABS(D649-$E$5)/$F$5)</f>
        <v/>
      </c>
      <c r="F649" s="89" t="str">
        <f>IF(D649="","",ABS(D649-$G$5)/$H$5)</f>
        <v/>
      </c>
      <c r="G649" s="89" t="str">
        <f>IF(D649="","",ABS(D649-$E$5)/SQRT(0.9*(IF(G648="",$F$5^2,(ABS(D648-$E$5)/MAX(G648,0.0000000001))^2))+0.1*(D649-$E$5)^2))</f>
        <v/>
      </c>
      <c r="H649" s="90" t="str">
        <f>IF(E649="","",IF(E649&gt;$I$5,"OUTLIER",""))</f>
        <v/>
      </c>
      <c r="I649" s="90" t="str">
        <f>IF(F649="","",IF(F649&gt;$I$5,"OUTLIER",""))</f>
        <v/>
      </c>
      <c r="J649" s="90" t="str">
        <f>IF(G649="","",IF(G649&gt;$I$5,"OUTLIER",""))</f>
        <v/>
      </c>
      <c r="K649" s="90" t="str">
        <f>IF(C649="","MISSING","")</f>
        <v/>
      </c>
      <c r="L649" s="90" t="str">
        <f>IF(AND(C649&lt;&gt;"",C648&lt;&gt;"",C649=C648),"STALE","")</f>
        <v/>
      </c>
      <c r="M649" s="106" t="str">
        <f>IF(D649="","",ABS(D649-G$5))</f>
        <v/>
      </c>
    </row>
    <row r="650" spans="2:13" ht="12.75" customHeight="1" x14ac:dyDescent="0.55000000000000004">
      <c r="B650" s="97">
        <v>45831</v>
      </c>
      <c r="C650" s="89">
        <v>1.1491</v>
      </c>
      <c r="D650" s="91">
        <f>IF(OR(C650="",C649=""),"",LN(C650/C649))</f>
        <v>3.4815911222956094E-4</v>
      </c>
      <c r="E650" s="89">
        <f>IF(D650="","",ABS(D650-$E$5)/$F$5)</f>
        <v>4.1684049397131842E-2</v>
      </c>
      <c r="F650" s="89">
        <f>IF(D650="","",ABS(D650-$G$5)/$H$5)</f>
        <v>0.11642391663263038</v>
      </c>
      <c r="G650" s="89">
        <f>IF(D650="","",ABS(D650-$E$5)/SQRT(0.9*(IF(G649="",$F$5^2,(ABS(D649-$E$5)/MAX(G649,0.0000000001))^2))+0.1*(D650-$E$5)^2))</f>
        <v>4.3934605213117914E-2</v>
      </c>
      <c r="H650" s="90" t="str">
        <f>IF(E650="","",IF(E650&gt;$I$5,"OUTLIER",""))</f>
        <v/>
      </c>
      <c r="I650" s="90" t="str">
        <f>IF(F650="","",IF(F650&gt;$I$5,"OUTLIER",""))</f>
        <v/>
      </c>
      <c r="J650" s="90" t="str">
        <f>IF(G650="","",IF(G650&gt;$I$5,"OUTLIER",""))</f>
        <v/>
      </c>
      <c r="K650" s="90" t="str">
        <f>IF(C650="","MISSING","")</f>
        <v/>
      </c>
      <c r="L650" s="90" t="str">
        <f>IF(AND(C650&lt;&gt;"",C649&lt;&gt;"",C650=C649),"STALE","")</f>
        <v/>
      </c>
      <c r="M650" s="106">
        <f>IF(D650="","",ABS(D650-G$5))</f>
        <v>3.4815911222956094E-4</v>
      </c>
    </row>
    <row r="651" spans="2:13" ht="12.75" customHeight="1" x14ac:dyDescent="0.55000000000000004">
      <c r="B651" s="97">
        <v>45832</v>
      </c>
      <c r="C651" s="89">
        <v>1.1497999999999999</v>
      </c>
      <c r="D651" s="91">
        <f>IF(OR(C651="",C650=""),"",LN(C651/C650))</f>
        <v>6.0898692560244316E-4</v>
      </c>
      <c r="E651" s="89">
        <f>IF(D651="","",ABS(D651-$E$5)/$F$5)</f>
        <v>9.3385629722424063E-2</v>
      </c>
      <c r="F651" s="89">
        <f>IF(D651="","",ABS(D651-$G$5)/$H$5)</f>
        <v>0.2036443699625243</v>
      </c>
      <c r="G651" s="89">
        <f>IF(D651="","",ABS(D651-$E$5)/SQRT(0.9*(IF(G650="",$F$5^2,(ABS(D650-$E$5)/MAX(G650,0.0000000001))^2))+0.1*(D651-$E$5)^2))</f>
        <v>0.10369599957815832</v>
      </c>
      <c r="H651" s="90" t="str">
        <f>IF(E651="","",IF(E651&gt;$I$5,"OUTLIER",""))</f>
        <v/>
      </c>
      <c r="I651" s="90" t="str">
        <f>IF(F651="","",IF(F651&gt;$I$5,"OUTLIER",""))</f>
        <v/>
      </c>
      <c r="J651" s="90" t="str">
        <f>IF(G651="","",IF(G651&gt;$I$5,"OUTLIER",""))</f>
        <v/>
      </c>
      <c r="K651" s="90" t="str">
        <f>IF(C651="","MISSING","")</f>
        <v/>
      </c>
      <c r="L651" s="90" t="str">
        <f>IF(AND(C651&lt;&gt;"",C650&lt;&gt;"",C651=C650),"STALE","")</f>
        <v/>
      </c>
      <c r="M651" s="106">
        <f>IF(D651="","",ABS(D651-G$5))</f>
        <v>6.0898692560244316E-4</v>
      </c>
    </row>
    <row r="652" spans="2:13" ht="12.75" customHeight="1" x14ac:dyDescent="0.55000000000000004">
      <c r="B652" s="97">
        <v>45833</v>
      </c>
      <c r="C652" s="89">
        <v>1.1518999999999999</v>
      </c>
      <c r="D652" s="91">
        <f>IF(OR(C652="",C651=""),"",LN(C652/C651))</f>
        <v>1.824738743270234E-3</v>
      </c>
      <c r="E652" s="89">
        <f>IF(D652="","",ABS(D652-$E$5)/$F$5)</f>
        <v>0.33437331214765409</v>
      </c>
      <c r="F652" s="89">
        <f>IF(D652="","",ABS(D652-$G$5)/$H$5)</f>
        <v>0.61019006500323525</v>
      </c>
      <c r="G652" s="89">
        <f>IF(D652="","",ABS(D652-$E$5)/SQRT(0.9*(IF(G651="",$F$5^2,(ABS(D651-$E$5)/MAX(G651,0.0000000001))^2))+0.1*(D652-$E$5)^2))</f>
        <v>0.38841088472718921</v>
      </c>
      <c r="H652" s="90" t="str">
        <f>IF(E652="","",IF(E652&gt;$I$5,"OUTLIER",""))</f>
        <v/>
      </c>
      <c r="I652" s="90" t="str">
        <f>IF(F652="","",IF(F652&gt;$I$5,"OUTLIER",""))</f>
        <v/>
      </c>
      <c r="J652" s="90" t="str">
        <f>IF(G652="","",IF(G652&gt;$I$5,"OUTLIER",""))</f>
        <v/>
      </c>
      <c r="K652" s="90" t="str">
        <f>IF(C652="","MISSING","")</f>
        <v/>
      </c>
      <c r="L652" s="90" t="str">
        <f>IF(AND(C652&lt;&gt;"",C651&lt;&gt;"",C652=C651),"STALE","")</f>
        <v/>
      </c>
      <c r="M652" s="106">
        <f>IF(D652="","",ABS(D652-G$5))</f>
        <v>1.824738743270234E-3</v>
      </c>
    </row>
    <row r="653" spans="2:13" ht="12.75" customHeight="1" x14ac:dyDescent="0.55000000000000004">
      <c r="B653" s="97">
        <v>45834</v>
      </c>
      <c r="C653" s="89">
        <v>1.1540999999999999</v>
      </c>
      <c r="D653" s="91">
        <f>IF(OR(C653="",C652=""),"",LN(C653/C652))</f>
        <v>1.9080664938984826E-3</v>
      </c>
      <c r="E653" s="89">
        <f>IF(D653="","",ABS(D653-$E$5)/$F$5)</f>
        <v>0.35089063189481345</v>
      </c>
      <c r="F653" s="89">
        <f>IF(D653="","",ABS(D653-$G$5)/$H$5)</f>
        <v>0.63805474741870272</v>
      </c>
      <c r="G653" s="89">
        <f>IF(D653="","",ABS(D653-$E$5)/SQRT(0.9*(IF(G652="",$F$5^2,(ABS(D652-$E$5)/MAX(G652,0.0000000001))^2))+0.1*(D653-$E$5)^2))</f>
        <v>0.42573407896084908</v>
      </c>
      <c r="H653" s="90" t="str">
        <f>IF(E653="","",IF(E653&gt;$I$5,"OUTLIER",""))</f>
        <v/>
      </c>
      <c r="I653" s="90" t="str">
        <f>IF(F653="","",IF(F653&gt;$I$5,"OUTLIER",""))</f>
        <v/>
      </c>
      <c r="J653" s="90" t="str">
        <f>IF(G653="","",IF(G653&gt;$I$5,"OUTLIER",""))</f>
        <v/>
      </c>
      <c r="K653" s="90" t="str">
        <f>IF(C653="","MISSING","")</f>
        <v/>
      </c>
      <c r="L653" s="90" t="str">
        <f>IF(AND(C653&lt;&gt;"",C652&lt;&gt;"",C653=C652),"STALE","")</f>
        <v/>
      </c>
      <c r="M653" s="106">
        <f>IF(D653="","",ABS(D653-G$5))</f>
        <v>1.9080664938984826E-3</v>
      </c>
    </row>
    <row r="654" spans="2:13" ht="12.75" customHeight="1" x14ac:dyDescent="0.55000000000000004">
      <c r="B654" s="97">
        <v>45835</v>
      </c>
      <c r="C654" s="89">
        <v>1.1625000000000001</v>
      </c>
      <c r="D654" s="91">
        <f>IF(OR(C654="",C653=""),"",LN(C654/C653))</f>
        <v>7.2520390351523975E-3</v>
      </c>
      <c r="E654" s="89">
        <f>IF(D654="","",ABS(D654-$E$5)/$F$5)</f>
        <v>1.4101788344255977</v>
      </c>
      <c r="F654" s="89">
        <f>IF(D654="","",ABS(D654-$G$5)/$H$5)</f>
        <v>2.4250716364662095</v>
      </c>
      <c r="G654" s="89">
        <f>IF(D654="","",ABS(D654-$E$5)/SQRT(0.9*(IF(G653="",$F$5^2,(ABS(D653-$E$5)/MAX(G653,0.0000000001))^2))+0.1*(D654-$E$5)^2))</f>
        <v>1.5666356003908335</v>
      </c>
      <c r="H654" s="90" t="str">
        <f>IF(E654="","",IF(E654&gt;$I$5,"OUTLIER",""))</f>
        <v/>
      </c>
      <c r="I654" s="90" t="str">
        <f>IF(F654="","",IF(F654&gt;$I$5,"OUTLIER",""))</f>
        <v/>
      </c>
      <c r="J654" s="90" t="str">
        <f>IF(G654="","",IF(G654&gt;$I$5,"OUTLIER",""))</f>
        <v/>
      </c>
      <c r="K654" s="90" t="str">
        <f>IF(C654="","MISSING","")</f>
        <v/>
      </c>
      <c r="L654" s="90" t="str">
        <f>IF(AND(C654&lt;&gt;"",C653&lt;&gt;"",C654=C653),"STALE","")</f>
        <v/>
      </c>
      <c r="M654" s="106">
        <f>IF(D654="","",ABS(D654-G$5))</f>
        <v>7.2520390351523975E-3</v>
      </c>
    </row>
    <row r="655" spans="2:13" ht="12.75" customHeight="1" x14ac:dyDescent="0.55000000000000004">
      <c r="B655" s="97">
        <v>45838</v>
      </c>
      <c r="C655" s="89">
        <v>1.1606000000000001</v>
      </c>
      <c r="D655" s="91">
        <f>IF(OR(C655="",C654=""),"",LN(C655/C654))</f>
        <v>-1.6357457050035177E-3</v>
      </c>
      <c r="E655" s="89">
        <f>IF(D655="","",ABS(D655-$E$5)/$F$5)</f>
        <v>0.35156777808061329</v>
      </c>
      <c r="F655" s="89">
        <f>IF(D655="","",ABS(D655-$G$5)/$H$5)</f>
        <v>0.54699105926587088</v>
      </c>
      <c r="G655" s="89">
        <f>IF(D655="","",ABS(D655-$E$5)/SQRT(0.9*(IF(G654="",$F$5^2,(ABS(D654-$E$5)/MAX(G654,0.0000000001))^2))+0.1*(D655-$E$5)^2))</f>
        <v>0.4082553291511733</v>
      </c>
      <c r="H655" s="90" t="str">
        <f>IF(E655="","",IF(E655&gt;$I$5,"OUTLIER",""))</f>
        <v/>
      </c>
      <c r="I655" s="90" t="str">
        <f>IF(F655="","",IF(F655&gt;$I$5,"OUTLIER",""))</f>
        <v/>
      </c>
      <c r="J655" s="90" t="str">
        <f>IF(G655="","",IF(G655&gt;$I$5,"OUTLIER",""))</f>
        <v/>
      </c>
      <c r="K655" s="90" t="str">
        <f>IF(C655="","MISSING","")</f>
        <v/>
      </c>
      <c r="L655" s="90" t="str">
        <f>IF(AND(C655&lt;&gt;"",C654&lt;&gt;"",C655=C654),"STALE","")</f>
        <v/>
      </c>
      <c r="M655" s="106">
        <f>IF(D655="","",ABS(D655-G$5))</f>
        <v>1.6357457050035177E-3</v>
      </c>
    </row>
    <row r="656" spans="2:13" ht="12.75" customHeight="1" x14ac:dyDescent="0.55000000000000004">
      <c r="B656" s="97">
        <v>45839</v>
      </c>
      <c r="C656" s="89">
        <v>1.1638999999999999</v>
      </c>
      <c r="D656" s="91">
        <f>IF(OR(C656="",C655=""),"",LN(C656/C655))</f>
        <v>2.8393221914225827E-3</v>
      </c>
      <c r="E656" s="89">
        <f>IF(D656="","",ABS(D656-$E$5)/$F$5)</f>
        <v>0.53548517580603461</v>
      </c>
      <c r="F656" s="89">
        <f>IF(D656="","",ABS(D656-$G$5)/$H$5)</f>
        <v>0.94946534068997746</v>
      </c>
      <c r="G656" s="89">
        <f>IF(D656="","",ABS(D656-$E$5)/SQRT(0.9*(IF(G655="",$F$5^2,(ABS(D655-$E$5)/MAX(G655,0.0000000001))^2))+0.1*(D656-$E$5)^2))</f>
        <v>0.64182181640245339</v>
      </c>
      <c r="H656" s="90" t="str">
        <f>IF(E656="","",IF(E656&gt;$I$5,"OUTLIER",""))</f>
        <v/>
      </c>
      <c r="I656" s="90" t="str">
        <f>IF(F656="","",IF(F656&gt;$I$5,"OUTLIER",""))</f>
        <v/>
      </c>
      <c r="J656" s="90" t="str">
        <f>IF(G656="","",IF(G656&gt;$I$5,"OUTLIER",""))</f>
        <v/>
      </c>
      <c r="K656" s="90" t="str">
        <f>IF(C656="","MISSING","")</f>
        <v/>
      </c>
      <c r="L656" s="90" t="str">
        <f>IF(AND(C656&lt;&gt;"",C655&lt;&gt;"",C656=C655),"STALE","")</f>
        <v/>
      </c>
      <c r="M656" s="106">
        <f>IF(D656="","",ABS(D656-G$5))</f>
        <v>2.8393221914225827E-3</v>
      </c>
    </row>
    <row r="657" spans="2:13" ht="12.75" customHeight="1" x14ac:dyDescent="0.55000000000000004">
      <c r="B657" s="97">
        <v>45840</v>
      </c>
      <c r="C657" s="89">
        <v>1.1660999999999999</v>
      </c>
      <c r="D657" s="91">
        <f>IF(OR(C657="",C656=""),"",LN(C657/C656))</f>
        <v>1.8884125783566082E-3</v>
      </c>
      <c r="E657" s="89">
        <f>IF(D657="","",ABS(D657-$E$5)/$F$5)</f>
        <v>0.34699481081670608</v>
      </c>
      <c r="F657" s="89">
        <f>IF(D657="","",ABS(D657-$G$5)/$H$5)</f>
        <v>0.63148250575052201</v>
      </c>
      <c r="G657" s="89">
        <f>IF(D657="","",ABS(D657-$E$5)/SQRT(0.9*(IF(G656="",$F$5^2,(ABS(D656-$E$5)/MAX(G656,0.0000000001))^2))+0.1*(D657-$E$5)^2))</f>
        <v>0.43424510282250944</v>
      </c>
      <c r="H657" s="90" t="str">
        <f>IF(E657="","",IF(E657&gt;$I$5,"OUTLIER",""))</f>
        <v/>
      </c>
      <c r="I657" s="90" t="str">
        <f>IF(F657="","",IF(F657&gt;$I$5,"OUTLIER",""))</f>
        <v/>
      </c>
      <c r="J657" s="90" t="str">
        <f>IF(G657="","",IF(G657&gt;$I$5,"OUTLIER",""))</f>
        <v/>
      </c>
      <c r="K657" s="90" t="str">
        <f>IF(C657="","MISSING","")</f>
        <v/>
      </c>
      <c r="L657" s="90" t="str">
        <f>IF(AND(C657&lt;&gt;"",C656&lt;&gt;"",C657=C656),"STALE","")</f>
        <v/>
      </c>
      <c r="M657" s="106">
        <f>IF(D657="","",ABS(D657-G$5))</f>
        <v>1.8884125783566082E-3</v>
      </c>
    </row>
    <row r="658" spans="2:13" ht="12.75" customHeight="1" x14ac:dyDescent="0.55000000000000004">
      <c r="B658" s="97">
        <v>45841</v>
      </c>
      <c r="C658" s="89"/>
      <c r="D658" s="91" t="str">
        <f>IF(OR(C658="",C657=""),"",LN(C658/C657))</f>
        <v/>
      </c>
      <c r="E658" s="89" t="str">
        <f>IF(D658="","",ABS(D658-$E$5)/$F$5)</f>
        <v/>
      </c>
      <c r="F658" s="89" t="str">
        <f>IF(D658="","",ABS(D658-$G$5)/$H$5)</f>
        <v/>
      </c>
      <c r="G658" s="89" t="str">
        <f>IF(D658="","",ABS(D658-$E$5)/SQRT(0.9*(IF(G657="",$F$5^2,(ABS(D657-$E$5)/MAX(G657,0.0000000001))^2))+0.1*(D658-$E$5)^2))</f>
        <v/>
      </c>
      <c r="H658" s="90" t="str">
        <f>IF(E658="","",IF(E658&gt;$I$5,"OUTLIER",""))</f>
        <v/>
      </c>
      <c r="I658" s="90" t="str">
        <f>IF(F658="","",IF(F658&gt;$I$5,"OUTLIER",""))</f>
        <v/>
      </c>
      <c r="J658" s="90" t="str">
        <f>IF(G658="","",IF(G658&gt;$I$5,"OUTLIER",""))</f>
        <v/>
      </c>
      <c r="K658" s="90" t="str">
        <f>IF(C658="","MISSING","")</f>
        <v>MISSING</v>
      </c>
      <c r="L658" s="90" t="str">
        <f>IF(AND(C658&lt;&gt;"",C657&lt;&gt;"",C658=C657),"STALE","")</f>
        <v/>
      </c>
      <c r="M658" s="106" t="str">
        <f>IF(D658="","",ABS(D658-G$5))</f>
        <v/>
      </c>
    </row>
    <row r="659" spans="2:13" ht="12.75" customHeight="1" x14ac:dyDescent="0.55000000000000004">
      <c r="B659" s="97">
        <v>45842</v>
      </c>
      <c r="C659" s="89"/>
      <c r="D659" s="91" t="str">
        <f>IF(OR(C659="",C658=""),"",LN(C659/C658))</f>
        <v/>
      </c>
      <c r="E659" s="89" t="str">
        <f>IF(D659="","",ABS(D659-$E$5)/$F$5)</f>
        <v/>
      </c>
      <c r="F659" s="89" t="str">
        <f>IF(D659="","",ABS(D659-$G$5)/$H$5)</f>
        <v/>
      </c>
      <c r="G659" s="89" t="str">
        <f>IF(D659="","",ABS(D659-$E$5)/SQRT(0.9*(IF(G658="",$F$5^2,(ABS(D658-$E$5)/MAX(G658,0.0000000001))^2))+0.1*(D659-$E$5)^2))</f>
        <v/>
      </c>
      <c r="H659" s="90" t="str">
        <f>IF(E659="","",IF(E659&gt;$I$5,"OUTLIER",""))</f>
        <v/>
      </c>
      <c r="I659" s="90" t="str">
        <f>IF(F659="","",IF(F659&gt;$I$5,"OUTLIER",""))</f>
        <v/>
      </c>
      <c r="J659" s="90" t="str">
        <f>IF(G659="","",IF(G659&gt;$I$5,"OUTLIER",""))</f>
        <v/>
      </c>
      <c r="K659" s="90" t="str">
        <f>IF(C659="","MISSING","")</f>
        <v>MISSING</v>
      </c>
      <c r="L659" s="90" t="str">
        <f>IF(AND(C659&lt;&gt;"",C658&lt;&gt;"",C659=C658),"STALE","")</f>
        <v/>
      </c>
      <c r="M659" s="106" t="str">
        <f>IF(D659="","",ABS(D659-G$5))</f>
        <v/>
      </c>
    </row>
    <row r="660" spans="2:13" ht="12.75" customHeight="1" x14ac:dyDescent="0.55000000000000004">
      <c r="B660" s="97">
        <v>45845</v>
      </c>
      <c r="C660" s="89">
        <v>1.1733</v>
      </c>
      <c r="D660" s="91" t="str">
        <f>IF(OR(C660="",C659=""),"",LN(C660/C659))</f>
        <v/>
      </c>
      <c r="E660" s="89" t="str">
        <f>IF(D660="","",ABS(D660-$E$5)/$F$5)</f>
        <v/>
      </c>
      <c r="F660" s="89" t="str">
        <f>IF(D660="","",ABS(D660-$G$5)/$H$5)</f>
        <v/>
      </c>
      <c r="G660" s="89" t="str">
        <f>IF(D660="","",ABS(D660-$E$5)/SQRT(0.9*(IF(G659="",$F$5^2,(ABS(D659-$E$5)/MAX(G659,0.0000000001))^2))+0.1*(D660-$E$5)^2))</f>
        <v/>
      </c>
      <c r="H660" s="90" t="str">
        <f>IF(E660="","",IF(E660&gt;$I$5,"OUTLIER",""))</f>
        <v/>
      </c>
      <c r="I660" s="90" t="str">
        <f>IF(F660="","",IF(F660&gt;$I$5,"OUTLIER",""))</f>
        <v/>
      </c>
      <c r="J660" s="90" t="str">
        <f>IF(G660="","",IF(G660&gt;$I$5,"OUTLIER",""))</f>
        <v/>
      </c>
      <c r="K660" s="90" t="str">
        <f>IF(C660="","MISSING","")</f>
        <v/>
      </c>
      <c r="L660" s="90" t="str">
        <f>IF(AND(C660&lt;&gt;"",C659&lt;&gt;"",C660=C659),"STALE","")</f>
        <v/>
      </c>
      <c r="M660" s="106" t="str">
        <f>IF(D660="","",ABS(D660-G$5))</f>
        <v/>
      </c>
    </row>
    <row r="661" spans="2:13" ht="12.75" customHeight="1" x14ac:dyDescent="0.55000000000000004">
      <c r="B661" s="97">
        <v>45846</v>
      </c>
      <c r="C661" s="89">
        <v>1.18</v>
      </c>
      <c r="D661" s="91">
        <f>IF(OR(C661="",C660=""),"",LN(C661/C660))</f>
        <v>5.6941470301323282E-3</v>
      </c>
      <c r="E661" s="89">
        <f>IF(D661="","",ABS(D661-$E$5)/$F$5)</f>
        <v>1.1013717421369891</v>
      </c>
      <c r="F661" s="89">
        <f>IF(D661="","",ABS(D661-$G$5)/$H$5)</f>
        <v>1.9041147447921907</v>
      </c>
      <c r="G661" s="89">
        <f>IF(D661="","",ABS(D661-$E$5)/SQRT(0.9*(IF(G660="",$F$5^2,(ABS(D660-$E$5)/MAX(G660,0.0000000001))^2))+0.1*(D661-$E$5)^2))</f>
        <v>1.0898251965505092</v>
      </c>
      <c r="H661" s="90" t="str">
        <f>IF(E661="","",IF(E661&gt;$I$5,"OUTLIER",""))</f>
        <v/>
      </c>
      <c r="I661" s="90" t="str">
        <f>IF(F661="","",IF(F661&gt;$I$5,"OUTLIER",""))</f>
        <v/>
      </c>
      <c r="J661" s="90" t="str">
        <f>IF(G661="","",IF(G661&gt;$I$5,"OUTLIER",""))</f>
        <v/>
      </c>
      <c r="K661" s="90" t="str">
        <f>IF(C661="","MISSING","")</f>
        <v/>
      </c>
      <c r="L661" s="90" t="str">
        <f>IF(AND(C661&lt;&gt;"",C660&lt;&gt;"",C661=C660),"STALE","")</f>
        <v/>
      </c>
      <c r="M661" s="106">
        <f>IF(D661="","",ABS(D661-G$5))</f>
        <v>5.6941470301323282E-3</v>
      </c>
    </row>
    <row r="662" spans="2:13" ht="12.75" customHeight="1" x14ac:dyDescent="0.55000000000000004">
      <c r="B662" s="97">
        <v>45847</v>
      </c>
      <c r="C662" s="89">
        <v>1.1778999999999999</v>
      </c>
      <c r="D662" s="91">
        <f>IF(OR(C662="",C661=""),"",LN(C662/C661))</f>
        <v>-1.7812464949716346E-3</v>
      </c>
      <c r="E662" s="89">
        <f>IF(D662="","",ABS(D662-$E$5)/$F$5)</f>
        <v>0.38040910708863457</v>
      </c>
      <c r="F662" s="89">
        <f>IF(D662="","",ABS(D662-$G$5)/$H$5)</f>
        <v>0.59564631844535942</v>
      </c>
      <c r="G662" s="89">
        <f>IF(D662="","",ABS(D662-$E$5)/SQRT(0.9*(IF(G661="",$F$5^2,(ABS(D661-$E$5)/MAX(G661,0.0000000001))^2))+0.1*(D662-$E$5)^2))</f>
        <v>0.39369555366568099</v>
      </c>
      <c r="H662" s="90" t="str">
        <f>IF(E662="","",IF(E662&gt;$I$5,"OUTLIER",""))</f>
        <v/>
      </c>
      <c r="I662" s="90" t="str">
        <f>IF(F662="","",IF(F662&gt;$I$5,"OUTLIER",""))</f>
        <v/>
      </c>
      <c r="J662" s="90" t="str">
        <f>IF(G662="","",IF(G662&gt;$I$5,"OUTLIER",""))</f>
        <v/>
      </c>
      <c r="K662" s="90" t="str">
        <f>IF(C662="","MISSING","")</f>
        <v/>
      </c>
      <c r="L662" s="90" t="str">
        <f>IF(AND(C662&lt;&gt;"",C661&lt;&gt;"",C662=C661),"STALE","")</f>
        <v/>
      </c>
      <c r="M662" s="106">
        <f>IF(D662="","",ABS(D662-G$5))</f>
        <v>1.7812464949716346E-3</v>
      </c>
    </row>
    <row r="663" spans="2:13" ht="12.75" customHeight="1" x14ac:dyDescent="0.55000000000000004">
      <c r="B663" s="97">
        <v>45848</v>
      </c>
      <c r="C663" s="89">
        <v>1.1724000000000001</v>
      </c>
      <c r="D663" s="91">
        <f>IF(OR(C663="",C662=""),"",LN(C663/C662))</f>
        <v>-4.680262128001357E-3</v>
      </c>
      <c r="E663" s="89">
        <f>IF(D663="","",ABS(D663-$E$5)/$F$5)</f>
        <v>0.95505522199927395</v>
      </c>
      <c r="F663" s="89">
        <f>IF(D663="","",ABS(D663-$G$5)/$H$5)</f>
        <v>1.5650730619108646</v>
      </c>
      <c r="G663" s="89">
        <f>IF(D663="","",ABS(D663-$E$5)/SQRT(0.9*(IF(G662="",$F$5^2,(ABS(D662-$E$5)/MAX(G662,0.0000000001))^2))+0.1*(D663-$E$5)^2))</f>
        <v>0.98955286876648385</v>
      </c>
      <c r="H663" s="90" t="str">
        <f>IF(E663="","",IF(E663&gt;$I$5,"OUTLIER",""))</f>
        <v/>
      </c>
      <c r="I663" s="90" t="str">
        <f>IF(F663="","",IF(F663&gt;$I$5,"OUTLIER",""))</f>
        <v/>
      </c>
      <c r="J663" s="90" t="str">
        <f>IF(G663="","",IF(G663&gt;$I$5,"OUTLIER",""))</f>
        <v/>
      </c>
      <c r="K663" s="90" t="str">
        <f>IF(C663="","MISSING","")</f>
        <v/>
      </c>
      <c r="L663" s="90" t="str">
        <f>IF(AND(C663&lt;&gt;"",C662&lt;&gt;"",C663=C662),"STALE","")</f>
        <v/>
      </c>
      <c r="M663" s="106">
        <f>IF(D663="","",ABS(D663-G$5))</f>
        <v>4.680262128001357E-3</v>
      </c>
    </row>
    <row r="664" spans="2:13" ht="12.75" customHeight="1" x14ac:dyDescent="0.55000000000000004">
      <c r="B664" s="97">
        <v>45849</v>
      </c>
      <c r="C664" s="89">
        <v>1.1719999999999999</v>
      </c>
      <c r="D664" s="91">
        <f>IF(OR(C664="",C663=""),"",LN(C664/C663))</f>
        <v>-3.412386997795538E-4</v>
      </c>
      <c r="E664" s="89">
        <f>IF(D664="","",ABS(D664-$E$5)/$F$5)</f>
        <v>9.4969154464660296E-2</v>
      </c>
      <c r="F664" s="89">
        <f>IF(D664="","",ABS(D664-$G$5)/$H$5)</f>
        <v>0.11410974045903133</v>
      </c>
      <c r="G664" s="89">
        <f>IF(D664="","",ABS(D664-$E$5)/SQRT(0.9*(IF(G663="",$F$5^2,(ABS(D663-$E$5)/MAX(G663,0.0000000001))^2))+0.1*(D664-$E$5)^2))</f>
        <v>0.1036664788199755</v>
      </c>
      <c r="H664" s="90" t="str">
        <f>IF(E664="","",IF(E664&gt;$I$5,"OUTLIER",""))</f>
        <v/>
      </c>
      <c r="I664" s="90" t="str">
        <f>IF(F664="","",IF(F664&gt;$I$5,"OUTLIER",""))</f>
        <v/>
      </c>
      <c r="J664" s="90" t="str">
        <f>IF(G664="","",IF(G664&gt;$I$5,"OUTLIER",""))</f>
        <v/>
      </c>
      <c r="K664" s="90" t="str">
        <f>IF(C664="","MISSING","")</f>
        <v/>
      </c>
      <c r="L664" s="90" t="str">
        <f>IF(AND(C664&lt;&gt;"",C663&lt;&gt;"",C664=C663),"STALE","")</f>
        <v/>
      </c>
      <c r="M664" s="106">
        <f>IF(D664="","",ABS(D664-G$5))</f>
        <v>3.412386997795538E-4</v>
      </c>
    </row>
    <row r="665" spans="2:13" ht="12.75" customHeight="1" x14ac:dyDescent="0.55000000000000004">
      <c r="B665" s="97">
        <v>45852</v>
      </c>
      <c r="C665" s="89">
        <v>1.1684000000000001</v>
      </c>
      <c r="D665" s="91">
        <f>IF(OR(C665="",C664=""),"",LN(C665/C664))</f>
        <v>-3.0763996233718715E-3</v>
      </c>
      <c r="E665" s="89">
        <f>IF(D665="","",ABS(D665-$E$5)/$F$5)</f>
        <v>0.63713580596184682</v>
      </c>
      <c r="F665" s="89">
        <f>IF(D665="","",ABS(D665-$G$5)/$H$5)</f>
        <v>1.0287436999320669</v>
      </c>
      <c r="G665" s="89">
        <f>IF(D665="","",ABS(D665-$E$5)/SQRT(0.9*(IF(G664="",$F$5^2,(ABS(D664-$E$5)/MAX(G664,0.0000000001))^2))+0.1*(D665-$E$5)^2))</f>
        <v>0.71416555143411209</v>
      </c>
      <c r="H665" s="90" t="str">
        <f>IF(E665="","",IF(E665&gt;$I$5,"OUTLIER",""))</f>
        <v/>
      </c>
      <c r="I665" s="90" t="str">
        <f>IF(F665="","",IF(F665&gt;$I$5,"OUTLIER",""))</f>
        <v/>
      </c>
      <c r="J665" s="90" t="str">
        <f>IF(G665="","",IF(G665&gt;$I$5,"OUTLIER",""))</f>
        <v/>
      </c>
      <c r="K665" s="90" t="str">
        <f>IF(C665="","MISSING","")</f>
        <v/>
      </c>
      <c r="L665" s="90" t="str">
        <f>IF(AND(C665&lt;&gt;"",C664&lt;&gt;"",C665=C664),"STALE","")</f>
        <v/>
      </c>
      <c r="M665" s="106">
        <f>IF(D665="","",ABS(D665-G$5))</f>
        <v>3.0763996233718715E-3</v>
      </c>
    </row>
    <row r="666" spans="2:13" ht="12.75" customHeight="1" x14ac:dyDescent="0.55000000000000004">
      <c r="B666" s="97">
        <v>45853</v>
      </c>
      <c r="C666" s="89">
        <v>1.1686000000000001</v>
      </c>
      <c r="D666" s="91">
        <f>IF(OR(C666="",C665=""),"",LN(C666/C665))</f>
        <v>1.7115960675080549E-4</v>
      </c>
      <c r="E666" s="89">
        <f>IF(D666="","",ABS(D666-$E$5)/$F$5)</f>
        <v>6.5990098390066258E-3</v>
      </c>
      <c r="F666" s="89">
        <f>IF(D666="","",ABS(D666-$G$5)/$H$5)</f>
        <v>5.7235531362713657E-2</v>
      </c>
      <c r="G666" s="89">
        <f>IF(D666="","",ABS(D666-$E$5)/SQRT(0.9*(IF(G665="",$F$5^2,(ABS(D665-$E$5)/MAX(G665,0.0000000001))^2))+0.1*(D666-$E$5)^2))</f>
        <v>7.7969201472300118E-3</v>
      </c>
      <c r="H666" s="90" t="str">
        <f>IF(E666="","",IF(E666&gt;$I$5,"OUTLIER",""))</f>
        <v/>
      </c>
      <c r="I666" s="90" t="str">
        <f>IF(F666="","",IF(F666&gt;$I$5,"OUTLIER",""))</f>
        <v/>
      </c>
      <c r="J666" s="90" t="str">
        <f>IF(G666="","",IF(G666&gt;$I$5,"OUTLIER",""))</f>
        <v/>
      </c>
      <c r="K666" s="90" t="str">
        <f>IF(C666="","MISSING","")</f>
        <v/>
      </c>
      <c r="L666" s="90" t="str">
        <f>IF(AND(C666&lt;&gt;"",C665&lt;&gt;"",C666=C665),"STALE","")</f>
        <v/>
      </c>
      <c r="M666" s="106">
        <f>IF(D666="","",ABS(D666-G$5))</f>
        <v>1.7115960675080549E-4</v>
      </c>
    </row>
    <row r="667" spans="2:13" ht="12.75" customHeight="1" x14ac:dyDescent="0.55000000000000004">
      <c r="B667" s="97">
        <v>45854</v>
      </c>
      <c r="C667" s="89">
        <v>1.169</v>
      </c>
      <c r="D667" s="91">
        <f>IF(OR(C667="",C666=""),"",LN(C667/C666))</f>
        <v>3.4223135173164297E-4</v>
      </c>
      <c r="E667" s="89">
        <f>IF(D667="","",ABS(D667-$E$5)/$F$5)</f>
        <v>4.0509042094156601E-2</v>
      </c>
      <c r="F667" s="89">
        <f>IF(D667="","",ABS(D667-$G$5)/$H$5)</f>
        <v>0.1144416818733323</v>
      </c>
      <c r="G667" s="89">
        <f>IF(D667="","",ABS(D667-$E$5)/SQRT(0.9*(IF(G666="",$F$5^2,(ABS(D666-$E$5)/MAX(G666,0.0000000001))^2))+0.1*(D667-$E$5)^2))</f>
        <v>5.0445190284441936E-2</v>
      </c>
      <c r="H667" s="90" t="str">
        <f>IF(E667="","",IF(E667&gt;$I$5,"OUTLIER",""))</f>
        <v/>
      </c>
      <c r="I667" s="90" t="str">
        <f>IF(F667="","",IF(F667&gt;$I$5,"OUTLIER",""))</f>
        <v/>
      </c>
      <c r="J667" s="90" t="str">
        <f>IF(G667="","",IF(G667&gt;$I$5,"OUTLIER",""))</f>
        <v/>
      </c>
      <c r="K667" s="90" t="str">
        <f>IF(C667="","MISSING","")</f>
        <v/>
      </c>
      <c r="L667" s="90" t="str">
        <f>IF(AND(C667&lt;&gt;"",C666&lt;&gt;"",C667=C666),"STALE","")</f>
        <v/>
      </c>
      <c r="M667" s="106">
        <f>IF(D667="","",ABS(D667-G$5))</f>
        <v>3.4223135173164297E-4</v>
      </c>
    </row>
    <row r="668" spans="2:13" ht="12.75" customHeight="1" x14ac:dyDescent="0.55000000000000004">
      <c r="B668" s="97">
        <v>45855</v>
      </c>
      <c r="C668" s="89">
        <v>1.1739999999999999</v>
      </c>
      <c r="D668" s="91">
        <f>IF(OR(C668="",C667=""),"",LN(C668/C667))</f>
        <v>4.2680389159733319E-3</v>
      </c>
      <c r="E668" s="89">
        <f>IF(D668="","",ABS(D668-$E$5)/$F$5)</f>
        <v>0.8186869998034163</v>
      </c>
      <c r="F668" s="89">
        <f>IF(D668="","",ABS(D668-$G$5)/$H$5)</f>
        <v>1.4272262005610412</v>
      </c>
      <c r="G668" s="89">
        <f>IF(D668="","",ABS(D668-$E$5)/SQRT(0.9*(IF(G667="",$F$5^2,(ABS(D667-$E$5)/MAX(G667,0.0000000001))^2))+0.1*(D668-$E$5)^2))</f>
        <v>1.0174952561654107</v>
      </c>
      <c r="H668" s="90" t="str">
        <f>IF(E668="","",IF(E668&gt;$I$5,"OUTLIER",""))</f>
        <v/>
      </c>
      <c r="I668" s="90" t="str">
        <f>IF(F668="","",IF(F668&gt;$I$5,"OUTLIER",""))</f>
        <v/>
      </c>
      <c r="J668" s="90" t="str">
        <f>IF(G668="","",IF(G668&gt;$I$5,"OUTLIER",""))</f>
        <v/>
      </c>
      <c r="K668" s="90" t="str">
        <f>IF(C668="","MISSING","")</f>
        <v/>
      </c>
      <c r="L668" s="90" t="str">
        <f>IF(AND(C668&lt;&gt;"",C667&lt;&gt;"",C668=C667),"STALE","")</f>
        <v/>
      </c>
      <c r="M668" s="106">
        <f>IF(D668="","",ABS(D668-G$5))</f>
        <v>4.2680389159733319E-3</v>
      </c>
    </row>
    <row r="669" spans="2:13" ht="12.75" customHeight="1" x14ac:dyDescent="0.55000000000000004">
      <c r="B669" s="97">
        <v>45856</v>
      </c>
      <c r="C669" s="89">
        <v>1.1739999999999999</v>
      </c>
      <c r="D669" s="91">
        <f>IF(OR(C669="",C668=""),"",LN(C669/C668))</f>
        <v>0</v>
      </c>
      <c r="E669" s="89">
        <f>IF(D669="","",ABS(D669-$E$5)/$F$5)</f>
        <v>2.7328438474265301E-2</v>
      </c>
      <c r="F669" s="89">
        <f>IF(D669="","",ABS(D669-$G$5)/$H$5)</f>
        <v>0</v>
      </c>
      <c r="G669" s="89">
        <f>IF(D669="","",ABS(D669-$E$5)/SQRT(0.9*(IF(G668="",$F$5^2,(ABS(D668-$E$5)/MAX(G668,0.0000000001))^2))+0.1*(D669-$E$5)^2))</f>
        <v>3.5799769426088021E-2</v>
      </c>
      <c r="H669" s="90" t="str">
        <f>IF(E669="","",IF(E669&gt;$I$5,"OUTLIER",""))</f>
        <v/>
      </c>
      <c r="I669" s="90" t="str">
        <f>IF(F669="","",IF(F669&gt;$I$5,"OUTLIER",""))</f>
        <v/>
      </c>
      <c r="J669" s="90" t="str">
        <f>IF(G669="","",IF(G669&gt;$I$5,"OUTLIER",""))</f>
        <v/>
      </c>
      <c r="K669" s="90" t="str">
        <f>IF(C669="","MISSING","")</f>
        <v/>
      </c>
      <c r="L669" s="90" t="str">
        <f>IF(AND(C669&lt;&gt;"",C668&lt;&gt;"",C669=C668),"STALE","")</f>
        <v>STALE</v>
      </c>
      <c r="M669" s="106">
        <f>IF(D669="","",ABS(D669-G$5))</f>
        <v>0</v>
      </c>
    </row>
    <row r="670" spans="2:13" ht="12.75" customHeight="1" x14ac:dyDescent="0.55000000000000004">
      <c r="B670" s="97">
        <v>45859</v>
      </c>
      <c r="C670" s="89">
        <v>1.1729000000000001</v>
      </c>
      <c r="D670" s="91">
        <f>IF(OR(C670="",C669=""),"",LN(C670/C669))</f>
        <v>-9.3740686058223384E-4</v>
      </c>
      <c r="E670" s="89">
        <f>IF(D670="","",ABS(D670-$E$5)/$F$5)</f>
        <v>0.21314227279332887</v>
      </c>
      <c r="F670" s="89">
        <f>IF(D670="","",ABS(D670-$G$5)/$H$5)</f>
        <v>0.31346753353197276</v>
      </c>
      <c r="G670" s="89">
        <f>IF(D670="","",ABS(D670-$E$5)/SQRT(0.9*(IF(G669="",$F$5^2,(ABS(D669-$E$5)/MAX(G669,0.0000000001))^2))+0.1*(D670-$E$5)^2))</f>
        <v>0.29304942950129687</v>
      </c>
      <c r="H670" s="90" t="str">
        <f>IF(E670="","",IF(E670&gt;$I$5,"OUTLIER",""))</f>
        <v/>
      </c>
      <c r="I670" s="90" t="str">
        <f>IF(F670="","",IF(F670&gt;$I$5,"OUTLIER",""))</f>
        <v/>
      </c>
      <c r="J670" s="90" t="str">
        <f>IF(G670="","",IF(G670&gt;$I$5,"OUTLIER",""))</f>
        <v/>
      </c>
      <c r="K670" s="90" t="str">
        <f>IF(C670="","MISSING","")</f>
        <v/>
      </c>
      <c r="L670" s="90" t="str">
        <f>IF(AND(C670&lt;&gt;"",C669&lt;&gt;"",C670=C669),"STALE","")</f>
        <v/>
      </c>
      <c r="M670" s="106">
        <f>IF(D670="","",ABS(D670-G$5))</f>
        <v>9.3740686058223384E-4</v>
      </c>
    </row>
    <row r="671" spans="2:13" ht="12.75" customHeight="1" x14ac:dyDescent="0.55000000000000004">
      <c r="B671" s="97">
        <v>45860</v>
      </c>
      <c r="C671" s="89">
        <v>1.1780999999999999</v>
      </c>
      <c r="D671" s="91">
        <f>IF(OR(C671="",C670=""),"",LN(C671/C670))</f>
        <v>4.4236567246142442E-3</v>
      </c>
      <c r="E671" s="89">
        <f>IF(D671="","",ABS(D671-$E$5)/$F$5)</f>
        <v>0.84953373554624878</v>
      </c>
      <c r="F671" s="89">
        <f>IF(D671="","",ABS(D671-$G$5)/$H$5)</f>
        <v>1.4792645765315549</v>
      </c>
      <c r="G671" s="89">
        <f>IF(D671="","",ABS(D671-$E$5)/SQRT(0.9*(IF(G670="",$F$5^2,(ABS(D670-$E$5)/MAX(G670,0.0000000001))^2))+0.1*(D671-$E$5)^2))</f>
        <v>1.1473140911940296</v>
      </c>
      <c r="H671" s="90" t="str">
        <f>IF(E671="","",IF(E671&gt;$I$5,"OUTLIER",""))</f>
        <v/>
      </c>
      <c r="I671" s="90" t="str">
        <f>IF(F671="","",IF(F671&gt;$I$5,"OUTLIER",""))</f>
        <v/>
      </c>
      <c r="J671" s="90" t="str">
        <f>IF(G671="","",IF(G671&gt;$I$5,"OUTLIER",""))</f>
        <v/>
      </c>
      <c r="K671" s="90" t="str">
        <f>IF(C671="","MISSING","")</f>
        <v/>
      </c>
      <c r="L671" s="90" t="str">
        <f>IF(AND(C671&lt;&gt;"",C670&lt;&gt;"",C671=C670),"STALE","")</f>
        <v/>
      </c>
      <c r="M671" s="106">
        <f>IF(D671="","",ABS(D671-G$5))</f>
        <v>4.4236567246142442E-3</v>
      </c>
    </row>
    <row r="672" spans="2:13" ht="12.75" customHeight="1" x14ac:dyDescent="0.55000000000000004">
      <c r="B672" s="97">
        <v>45861</v>
      </c>
      <c r="C672" s="89">
        <v>1.1787000000000001</v>
      </c>
      <c r="D672" s="91">
        <f>IF(OR(C672="",C671=""),"",LN(C672/C671))</f>
        <v>5.0916498045028269E-4</v>
      </c>
      <c r="E672" s="89">
        <f>IF(D672="","",ABS(D672-$E$5)/$F$5)</f>
        <v>7.359881232449117E-2</v>
      </c>
      <c r="F672" s="89">
        <f>IF(D672="","",ABS(D672-$G$5)/$H$5)</f>
        <v>0.17026405213577353</v>
      </c>
      <c r="G672" s="89">
        <f>IF(D672="","",ABS(D672-$E$5)/SQRT(0.9*(IF(G671="",$F$5^2,(ABS(D671-$E$5)/MAX(G671,0.0000000001))^2))+0.1*(D672-$E$5)^2))</f>
        <v>0.10471599101731434</v>
      </c>
      <c r="H672" s="90" t="str">
        <f>IF(E672="","",IF(E672&gt;$I$5,"OUTLIER",""))</f>
        <v/>
      </c>
      <c r="I672" s="90" t="str">
        <f>IF(F672="","",IF(F672&gt;$I$5,"OUTLIER",""))</f>
        <v/>
      </c>
      <c r="J672" s="90" t="str">
        <f>IF(G672="","",IF(G672&gt;$I$5,"OUTLIER",""))</f>
        <v/>
      </c>
      <c r="K672" s="90" t="str">
        <f>IF(C672="","MISSING","")</f>
        <v/>
      </c>
      <c r="L672" s="90" t="str">
        <f>IF(AND(C672&lt;&gt;"",C671&lt;&gt;"",C672=C671),"STALE","")</f>
        <v/>
      </c>
      <c r="M672" s="106">
        <f>IF(D672="","",ABS(D672-G$5))</f>
        <v>5.0916498045028269E-4</v>
      </c>
    </row>
    <row r="673" spans="2:13" ht="12.75" customHeight="1" x14ac:dyDescent="0.55000000000000004">
      <c r="B673" s="97">
        <v>45862</v>
      </c>
      <c r="C673" s="89">
        <v>1.1798999999999999</v>
      </c>
      <c r="D673" s="91">
        <f>IF(OR(C673="",C672=""),"",LN(C673/C672))</f>
        <v>1.0175528733497661E-3</v>
      </c>
      <c r="E673" s="89">
        <f>IF(D673="","",ABS(D673-$E$5)/$F$5)</f>
        <v>0.17437202796147599</v>
      </c>
      <c r="F673" s="89">
        <f>IF(D673="","",ABS(D673-$G$5)/$H$5)</f>
        <v>0.34026824728934391</v>
      </c>
      <c r="G673" s="89">
        <f>IF(D673="","",ABS(D673-$E$5)/SQRT(0.9*(IF(G672="",$F$5^2,(ABS(D672-$E$5)/MAX(G672,0.0000000001))^2))+0.1*(D673-$E$5)^2))</f>
        <v>0.26062600082829129</v>
      </c>
      <c r="H673" s="90" t="str">
        <f>IF(E673="","",IF(E673&gt;$I$5,"OUTLIER",""))</f>
        <v/>
      </c>
      <c r="I673" s="90" t="str">
        <f>IF(F673="","",IF(F673&gt;$I$5,"OUTLIER",""))</f>
        <v/>
      </c>
      <c r="J673" s="90" t="str">
        <f>IF(G673="","",IF(G673&gt;$I$5,"OUTLIER",""))</f>
        <v/>
      </c>
      <c r="K673" s="90" t="str">
        <f>IF(C673="","MISSING","")</f>
        <v/>
      </c>
      <c r="L673" s="90" t="str">
        <f>IF(AND(C673&lt;&gt;"",C672&lt;&gt;"",C673=C672),"STALE","")</f>
        <v/>
      </c>
      <c r="M673" s="106">
        <f>IF(D673="","",ABS(D673-G$5))</f>
        <v>1.0175528733497661E-3</v>
      </c>
    </row>
    <row r="674" spans="2:13" ht="12.75" customHeight="1" x14ac:dyDescent="0.55000000000000004">
      <c r="B674" s="97">
        <v>45863</v>
      </c>
      <c r="C674" s="89">
        <v>1.1798999999999999</v>
      </c>
      <c r="D674" s="91">
        <f>IF(OR(C674="",C673=""),"",LN(C674/C673))</f>
        <v>0</v>
      </c>
      <c r="E674" s="89">
        <f>IF(D674="","",ABS(D674-$E$5)/$F$5)</f>
        <v>2.7328438474265301E-2</v>
      </c>
      <c r="F674" s="89">
        <f>IF(D674="","",ABS(D674-$G$5)/$H$5)</f>
        <v>0</v>
      </c>
      <c r="G674" s="89">
        <f>IF(D674="","",ABS(D674-$E$5)/SQRT(0.9*(IF(G673="",$F$5^2,(ABS(D673-$E$5)/MAX(G673,0.0000000001))^2))+0.1*(D674-$E$5)^2))</f>
        <v>4.3052089300255975E-2</v>
      </c>
      <c r="H674" s="90" t="str">
        <f>IF(E674="","",IF(E674&gt;$I$5,"OUTLIER",""))</f>
        <v/>
      </c>
      <c r="I674" s="90" t="str">
        <f>IF(F674="","",IF(F674&gt;$I$5,"OUTLIER",""))</f>
        <v/>
      </c>
      <c r="J674" s="90" t="str">
        <f>IF(G674="","",IF(G674&gt;$I$5,"OUTLIER",""))</f>
        <v/>
      </c>
      <c r="K674" s="90" t="str">
        <f>IF(C674="","MISSING","")</f>
        <v/>
      </c>
      <c r="L674" s="90" t="str">
        <f>IF(AND(C674&lt;&gt;"",C673&lt;&gt;"",C674=C673),"STALE","")</f>
        <v>STALE</v>
      </c>
      <c r="M674" s="106">
        <f>IF(D674="","",ABS(D674-G$5))</f>
        <v>0</v>
      </c>
    </row>
    <row r="675" spans="2:13" ht="12.75" customHeight="1" x14ac:dyDescent="0.55000000000000004">
      <c r="B675" s="97">
        <v>45866</v>
      </c>
      <c r="C675" s="89">
        <v>1.1826000000000001</v>
      </c>
      <c r="D675" s="91">
        <f>IF(OR(C675="",C674=""),"",LN(C675/C674))</f>
        <v>2.2857152808560825E-3</v>
      </c>
      <c r="E675" s="89">
        <f>IF(D675="","",ABS(D675-$E$5)/$F$5)</f>
        <v>0.42574859600972292</v>
      </c>
      <c r="F675" s="89">
        <f>IF(D675="","",ABS(D675-$G$5)/$H$5)</f>
        <v>0.76433996973445661</v>
      </c>
      <c r="G675" s="89">
        <f>IF(D675="","",ABS(D675-$E$5)/SQRT(0.9*(IF(G674="",$F$5^2,(ABS(D674-$E$5)/MAX(G674,0.0000000001))^2))+0.1*(D675-$E$5)^2))</f>
        <v>0.68995416474255589</v>
      </c>
      <c r="H675" s="90" t="str">
        <f>IF(E675="","",IF(E675&gt;$I$5,"OUTLIER",""))</f>
        <v/>
      </c>
      <c r="I675" s="90" t="str">
        <f>IF(F675="","",IF(F675&gt;$I$5,"OUTLIER",""))</f>
        <v/>
      </c>
      <c r="J675" s="90" t="str">
        <f>IF(G675="","",IF(G675&gt;$I$5,"OUTLIER",""))</f>
        <v/>
      </c>
      <c r="K675" s="90" t="str">
        <f>IF(C675="","MISSING","")</f>
        <v/>
      </c>
      <c r="L675" s="90" t="str">
        <f>IF(AND(C675&lt;&gt;"",C674&lt;&gt;"",C675=C674),"STALE","")</f>
        <v/>
      </c>
      <c r="M675" s="106">
        <f>IF(D675="","",ABS(D675-G$5))</f>
        <v>2.2857152808560825E-3</v>
      </c>
    </row>
    <row r="676" spans="2:13" ht="12.75" customHeight="1" x14ac:dyDescent="0.55000000000000004">
      <c r="B676" s="97">
        <v>45867</v>
      </c>
      <c r="C676" s="89">
        <v>1.1817</v>
      </c>
      <c r="D676" s="91">
        <f>IF(OR(C676="",C675=""),"",LN(C676/C675))</f>
        <v>-7.6132474175977325E-4</v>
      </c>
      <c r="E676" s="89">
        <f>IF(D676="","",ABS(D676-$E$5)/$F$5)</f>
        <v>0.17823907864228056</v>
      </c>
      <c r="F676" s="89">
        <f>IF(D676="","",ABS(D676-$G$5)/$H$5)</f>
        <v>0.2545859210674794</v>
      </c>
      <c r="G676" s="89">
        <f>IF(D676="","",ABS(D676-$E$5)/SQRT(0.9*(IF(G675="",$F$5^2,(ABS(D675-$E$5)/MAX(G675,0.0000000001))^2))+0.1*(D676-$E$5)^2))</f>
        <v>0.30307138013284168</v>
      </c>
      <c r="H676" s="90" t="str">
        <f>IF(E676="","",IF(E676&gt;$I$5,"OUTLIER",""))</f>
        <v/>
      </c>
      <c r="I676" s="90" t="str">
        <f>IF(F676="","",IF(F676&gt;$I$5,"OUTLIER",""))</f>
        <v/>
      </c>
      <c r="J676" s="90" t="str">
        <f>IF(G676="","",IF(G676&gt;$I$5,"OUTLIER",""))</f>
        <v/>
      </c>
      <c r="K676" s="90" t="str">
        <f>IF(C676="","MISSING","")</f>
        <v/>
      </c>
      <c r="L676" s="90" t="str">
        <f>IF(AND(C676&lt;&gt;"",C675&lt;&gt;"",C676=C675),"STALE","")</f>
        <v/>
      </c>
      <c r="M676" s="106">
        <f>IF(D676="","",ABS(D676-G$5))</f>
        <v>7.6132474175977325E-4</v>
      </c>
    </row>
    <row r="677" spans="2:13" ht="12.75" customHeight="1" x14ac:dyDescent="0.55000000000000004">
      <c r="B677" s="97">
        <v>45868</v>
      </c>
      <c r="C677" s="89">
        <v>1.1789000000000001</v>
      </c>
      <c r="D677" s="91">
        <f>IF(OR(C677="",C676=""),"",LN(C677/C676))</f>
        <v>-2.3722793468880761E-3</v>
      </c>
      <c r="E677" s="89">
        <f>IF(D677="","",ABS(D677-$E$5)/$F$5)</f>
        <v>0.49756429875739788</v>
      </c>
      <c r="F677" s="89">
        <f>IF(D677="","",ABS(D677-$G$5)/$H$5)</f>
        <v>0.79328687146151888</v>
      </c>
      <c r="G677" s="89">
        <f>IF(D677="","",ABS(D677-$E$5)/SQRT(0.9*(IF(G676="",$F$5^2,(ABS(D676-$E$5)/MAX(G676,0.0000000001))^2))+0.1*(D677-$E$5)^2))</f>
        <v>0.85832599962079903</v>
      </c>
      <c r="H677" s="90" t="str">
        <f>IF(E677="","",IF(E677&gt;$I$5,"OUTLIER",""))</f>
        <v/>
      </c>
      <c r="I677" s="90" t="str">
        <f>IF(F677="","",IF(F677&gt;$I$5,"OUTLIER",""))</f>
        <v/>
      </c>
      <c r="J677" s="90" t="str">
        <f>IF(G677="","",IF(G677&gt;$I$5,"OUTLIER",""))</f>
        <v/>
      </c>
      <c r="K677" s="90" t="str">
        <f>IF(C677="","MISSING","")</f>
        <v/>
      </c>
      <c r="L677" s="90" t="str">
        <f>IF(AND(C677&lt;&gt;"",C676&lt;&gt;"",C677=C676),"STALE","")</f>
        <v/>
      </c>
      <c r="M677" s="106">
        <f>IF(D677="","",ABS(D677-G$5))</f>
        <v>2.3722793468880761E-3</v>
      </c>
    </row>
    <row r="678" spans="2:13" ht="12.75" customHeight="1" x14ac:dyDescent="0.55000000000000004">
      <c r="B678" s="97">
        <v>45869</v>
      </c>
      <c r="C678" s="89">
        <v>1.1763999999999999</v>
      </c>
      <c r="D678" s="91">
        <f>IF(OR(C678="",C677=""),"",LN(C678/C677))</f>
        <v>-2.1228726182419212E-3</v>
      </c>
      <c r="E678" s="89">
        <f>IF(D678="","",ABS(D678-$E$5)/$F$5)</f>
        <v>0.44812661859583819</v>
      </c>
      <c r="F678" s="89">
        <f>IF(D678="","",ABS(D678-$G$5)/$H$5)</f>
        <v>0.70988561277387796</v>
      </c>
      <c r="G678" s="89">
        <f>IF(D678="","",ABS(D678-$E$5)/SQRT(0.9*(IF(G677="",$F$5^2,(ABS(D677-$E$5)/MAX(G677,0.0000000001))^2))+0.1*(D678-$E$5)^2))</f>
        <v>0.78908278471905158</v>
      </c>
      <c r="H678" s="90" t="str">
        <f>IF(E678="","",IF(E678&gt;$I$5,"OUTLIER",""))</f>
        <v/>
      </c>
      <c r="I678" s="90" t="str">
        <f>IF(F678="","",IF(F678&gt;$I$5,"OUTLIER",""))</f>
        <v/>
      </c>
      <c r="J678" s="90" t="str">
        <f>IF(G678="","",IF(G678&gt;$I$5,"OUTLIER",""))</f>
        <v/>
      </c>
      <c r="K678" s="90" t="str">
        <f>IF(C678="","MISSING","")</f>
        <v/>
      </c>
      <c r="L678" s="90" t="str">
        <f>IF(AND(C678&lt;&gt;"",C677&lt;&gt;"",C678=C677),"STALE","")</f>
        <v/>
      </c>
      <c r="M678" s="106">
        <f>IF(D678="","",ABS(D678-G$5))</f>
        <v>2.1228726182419212E-3</v>
      </c>
    </row>
    <row r="679" spans="2:13" ht="12.75" customHeight="1" x14ac:dyDescent="0.55000000000000004">
      <c r="B679" s="97">
        <v>45870</v>
      </c>
      <c r="C679" s="89">
        <v>1.1731</v>
      </c>
      <c r="D679" s="91">
        <f>IF(OR(C679="",C678=""),"",LN(C679/C678))</f>
        <v>-2.8091101681651746E-3</v>
      </c>
      <c r="E679" s="89">
        <f>IF(D679="","",ABS(D679-$E$5)/$F$5)</f>
        <v>0.58415339177921355</v>
      </c>
      <c r="F679" s="89">
        <f>IF(D679="","",ABS(D679-$G$5)/$H$5)</f>
        <v>0.93936248267629907</v>
      </c>
      <c r="G679" s="89">
        <f>IF(D679="","",ABS(D679-$E$5)/SQRT(0.9*(IF(G678="",$F$5^2,(ABS(D678-$E$5)/MAX(G678,0.0000000001))^2))+0.1*(D679-$E$5)^2))</f>
        <v>1.0256337269968483</v>
      </c>
      <c r="H679" s="90" t="str">
        <f>IF(E679="","",IF(E679&gt;$I$5,"OUTLIER",""))</f>
        <v/>
      </c>
      <c r="I679" s="90" t="str">
        <f>IF(F679="","",IF(F679&gt;$I$5,"OUTLIER",""))</f>
        <v/>
      </c>
      <c r="J679" s="90" t="str">
        <f>IF(G679="","",IF(G679&gt;$I$5,"OUTLIER",""))</f>
        <v/>
      </c>
      <c r="K679" s="90" t="str">
        <f>IF(C679="","MISSING","")</f>
        <v/>
      </c>
      <c r="L679" s="90" t="str">
        <f>IF(AND(C679&lt;&gt;"",C678&lt;&gt;"",C679=C678),"STALE","")</f>
        <v/>
      </c>
      <c r="M679" s="106">
        <f>IF(D679="","",ABS(D679-G$5))</f>
        <v>2.8091101681651746E-3</v>
      </c>
    </row>
    <row r="680" spans="2:13" ht="12.75" customHeight="1" x14ac:dyDescent="0.55000000000000004">
      <c r="B680" s="97">
        <v>45873</v>
      </c>
      <c r="C680" s="89">
        <v>1.1001000000000001</v>
      </c>
      <c r="D680" s="91">
        <f>IF(OR(C680="",C679=""),"",LN(C680/C679))</f>
        <v>-6.4248732766284608E-2</v>
      </c>
      <c r="E680" s="89">
        <f>IF(D680="","",ABS(D680-$E$5)/$F$5)</f>
        <v>12.762783967388557</v>
      </c>
      <c r="F680" s="89">
        <f>IF(D680="","",ABS(D680-$G$5)/$H$5)</f>
        <v>21.484685721515806</v>
      </c>
      <c r="G680" s="89">
        <f>IF(D680="","",ABS(D680-$E$5)/SQRT(0.9*(IF(G679="",$F$5^2,(ABS(D679-$E$5)/MAX(G679,0.0000000001))^2))+0.1*(D680-$E$5)^2))</f>
        <v>3.1343135964935143</v>
      </c>
      <c r="H680" s="90" t="str">
        <f>IF(E680="","",IF(E680&gt;$I$5,"OUTLIER",""))</f>
        <v>OUTLIER</v>
      </c>
      <c r="I680" s="90" t="str">
        <f>IF(F680="","",IF(F680&gt;$I$5,"OUTLIER",""))</f>
        <v>OUTLIER</v>
      </c>
      <c r="J680" s="90" t="str">
        <f>IF(G680="","",IF(G680&gt;$I$5,"OUTLIER",""))</f>
        <v>OUTLIER</v>
      </c>
      <c r="K680" s="90" t="str">
        <f>IF(C680="","MISSING","")</f>
        <v/>
      </c>
      <c r="L680" s="90" t="str">
        <f>IF(AND(C680&lt;&gt;"",C679&lt;&gt;"",C680=C679),"STALE","")</f>
        <v/>
      </c>
      <c r="M680" s="106">
        <f>IF(D680="","",ABS(D680-G$5))</f>
        <v>6.4248732766284608E-2</v>
      </c>
    </row>
    <row r="681" spans="2:13" ht="12.75" customHeight="1" x14ac:dyDescent="0.55000000000000004">
      <c r="B681" s="97">
        <v>45874</v>
      </c>
      <c r="C681" s="89">
        <v>1.1034999999999999</v>
      </c>
      <c r="D681" s="91">
        <f>IF(OR(C681="",C680=""),"",LN(C681/C680))</f>
        <v>3.0858619514009698E-3</v>
      </c>
      <c r="E681" s="89">
        <f>IF(D681="","",ABS(D681-$E$5)/$F$5)</f>
        <v>0.58435456223791149</v>
      </c>
      <c r="F681" s="89">
        <f>IF(D681="","",ABS(D681-$G$5)/$H$5)</f>
        <v>1.0319078890941877</v>
      </c>
      <c r="G681" s="89">
        <f>IF(D681="","",ABS(D681-$E$5)/SQRT(0.9*(IF(G680="",$F$5^2,(ABS(D680-$E$5)/MAX(G680,0.0000000001))^2))+0.1*(D681-$E$5)^2))</f>
        <v>0.15109701762276487</v>
      </c>
      <c r="H681" s="90" t="str">
        <f>IF(E681="","",IF(E681&gt;$I$5,"OUTLIER",""))</f>
        <v/>
      </c>
      <c r="I681" s="90" t="str">
        <f>IF(F681="","",IF(F681&gt;$I$5,"OUTLIER",""))</f>
        <v/>
      </c>
      <c r="J681" s="90" t="str">
        <f>IF(G681="","",IF(G681&gt;$I$5,"OUTLIER",""))</f>
        <v/>
      </c>
      <c r="K681" s="90" t="str">
        <f>IF(C681="","MISSING","")</f>
        <v/>
      </c>
      <c r="L681" s="90" t="str">
        <f>IF(AND(C681&lt;&gt;"",C680&lt;&gt;"",C681=C680),"STALE","")</f>
        <v/>
      </c>
      <c r="M681" s="106">
        <f>IF(D681="","",ABS(D681-G$5))</f>
        <v>3.0858619514009698E-3</v>
      </c>
    </row>
    <row r="682" spans="2:13" ht="12.75" customHeight="1" x14ac:dyDescent="0.55000000000000004">
      <c r="B682" s="97">
        <v>45875</v>
      </c>
      <c r="C682" s="89">
        <v>1.1034999999999999</v>
      </c>
      <c r="D682" s="91">
        <f>IF(OR(C682="",C681=""),"",LN(C682/C681))</f>
        <v>0</v>
      </c>
      <c r="E682" s="89">
        <f>IF(D682="","",ABS(D682-$E$5)/$F$5)</f>
        <v>2.7328438474265301E-2</v>
      </c>
      <c r="F682" s="89">
        <f>IF(D682="","",ABS(D682-$G$5)/$H$5)</f>
        <v>0</v>
      </c>
      <c r="G682" s="89">
        <f>IF(D682="","",ABS(D682-$E$5)/SQRT(0.9*(IF(G681="",$F$5^2,(ABS(D681-$E$5)/MAX(G681,0.0000000001))^2))+0.1*(D682-$E$5)^2))</f>
        <v>7.4485512598543562E-3</v>
      </c>
      <c r="H682" s="90" t="str">
        <f>IF(E682="","",IF(E682&gt;$I$5,"OUTLIER",""))</f>
        <v/>
      </c>
      <c r="I682" s="90" t="str">
        <f>IF(F682="","",IF(F682&gt;$I$5,"OUTLIER",""))</f>
        <v/>
      </c>
      <c r="J682" s="90" t="str">
        <f>IF(G682="","",IF(G682&gt;$I$5,"OUTLIER",""))</f>
        <v/>
      </c>
      <c r="K682" s="90" t="str">
        <f>IF(C682="","MISSING","")</f>
        <v/>
      </c>
      <c r="L682" s="90" t="str">
        <f>IF(AND(C682&lt;&gt;"",C681&lt;&gt;"",C682=C681),"STALE","")</f>
        <v>STALE</v>
      </c>
      <c r="M682" s="106">
        <f>IF(D682="","",ABS(D682-G$5))</f>
        <v>0</v>
      </c>
    </row>
    <row r="683" spans="2:13" ht="12.75" customHeight="1" x14ac:dyDescent="0.55000000000000004">
      <c r="B683" s="97">
        <v>45876</v>
      </c>
      <c r="C683" s="89">
        <v>1.1034999999999999</v>
      </c>
      <c r="D683" s="91">
        <f>IF(OR(C683="",C682=""),"",LN(C683/C682))</f>
        <v>0</v>
      </c>
      <c r="E683" s="89">
        <f>IF(D683="","",ABS(D683-$E$5)/$F$5)</f>
        <v>2.7328438474265301E-2</v>
      </c>
      <c r="F683" s="89">
        <f>IF(D683="","",ABS(D683-$G$5)/$H$5)</f>
        <v>0</v>
      </c>
      <c r="G683" s="89">
        <f>IF(D683="","",ABS(D683-$E$5)/SQRT(0.9*(IF(G682="",$F$5^2,(ABS(D682-$E$5)/MAX(G682,0.0000000001))^2))+0.1*(D683-$E$5)^2))</f>
        <v>7.8514382163126107E-3</v>
      </c>
      <c r="H683" s="90" t="str">
        <f>IF(E683="","",IF(E683&gt;$I$5,"OUTLIER",""))</f>
        <v/>
      </c>
      <c r="I683" s="90" t="str">
        <f>IF(F683="","",IF(F683&gt;$I$5,"OUTLIER",""))</f>
        <v/>
      </c>
      <c r="J683" s="90" t="str">
        <f>IF(G683="","",IF(G683&gt;$I$5,"OUTLIER",""))</f>
        <v/>
      </c>
      <c r="K683" s="90" t="str">
        <f>IF(C683="","MISSING","")</f>
        <v/>
      </c>
      <c r="L683" s="90" t="str">
        <f>IF(AND(C683&lt;&gt;"",C682&lt;&gt;"",C683=C682),"STALE","")</f>
        <v>STALE</v>
      </c>
      <c r="M683" s="106">
        <f>IF(D683="","",ABS(D683-G$5))</f>
        <v>0</v>
      </c>
    </row>
    <row r="684" spans="2:13" ht="12.75" customHeight="1" x14ac:dyDescent="0.55000000000000004">
      <c r="B684" s="97">
        <v>45877</v>
      </c>
      <c r="C684" s="89">
        <v>1.0935999999999999</v>
      </c>
      <c r="D684" s="91">
        <f>IF(OR(C684="",C683=""),"",LN(C684/C683))</f>
        <v>-9.0119402870512573E-3</v>
      </c>
      <c r="E684" s="89">
        <f>IF(D684="","",ABS(D684-$E$5)/$F$5)</f>
        <v>1.8136853020792094</v>
      </c>
      <c r="F684" s="89">
        <f>IF(D684="","",ABS(D684-$G$5)/$H$5)</f>
        <v>3.0135801356998475</v>
      </c>
      <c r="G684" s="89">
        <f>IF(D684="","",ABS(D684-$E$5)/SQRT(0.9*(IF(G683="",$F$5^2,(ABS(D683-$E$5)/MAX(G683,0.0000000001))^2))+0.1*(D684-$E$5)^2))</f>
        <v>0.5411541561671307</v>
      </c>
      <c r="H684" s="90" t="str">
        <f>IF(E684="","",IF(E684&gt;$I$5,"OUTLIER",""))</f>
        <v/>
      </c>
      <c r="I684" s="90" t="str">
        <f>IF(F684="","",IF(F684&gt;$I$5,"OUTLIER",""))</f>
        <v>OUTLIER</v>
      </c>
      <c r="J684" s="90" t="str">
        <f>IF(G684="","",IF(G684&gt;$I$5,"OUTLIER",""))</f>
        <v/>
      </c>
      <c r="K684" s="90" t="str">
        <f>IF(C684="","MISSING","")</f>
        <v/>
      </c>
      <c r="L684" s="90" t="str">
        <f>IF(AND(C684&lt;&gt;"",C683&lt;&gt;"",C684=C683),"STALE","")</f>
        <v/>
      </c>
      <c r="M684" s="106">
        <f>IF(D684="","",ABS(D684-G$5))</f>
        <v>9.0119402870512573E-3</v>
      </c>
    </row>
    <row r="685" spans="2:13" ht="12.75" customHeight="1" x14ac:dyDescent="0.55000000000000004">
      <c r="B685" s="97">
        <v>45880</v>
      </c>
      <c r="C685" s="89">
        <v>1.0906</v>
      </c>
      <c r="D685" s="91">
        <f>IF(OR(C685="",C684=""),"",LN(C685/C684))</f>
        <v>-2.7470029177785139E-3</v>
      </c>
      <c r="E685" s="89">
        <f>IF(D685="","",ABS(D685-$E$5)/$F$5)</f>
        <v>0.57184242327809576</v>
      </c>
      <c r="F685" s="89">
        <f>IF(D685="","",ABS(D685-$G$5)/$H$5)</f>
        <v>0.91859390564554533</v>
      </c>
      <c r="G685" s="89">
        <f>IF(D685="","",ABS(D685-$E$5)/SQRT(0.9*(IF(G684="",$F$5^2,(ABS(D684-$E$5)/MAX(G684,0.0000000001))^2))+0.1*(D685-$E$5)^2))</f>
        <v>0.17956137308589792</v>
      </c>
      <c r="H685" s="90" t="str">
        <f>IF(E685="","",IF(E685&gt;$I$5,"OUTLIER",""))</f>
        <v/>
      </c>
      <c r="I685" s="90" t="str">
        <f>IF(F685="","",IF(F685&gt;$I$5,"OUTLIER",""))</f>
        <v/>
      </c>
      <c r="J685" s="90" t="str">
        <f>IF(G685="","",IF(G685&gt;$I$5,"OUTLIER",""))</f>
        <v/>
      </c>
      <c r="K685" s="90" t="str">
        <f>IF(C685="","MISSING","")</f>
        <v/>
      </c>
      <c r="L685" s="90" t="str">
        <f>IF(AND(C685&lt;&gt;"",C684&lt;&gt;"",C685=C684),"STALE","")</f>
        <v/>
      </c>
      <c r="M685" s="106">
        <f>IF(D685="","",ABS(D685-G$5))</f>
        <v>2.7470029177785139E-3</v>
      </c>
    </row>
    <row r="686" spans="2:13" ht="12.75" customHeight="1" x14ac:dyDescent="0.55000000000000004">
      <c r="B686" s="97">
        <v>45881</v>
      </c>
      <c r="C686" s="89">
        <v>1.0924</v>
      </c>
      <c r="D686" s="91">
        <f>IF(OR(C686="",C685=""),"",LN(C686/C685))</f>
        <v>1.6491071075888637E-3</v>
      </c>
      <c r="E686" s="89">
        <f>IF(D686="","",ABS(D686-$E$5)/$F$5)</f>
        <v>0.29955941326770086</v>
      </c>
      <c r="F686" s="89">
        <f>IF(D686="","",ABS(D686-$G$5)/$H$5)</f>
        <v>0.55145909346646838</v>
      </c>
      <c r="G686" s="89">
        <f>IF(D686="","",ABS(D686-$E$5)/SQRT(0.9*(IF(G685="",$F$5^2,(ABS(D685-$E$5)/MAX(G685,0.0000000001))^2))+0.1*(D686-$E$5)^2))</f>
        <v>9.9102564066858218E-2</v>
      </c>
      <c r="H686" s="90" t="str">
        <f>IF(E686="","",IF(E686&gt;$I$5,"OUTLIER",""))</f>
        <v/>
      </c>
      <c r="I686" s="90" t="str">
        <f>IF(F686="","",IF(F686&gt;$I$5,"OUTLIER",""))</f>
        <v/>
      </c>
      <c r="J686" s="90" t="str">
        <f>IF(G686="","",IF(G686&gt;$I$5,"OUTLIER",""))</f>
        <v/>
      </c>
      <c r="K686" s="90" t="str">
        <f>IF(C686="","MISSING","")</f>
        <v/>
      </c>
      <c r="L686" s="90" t="str">
        <f>IF(AND(C686&lt;&gt;"",C685&lt;&gt;"",C686=C685),"STALE","")</f>
        <v/>
      </c>
      <c r="M686" s="106">
        <f>IF(D686="","",ABS(D686-G$5))</f>
        <v>1.6491071075888637E-3</v>
      </c>
    </row>
    <row r="687" spans="2:13" ht="12.75" customHeight="1" x14ac:dyDescent="0.55000000000000004">
      <c r="B687" s="97">
        <v>45882</v>
      </c>
      <c r="C687" s="89">
        <v>1.1014999999999999</v>
      </c>
      <c r="D687" s="91">
        <f>IF(OR(C687="",C686=""),"",LN(C687/C686))</f>
        <v>8.2957766428477034E-3</v>
      </c>
      <c r="E687" s="89">
        <f>IF(D687="","",ABS(D687-$E$5)/$F$5)</f>
        <v>1.6170696681329724</v>
      </c>
      <c r="F687" s="89">
        <f>IF(D687="","",ABS(D687-$G$5)/$H$5)</f>
        <v>2.7740960220308675</v>
      </c>
      <c r="G687" s="89">
        <f>IF(D687="","",ABS(D687-$E$5)/SQRT(0.9*(IF(G686="",$F$5^2,(ABS(D686-$E$5)/MAX(G686,0.0000000001))^2))+0.1*(D687-$E$5)^2))</f>
        <v>0.55515181321293106</v>
      </c>
      <c r="H687" s="90" t="str">
        <f>IF(E687="","",IF(E687&gt;$I$5,"OUTLIER",""))</f>
        <v/>
      </c>
      <c r="I687" s="90" t="str">
        <f>IF(F687="","",IF(F687&gt;$I$5,"OUTLIER",""))</f>
        <v/>
      </c>
      <c r="J687" s="90" t="str">
        <f>IF(G687="","",IF(G687&gt;$I$5,"OUTLIER",""))</f>
        <v/>
      </c>
      <c r="K687" s="90" t="str">
        <f>IF(C687="","MISSING","")</f>
        <v/>
      </c>
      <c r="L687" s="90" t="str">
        <f>IF(AND(C687&lt;&gt;"",C686&lt;&gt;"",C687=C686),"STALE","")</f>
        <v/>
      </c>
      <c r="M687" s="106">
        <f>IF(D687="","",ABS(D687-G$5))</f>
        <v>8.2957766428477034E-3</v>
      </c>
    </row>
    <row r="688" spans="2:13" ht="12.75" customHeight="1" x14ac:dyDescent="0.55000000000000004">
      <c r="B688" s="97">
        <v>45883</v>
      </c>
      <c r="C688" s="89">
        <v>1.1043000000000001</v>
      </c>
      <c r="D688" s="91">
        <f>IF(OR(C688="",C687=""),"",LN(C688/C687))</f>
        <v>2.5387628106874538E-3</v>
      </c>
      <c r="E688" s="89">
        <f>IF(D688="","",ABS(D688-$E$5)/$F$5)</f>
        <v>0.47590795984639278</v>
      </c>
      <c r="F688" s="89">
        <f>IF(D688="","",ABS(D688-$G$5)/$H$5)</f>
        <v>0.84895870720916466</v>
      </c>
      <c r="G688" s="89">
        <f>IF(D688="","",ABS(D688-$E$5)/SQRT(0.9*(IF(G687="",$F$5^2,(ABS(D687-$E$5)/MAX(G687,0.0000000001))^2))+0.1*(D688-$E$5)^2))</f>
        <v>0.17196562505165006</v>
      </c>
      <c r="H688" s="90" t="str">
        <f>IF(E688="","",IF(E688&gt;$I$5,"OUTLIER",""))</f>
        <v/>
      </c>
      <c r="I688" s="90" t="str">
        <f>IF(F688="","",IF(F688&gt;$I$5,"OUTLIER",""))</f>
        <v/>
      </c>
      <c r="J688" s="90" t="str">
        <f>IF(G688="","",IF(G688&gt;$I$5,"OUTLIER",""))</f>
        <v/>
      </c>
      <c r="K688" s="90" t="str">
        <f>IF(C688="","MISSING","")</f>
        <v/>
      </c>
      <c r="L688" s="90" t="str">
        <f>IF(AND(C688&lt;&gt;"",C687&lt;&gt;"",C688=C687),"STALE","")</f>
        <v/>
      </c>
      <c r="M688" s="106">
        <f>IF(D688="","",ABS(D688-G$5))</f>
        <v>2.5387628106874538E-3</v>
      </c>
    </row>
    <row r="689" spans="2:13" ht="12.75" customHeight="1" x14ac:dyDescent="0.55000000000000004">
      <c r="B689" s="97">
        <v>45884</v>
      </c>
      <c r="C689" s="89">
        <v>1.1043000000000001</v>
      </c>
      <c r="D689" s="91">
        <f>IF(OR(C689="",C688=""),"",LN(C689/C688))</f>
        <v>0</v>
      </c>
      <c r="E689" s="89">
        <f>IF(D689="","",ABS(D689-$E$5)/$F$5)</f>
        <v>2.7328438474265301E-2</v>
      </c>
      <c r="F689" s="89">
        <f>IF(D689="","",ABS(D689-$G$5)/$H$5)</f>
        <v>0</v>
      </c>
      <c r="G689" s="89">
        <f>IF(D689="","",ABS(D689-$E$5)/SQRT(0.9*(IF(G688="",$F$5^2,(ABS(D688-$E$5)/MAX(G688,0.0000000001))^2))+0.1*(D689-$E$5)^2))</f>
        <v>1.0409020972610952E-2</v>
      </c>
      <c r="H689" s="90" t="str">
        <f>IF(E689="","",IF(E689&gt;$I$5,"OUTLIER",""))</f>
        <v/>
      </c>
      <c r="I689" s="90" t="str">
        <f>IF(F689="","",IF(F689&gt;$I$5,"OUTLIER",""))</f>
        <v/>
      </c>
      <c r="J689" s="90" t="str">
        <f>IF(G689="","",IF(G689&gt;$I$5,"OUTLIER",""))</f>
        <v/>
      </c>
      <c r="K689" s="90" t="str">
        <f>IF(C689="","MISSING","")</f>
        <v/>
      </c>
      <c r="L689" s="90" t="str">
        <f>IF(AND(C689&lt;&gt;"",C688&lt;&gt;"",C689=C688),"STALE","")</f>
        <v>STALE</v>
      </c>
      <c r="M689" s="106">
        <f>IF(D689="","",ABS(D689-G$5))</f>
        <v>0</v>
      </c>
    </row>
    <row r="690" spans="2:13" ht="12.75" customHeight="1" x14ac:dyDescent="0.55000000000000004">
      <c r="B690" s="97">
        <v>45887</v>
      </c>
      <c r="C690" s="89">
        <v>1.1138999999999999</v>
      </c>
      <c r="D690" s="91">
        <f>IF(OR(C690="",C689=""),"",LN(C690/C689))</f>
        <v>8.6557207980588451E-3</v>
      </c>
      <c r="E690" s="89">
        <f>IF(D690="","",ABS(D690-$E$5)/$F$5)</f>
        <v>1.6884182003796608</v>
      </c>
      <c r="F690" s="89">
        <f>IF(D690="","",ABS(D690-$G$5)/$H$5)</f>
        <v>2.8944608404334189</v>
      </c>
      <c r="G690" s="89">
        <f>IF(D690="","",ABS(D690-$E$5)/SQRT(0.9*(IF(G689="",$F$5^2,(ABS(D689-$E$5)/MAX(G689,0.0000000001))^2))+0.1*(D690-$E$5)^2))</f>
        <v>0.66282348503133193</v>
      </c>
      <c r="H690" s="90" t="str">
        <f>IF(E690="","",IF(E690&gt;$I$5,"OUTLIER",""))</f>
        <v/>
      </c>
      <c r="I690" s="90" t="str">
        <f>IF(F690="","",IF(F690&gt;$I$5,"OUTLIER",""))</f>
        <v/>
      </c>
      <c r="J690" s="90" t="str">
        <f>IF(G690="","",IF(G690&gt;$I$5,"OUTLIER",""))</f>
        <v/>
      </c>
      <c r="K690" s="90" t="str">
        <f>IF(C690="","MISSING","")</f>
        <v/>
      </c>
      <c r="L690" s="90" t="str">
        <f>IF(AND(C690&lt;&gt;"",C689&lt;&gt;"",C690=C689),"STALE","")</f>
        <v/>
      </c>
      <c r="M690" s="106">
        <f>IF(D690="","",ABS(D690-G$5))</f>
        <v>8.6557207980588451E-3</v>
      </c>
    </row>
    <row r="691" spans="2:13" ht="12.75" customHeight="1" x14ac:dyDescent="0.55000000000000004">
      <c r="B691" s="97">
        <v>45888</v>
      </c>
      <c r="C691" s="89">
        <v>1.1171</v>
      </c>
      <c r="D691" s="91">
        <f>IF(OR(C691="",C690=""),"",LN(C691/C690))</f>
        <v>2.8686707256587655E-3</v>
      </c>
      <c r="E691" s="89">
        <f>IF(D691="","",ABS(D691-$E$5)/$F$5)</f>
        <v>0.541302675023698</v>
      </c>
      <c r="F691" s="89">
        <f>IF(D691="","",ABS(D691-$G$5)/$H$5)</f>
        <v>0.95927944919146724</v>
      </c>
      <c r="G691" s="89">
        <f>IF(D691="","",ABS(D691-$E$5)/SQRT(0.9*(IF(G690="",$F$5^2,(ABS(D690-$E$5)/MAX(G690,0.0000000001))^2))+0.1*(D691-$E$5)^2))</f>
        <v>0.22343438247198014</v>
      </c>
      <c r="H691" s="90" t="str">
        <f>IF(E691="","",IF(E691&gt;$I$5,"OUTLIER",""))</f>
        <v/>
      </c>
      <c r="I691" s="90" t="str">
        <f>IF(F691="","",IF(F691&gt;$I$5,"OUTLIER",""))</f>
        <v/>
      </c>
      <c r="J691" s="90" t="str">
        <f>IF(G691="","",IF(G691&gt;$I$5,"OUTLIER",""))</f>
        <v/>
      </c>
      <c r="K691" s="90" t="str">
        <f>IF(C691="","MISSING","")</f>
        <v/>
      </c>
      <c r="L691" s="90" t="str">
        <f>IF(AND(C691&lt;&gt;"",C690&lt;&gt;"",C691=C690),"STALE","")</f>
        <v/>
      </c>
      <c r="M691" s="106">
        <f>IF(D691="","",ABS(D691-G$5))</f>
        <v>2.8686707256587655E-3</v>
      </c>
    </row>
    <row r="692" spans="2:13" ht="12.75" customHeight="1" x14ac:dyDescent="0.55000000000000004">
      <c r="B692" s="97">
        <v>45889</v>
      </c>
      <c r="C692" s="89">
        <v>1.1235999999999999</v>
      </c>
      <c r="D692" s="91">
        <f>IF(OR(C692="",C691=""),"",LN(C692/C691))</f>
        <v>5.8017746532858993E-3</v>
      </c>
      <c r="E692" s="89">
        <f>IF(D692="","",ABS(D692-$E$5)/$F$5)</f>
        <v>1.1227058097417331</v>
      </c>
      <c r="F692" s="89">
        <f>IF(D692="","",ABS(D692-$G$5)/$H$5)</f>
        <v>1.9401052703457413</v>
      </c>
      <c r="G692" s="89">
        <f>IF(D692="","",ABS(D692-$E$5)/SQRT(0.9*(IF(G691="",$F$5^2,(ABS(D691-$E$5)/MAX(G691,0.0000000001))^2))+0.1*(D692-$E$5)^2))</f>
        <v>0.4827628109083496</v>
      </c>
      <c r="H692" s="90" t="str">
        <f>IF(E692="","",IF(E692&gt;$I$5,"OUTLIER",""))</f>
        <v/>
      </c>
      <c r="I692" s="90" t="str">
        <f>IF(F692="","",IF(F692&gt;$I$5,"OUTLIER",""))</f>
        <v/>
      </c>
      <c r="J692" s="90" t="str">
        <f>IF(G692="","",IF(G692&gt;$I$5,"OUTLIER",""))</f>
        <v/>
      </c>
      <c r="K692" s="90" t="str">
        <f>IF(C692="","MISSING","")</f>
        <v/>
      </c>
      <c r="L692" s="90" t="str">
        <f>IF(AND(C692&lt;&gt;"",C691&lt;&gt;"",C692=C691),"STALE","")</f>
        <v/>
      </c>
      <c r="M692" s="106">
        <f>IF(D692="","",ABS(D692-G$5))</f>
        <v>5.8017746532858993E-3</v>
      </c>
    </row>
    <row r="693" spans="2:13" ht="12.75" customHeight="1" x14ac:dyDescent="0.55000000000000004">
      <c r="B693" s="97">
        <v>45890</v>
      </c>
      <c r="C693" s="89">
        <v>1.1235999999999999</v>
      </c>
      <c r="D693" s="91">
        <f>IF(OR(C693="",C692=""),"",LN(C693/C692))</f>
        <v>0</v>
      </c>
      <c r="E693" s="89">
        <f>IF(D693="","",ABS(D693-$E$5)/$F$5)</f>
        <v>2.7328438474265301E-2</v>
      </c>
      <c r="F693" s="89">
        <f>IF(D693="","",ABS(D693-$G$5)/$H$5)</f>
        <v>0</v>
      </c>
      <c r="G693" s="89">
        <f>IF(D693="","",ABS(D693-$E$5)/SQRT(0.9*(IF(G692="",$F$5^2,(ABS(D692-$E$5)/MAX(G692,0.0000000001))^2))+0.1*(D693-$E$5)^2))</f>
        <v>1.2386769839419944E-2</v>
      </c>
      <c r="H693" s="90" t="str">
        <f>IF(E693="","",IF(E693&gt;$I$5,"OUTLIER",""))</f>
        <v/>
      </c>
      <c r="I693" s="90" t="str">
        <f>IF(F693="","",IF(F693&gt;$I$5,"OUTLIER",""))</f>
        <v/>
      </c>
      <c r="J693" s="90" t="str">
        <f>IF(G693="","",IF(G693&gt;$I$5,"OUTLIER",""))</f>
        <v/>
      </c>
      <c r="K693" s="90" t="str">
        <f>IF(C693="","MISSING","")</f>
        <v/>
      </c>
      <c r="L693" s="90" t="str">
        <f>IF(AND(C693&lt;&gt;"",C692&lt;&gt;"",C693=C692),"STALE","")</f>
        <v>STALE</v>
      </c>
      <c r="M693" s="106">
        <f>IF(D693="","",ABS(D693-G$5))</f>
        <v>0</v>
      </c>
    </row>
    <row r="694" spans="2:13" ht="12.75" customHeight="1" x14ac:dyDescent="0.55000000000000004">
      <c r="B694" s="97">
        <v>45891</v>
      </c>
      <c r="C694" s="89">
        <v>1.1193</v>
      </c>
      <c r="D694" s="91">
        <f>IF(OR(C694="",C693=""),"",LN(C694/C693))</f>
        <v>-3.8343263348667384E-3</v>
      </c>
      <c r="E694" s="89">
        <f>IF(D694="","",ABS(D694-$E$5)/$F$5)</f>
        <v>0.78737288477757761</v>
      </c>
      <c r="F694" s="89">
        <f>IF(D694="","",ABS(D694-$G$5)/$H$5)</f>
        <v>1.282193324466208</v>
      </c>
      <c r="G694" s="89">
        <f>IF(D694="","",ABS(D694-$E$5)/SQRT(0.9*(IF(G693="",$F$5^2,(ABS(D693-$E$5)/MAX(G693,0.0000000001))^2))+0.1*(D694-$E$5)^2))</f>
        <v>0.3735519563005833</v>
      </c>
      <c r="H694" s="90" t="str">
        <f>IF(E694="","",IF(E694&gt;$I$5,"OUTLIER",""))</f>
        <v/>
      </c>
      <c r="I694" s="90" t="str">
        <f>IF(F694="","",IF(F694&gt;$I$5,"OUTLIER",""))</f>
        <v/>
      </c>
      <c r="J694" s="90" t="str">
        <f>IF(G694="","",IF(G694&gt;$I$5,"OUTLIER",""))</f>
        <v/>
      </c>
      <c r="K694" s="90" t="str">
        <f>IF(C694="","MISSING","")</f>
        <v/>
      </c>
      <c r="L694" s="90" t="str">
        <f>IF(AND(C694&lt;&gt;"",C693&lt;&gt;"",C694=C693),"STALE","")</f>
        <v/>
      </c>
      <c r="M694" s="106">
        <f>IF(D694="","",ABS(D694-G$5))</f>
        <v>3.8343263348667384E-3</v>
      </c>
    </row>
    <row r="695" spans="2:13" ht="12.75" customHeight="1" x14ac:dyDescent="0.55000000000000004">
      <c r="B695" s="97">
        <v>45894</v>
      </c>
      <c r="C695" s="89">
        <v>1.1214999999999999</v>
      </c>
      <c r="D695" s="91">
        <f>IF(OR(C695="",C694=""),"",LN(C695/C694))</f>
        <v>1.9635850650411056E-3</v>
      </c>
      <c r="E695" s="89">
        <f>IF(D695="","",ABS(D695-$E$5)/$F$5)</f>
        <v>0.36189558504132557</v>
      </c>
      <c r="F695" s="89">
        <f>IF(D695="","",ABS(D695-$G$5)/$H$5)</f>
        <v>0.65662007939257805</v>
      </c>
      <c r="G695" s="89">
        <f>IF(D695="","",ABS(D695-$E$5)/SQRT(0.9*(IF(G694="",$F$5^2,(ABS(D694-$E$5)/MAX(G694,0.0000000001))^2))+0.1*(D695-$E$5)^2))</f>
        <v>0.18068516953970626</v>
      </c>
      <c r="H695" s="90" t="str">
        <f>IF(E695="","",IF(E695&gt;$I$5,"OUTLIER",""))</f>
        <v/>
      </c>
      <c r="I695" s="90" t="str">
        <f>IF(F695="","",IF(F695&gt;$I$5,"OUTLIER",""))</f>
        <v/>
      </c>
      <c r="J695" s="90" t="str">
        <f>IF(G695="","",IF(G695&gt;$I$5,"OUTLIER",""))</f>
        <v/>
      </c>
      <c r="K695" s="90" t="str">
        <f>IF(C695="","MISSING","")</f>
        <v/>
      </c>
      <c r="L695" s="90" t="str">
        <f>IF(AND(C695&lt;&gt;"",C694&lt;&gt;"",C695=C694),"STALE","")</f>
        <v/>
      </c>
      <c r="M695" s="106">
        <f>IF(D695="","",ABS(D695-G$5))</f>
        <v>1.9635850650411056E-3</v>
      </c>
    </row>
    <row r="696" spans="2:13" ht="12.75" customHeight="1" x14ac:dyDescent="0.55000000000000004">
      <c r="B696" s="97">
        <v>45895</v>
      </c>
      <c r="C696" s="89">
        <v>1.1240000000000001</v>
      </c>
      <c r="D696" s="91">
        <f>IF(OR(C696="",C695=""),"",LN(C696/C695))</f>
        <v>2.226676493373601E-3</v>
      </c>
      <c r="E696" s="89">
        <f>IF(D696="","",ABS(D696-$E$5)/$F$5)</f>
        <v>0.41404586165075474</v>
      </c>
      <c r="F696" s="89">
        <f>IF(D696="","",ABS(D696-$G$5)/$H$5)</f>
        <v>0.74459748237591838</v>
      </c>
      <c r="G696" s="89">
        <f>IF(D696="","",ABS(D696-$E$5)/SQRT(0.9*(IF(G695="",$F$5^2,(ABS(D695-$E$5)/MAX(G695,0.0000000001))^2))+0.1*(D696-$E$5)^2))</f>
        <v>0.21738911208819739</v>
      </c>
      <c r="H696" s="90" t="str">
        <f>IF(E696="","",IF(E696&gt;$I$5,"OUTLIER",""))</f>
        <v/>
      </c>
      <c r="I696" s="90" t="str">
        <f>IF(F696="","",IF(F696&gt;$I$5,"OUTLIER",""))</f>
        <v/>
      </c>
      <c r="J696" s="90" t="str">
        <f>IF(G696="","",IF(G696&gt;$I$5,"OUTLIER",""))</f>
        <v/>
      </c>
      <c r="K696" s="90" t="str">
        <f>IF(C696="","MISSING","")</f>
        <v/>
      </c>
      <c r="L696" s="90" t="str">
        <f>IF(AND(C696&lt;&gt;"",C695&lt;&gt;"",C696=C695),"STALE","")</f>
        <v/>
      </c>
      <c r="M696" s="106">
        <f>IF(D696="","",ABS(D696-G$5))</f>
        <v>2.226676493373601E-3</v>
      </c>
    </row>
    <row r="697" spans="2:13" ht="12.75" customHeight="1" x14ac:dyDescent="0.55000000000000004">
      <c r="B697" s="97">
        <v>45896</v>
      </c>
      <c r="C697" s="89">
        <v>1.1257999999999999</v>
      </c>
      <c r="D697" s="91">
        <f>IF(OR(C697="",C696=""),"",LN(C697/C696))</f>
        <v>1.6001425762896693E-3</v>
      </c>
      <c r="E697" s="89">
        <f>IF(D697="","",ABS(D697-$E$5)/$F$5)</f>
        <v>0.2898536092151382</v>
      </c>
      <c r="F697" s="89">
        <f>IF(D697="","",ABS(D697-$G$5)/$H$5)</f>
        <v>0.53508542318270891</v>
      </c>
      <c r="G697" s="89">
        <f>IF(D697="","",ABS(D697-$E$5)/SQRT(0.9*(IF(G696="",$F$5^2,(ABS(D696-$E$5)/MAX(G696,0.0000000001))^2))+0.1*(D697-$E$5)^2))</f>
        <v>0.16020967037685035</v>
      </c>
      <c r="H697" s="90" t="str">
        <f>IF(E697="","",IF(E697&gt;$I$5,"OUTLIER",""))</f>
        <v/>
      </c>
      <c r="I697" s="90" t="str">
        <f>IF(F697="","",IF(F697&gt;$I$5,"OUTLIER",""))</f>
        <v/>
      </c>
      <c r="J697" s="90" t="str">
        <f>IF(G697="","",IF(G697&gt;$I$5,"OUTLIER",""))</f>
        <v/>
      </c>
      <c r="K697" s="90" t="str">
        <f>IF(C697="","MISSING","")</f>
        <v/>
      </c>
      <c r="L697" s="90" t="str">
        <f>IF(AND(C697&lt;&gt;"",C696&lt;&gt;"",C697=C696),"STALE","")</f>
        <v/>
      </c>
      <c r="M697" s="106">
        <f>IF(D697="","",ABS(D697-G$5))</f>
        <v>1.6001425762896693E-3</v>
      </c>
    </row>
    <row r="698" spans="2:13" ht="12.75" customHeight="1" x14ac:dyDescent="0.55000000000000004">
      <c r="B698" s="97">
        <v>45897</v>
      </c>
      <c r="C698" s="89">
        <v>1.1257999999999999</v>
      </c>
      <c r="D698" s="91">
        <f>IF(OR(C698="",C697=""),"",LN(C698/C697))</f>
        <v>0</v>
      </c>
      <c r="E698" s="89">
        <f>IF(D698="","",ABS(D698-$E$5)/$F$5)</f>
        <v>2.7328438474265301E-2</v>
      </c>
      <c r="F698" s="89">
        <f>IF(D698="","",ABS(D698-$G$5)/$H$5)</f>
        <v>0</v>
      </c>
      <c r="G698" s="89">
        <f>IF(D698="","",ABS(D698-$E$5)/SQRT(0.9*(IF(G697="",$F$5^2,(ABS(D697-$E$5)/MAX(G697,0.0000000001))^2))+0.1*(D698-$E$5)^2))</f>
        <v>1.5922016579821001E-2</v>
      </c>
      <c r="H698" s="90" t="str">
        <f>IF(E698="","",IF(E698&gt;$I$5,"OUTLIER",""))</f>
        <v/>
      </c>
      <c r="I698" s="90" t="str">
        <f>IF(F698="","",IF(F698&gt;$I$5,"OUTLIER",""))</f>
        <v/>
      </c>
      <c r="J698" s="90" t="str">
        <f>IF(G698="","",IF(G698&gt;$I$5,"OUTLIER",""))</f>
        <v/>
      </c>
      <c r="K698" s="90" t="str">
        <f>IF(C698="","MISSING","")</f>
        <v/>
      </c>
      <c r="L698" s="90" t="str">
        <f>IF(AND(C698&lt;&gt;"",C697&lt;&gt;"",C698=C697),"STALE","")</f>
        <v>STALE</v>
      </c>
      <c r="M698" s="106">
        <f>IF(D698="","",ABS(D698-G$5))</f>
        <v>0</v>
      </c>
    </row>
    <row r="699" spans="2:13" ht="12.75" customHeight="1" x14ac:dyDescent="0.55000000000000004">
      <c r="B699" s="97">
        <v>45898</v>
      </c>
      <c r="C699" s="89">
        <v>1.1213</v>
      </c>
      <c r="D699" s="91">
        <f>IF(OR(C699="",C698=""),"",LN(C699/C698))</f>
        <v>-4.0051675630910933E-3</v>
      </c>
      <c r="E699" s="89">
        <f>IF(D699="","",ABS(D699-$E$5)/$F$5)</f>
        <v>0.82123722374393504</v>
      </c>
      <c r="F699" s="89">
        <f>IF(D699="","",ABS(D699-$G$5)/$H$5)</f>
        <v>1.3393223904982179</v>
      </c>
      <c r="G699" s="89">
        <f>IF(D699="","",ABS(D699-$E$5)/SQRT(0.9*(IF(G698="",$F$5^2,(ABS(D698-$E$5)/MAX(G698,0.0000000001))^2))+0.1*(D699-$E$5)^2))</f>
        <v>0.49805372408979048</v>
      </c>
      <c r="H699" s="90" t="str">
        <f>IF(E699="","",IF(E699&gt;$I$5,"OUTLIER",""))</f>
        <v/>
      </c>
      <c r="I699" s="90" t="str">
        <f>IF(F699="","",IF(F699&gt;$I$5,"OUTLIER",""))</f>
        <v/>
      </c>
      <c r="J699" s="90" t="str">
        <f>IF(G699="","",IF(G699&gt;$I$5,"OUTLIER",""))</f>
        <v/>
      </c>
      <c r="K699" s="90" t="str">
        <f>IF(C699="","MISSING","")</f>
        <v/>
      </c>
      <c r="L699" s="90" t="str">
        <f>IF(AND(C699&lt;&gt;"",C698&lt;&gt;"",C699=C698),"STALE","")</f>
        <v/>
      </c>
      <c r="M699" s="106">
        <f>IF(D699="","",ABS(D699-G$5))</f>
        <v>4.0051675630910933E-3</v>
      </c>
    </row>
    <row r="700" spans="2:13" ht="12.75" customHeight="1" x14ac:dyDescent="0.55000000000000004">
      <c r="B700" s="97">
        <v>45901</v>
      </c>
      <c r="C700" s="89"/>
      <c r="D700" s="91" t="str">
        <f>IF(OR(C700="",C699=""),"",LN(C700/C699))</f>
        <v/>
      </c>
      <c r="E700" s="89" t="str">
        <f>IF(D700="","",ABS(D700-$E$5)/$F$5)</f>
        <v/>
      </c>
      <c r="F700" s="89" t="str">
        <f>IF(D700="","",ABS(D700-$G$5)/$H$5)</f>
        <v/>
      </c>
      <c r="G700" s="89" t="str">
        <f>IF(D700="","",ABS(D700-$E$5)/SQRT(0.9*(IF(G699="",$F$5^2,(ABS(D699-$E$5)/MAX(G699,0.0000000001))^2))+0.1*(D700-$E$5)^2))</f>
        <v/>
      </c>
      <c r="H700" s="90" t="str">
        <f>IF(E700="","",IF(E700&gt;$I$5,"OUTLIER",""))</f>
        <v/>
      </c>
      <c r="I700" s="90" t="str">
        <f>IF(F700="","",IF(F700&gt;$I$5,"OUTLIER",""))</f>
        <v/>
      </c>
      <c r="J700" s="90" t="str">
        <f>IF(G700="","",IF(G700&gt;$I$5,"OUTLIER",""))</f>
        <v/>
      </c>
      <c r="K700" s="90" t="str">
        <f>IF(C700="","MISSING","")</f>
        <v>MISSING</v>
      </c>
      <c r="L700" s="90" t="str">
        <f>IF(AND(C700&lt;&gt;"",C699&lt;&gt;"",C700=C699),"STALE","")</f>
        <v/>
      </c>
      <c r="M700" s="106" t="str">
        <f>IF(D700="","",ABS(D700-G$5))</f>
        <v/>
      </c>
    </row>
    <row r="701" spans="2:13" ht="12.75" customHeight="1" x14ac:dyDescent="0.55000000000000004">
      <c r="B701" s="97">
        <v>45902</v>
      </c>
      <c r="C701" s="89">
        <v>1.1283000000000001</v>
      </c>
      <c r="D701" s="91" t="str">
        <f>IF(OR(C701="",C700=""),"",LN(C701/C700))</f>
        <v/>
      </c>
      <c r="E701" s="89" t="str">
        <f>IF(D701="","",ABS(D701-$E$5)/$F$5)</f>
        <v/>
      </c>
      <c r="F701" s="89" t="str">
        <f>IF(D701="","",ABS(D701-$G$5)/$H$5)</f>
        <v/>
      </c>
      <c r="G701" s="89" t="str">
        <f>IF(D701="","",ABS(D701-$E$5)/SQRT(0.9*(IF(G700="",$F$5^2,(ABS(D700-$E$5)/MAX(G700,0.0000000001))^2))+0.1*(D701-$E$5)^2))</f>
        <v/>
      </c>
      <c r="H701" s="90" t="str">
        <f>IF(E701="","",IF(E701&gt;$I$5,"OUTLIER",""))</f>
        <v/>
      </c>
      <c r="I701" s="90" t="str">
        <f>IF(F701="","",IF(F701&gt;$I$5,"OUTLIER",""))</f>
        <v/>
      </c>
      <c r="J701" s="90" t="str">
        <f>IF(G701="","",IF(G701&gt;$I$5,"OUTLIER",""))</f>
        <v/>
      </c>
      <c r="K701" s="90" t="str">
        <f>IF(C701="","MISSING","")</f>
        <v/>
      </c>
      <c r="L701" s="90" t="str">
        <f>IF(AND(C701&lt;&gt;"",C700&lt;&gt;"",C701=C700),"STALE","")</f>
        <v/>
      </c>
      <c r="M701" s="106" t="str">
        <f>IF(D701="","",ABS(D701-G$5))</f>
        <v/>
      </c>
    </row>
    <row r="702" spans="2:13" ht="12.75" customHeight="1" x14ac:dyDescent="0.55000000000000004">
      <c r="B702" s="97">
        <v>45903</v>
      </c>
      <c r="C702" s="89">
        <v>1.1271</v>
      </c>
      <c r="D702" s="91">
        <f>IF(OR(C702="",C701=""),"",LN(C702/C701))</f>
        <v>-1.0641128963675931E-3</v>
      </c>
      <c r="E702" s="89">
        <f>IF(D702="","",ABS(D702-$E$5)/$F$5)</f>
        <v>0.23825808464691695</v>
      </c>
      <c r="F702" s="89">
        <f>IF(D702="","",ABS(D702-$G$5)/$H$5)</f>
        <v>0.35583785339135698</v>
      </c>
      <c r="G702" s="89">
        <f>IF(D702="","",ABS(D702-$E$5)/SQRT(0.9*(IF(G701="",$F$5^2,(ABS(D701-$E$5)/MAX(G701,0.0000000001))^2))+0.1*(D702-$E$5)^2))</f>
        <v>0.25035775628512086</v>
      </c>
      <c r="H702" s="90" t="str">
        <f>IF(E702="","",IF(E702&gt;$I$5,"OUTLIER",""))</f>
        <v/>
      </c>
      <c r="I702" s="90" t="str">
        <f>IF(F702="","",IF(F702&gt;$I$5,"OUTLIER",""))</f>
        <v/>
      </c>
      <c r="J702" s="90" t="str">
        <f>IF(G702="","",IF(G702&gt;$I$5,"OUTLIER",""))</f>
        <v/>
      </c>
      <c r="K702" s="90" t="str">
        <f>IF(C702="","MISSING","")</f>
        <v/>
      </c>
      <c r="L702" s="90" t="str">
        <f>IF(AND(C702&lt;&gt;"",C701&lt;&gt;"",C702=C701),"STALE","")</f>
        <v/>
      </c>
      <c r="M702" s="106">
        <f>IF(D702="","",ABS(D702-G$5))</f>
        <v>1.0641128963675931E-3</v>
      </c>
    </row>
    <row r="703" spans="2:13" ht="12.75" customHeight="1" x14ac:dyDescent="0.55000000000000004">
      <c r="B703" s="97">
        <v>45904</v>
      </c>
      <c r="C703" s="89">
        <v>1.1271</v>
      </c>
      <c r="D703" s="91">
        <f>IF(OR(C703="",C702=""),"",LN(C703/C702))</f>
        <v>0</v>
      </c>
      <c r="E703" s="89">
        <f>IF(D703="","",ABS(D703-$E$5)/$F$5)</f>
        <v>2.7328438474265301E-2</v>
      </c>
      <c r="F703" s="89">
        <f>IF(D703="","",ABS(D703-$G$5)/$H$5)</f>
        <v>0</v>
      </c>
      <c r="G703" s="89">
        <f>IF(D703="","",ABS(D703-$E$5)/SQRT(0.9*(IF(G702="",$F$5^2,(ABS(D702-$E$5)/MAX(G702,0.0000000001))^2))+0.1*(D703-$E$5)^2))</f>
        <v>3.0268233233807798E-2</v>
      </c>
      <c r="H703" s="90" t="str">
        <f>IF(E703="","",IF(E703&gt;$I$5,"OUTLIER",""))</f>
        <v/>
      </c>
      <c r="I703" s="90" t="str">
        <f>IF(F703="","",IF(F703&gt;$I$5,"OUTLIER",""))</f>
        <v/>
      </c>
      <c r="J703" s="90" t="str">
        <f>IF(G703="","",IF(G703&gt;$I$5,"OUTLIER",""))</f>
        <v/>
      </c>
      <c r="K703" s="90" t="str">
        <f>IF(C703="","MISSING","")</f>
        <v/>
      </c>
      <c r="L703" s="90" t="str">
        <f>IF(AND(C703&lt;&gt;"",C702&lt;&gt;"",C703=C702),"STALE","")</f>
        <v>STALE</v>
      </c>
      <c r="M703" s="106">
        <f>IF(D703="","",ABS(D703-G$5))</f>
        <v>0</v>
      </c>
    </row>
    <row r="704" spans="2:13" ht="12.75" customHeight="1" x14ac:dyDescent="0.55000000000000004">
      <c r="B704" s="97">
        <v>45905</v>
      </c>
      <c r="C704" s="89">
        <v>1.1271</v>
      </c>
      <c r="D704" s="91">
        <f>IF(OR(C704="",C703=""),"",LN(C704/C703))</f>
        <v>0</v>
      </c>
      <c r="E704" s="89">
        <f>IF(D704="","",ABS(D704-$E$5)/$F$5)</f>
        <v>2.7328438474265301E-2</v>
      </c>
      <c r="F704" s="89">
        <f>IF(D704="","",ABS(D704-$G$5)/$H$5)</f>
        <v>0</v>
      </c>
      <c r="G704" s="89">
        <f>IF(D704="","",ABS(D704-$E$5)/SQRT(0.9*(IF(G703="",$F$5^2,(ABS(D703-$E$5)/MAX(G703,0.0000000001))^2))+0.1*(D704-$E$5)^2))</f>
        <v>3.1903895449420856E-2</v>
      </c>
      <c r="H704" s="90" t="str">
        <f>IF(E704="","",IF(E704&gt;$I$5,"OUTLIER",""))</f>
        <v/>
      </c>
      <c r="I704" s="90" t="str">
        <f>IF(F704="","",IF(F704&gt;$I$5,"OUTLIER",""))</f>
        <v/>
      </c>
      <c r="J704" s="90" t="str">
        <f>IF(G704="","",IF(G704&gt;$I$5,"OUTLIER",""))</f>
        <v/>
      </c>
      <c r="K704" s="90" t="str">
        <f>IF(C704="","MISSING","")</f>
        <v/>
      </c>
      <c r="L704" s="90" t="str">
        <f>IF(AND(C704&lt;&gt;"",C703&lt;&gt;"",C704=C703),"STALE","")</f>
        <v>STALE</v>
      </c>
      <c r="M704" s="106">
        <f>IF(D704="","",ABS(D704-G$5))</f>
        <v>0</v>
      </c>
    </row>
    <row r="705" spans="2:13" ht="12.75" customHeight="1" x14ac:dyDescent="0.55000000000000004">
      <c r="B705" s="97">
        <v>45908</v>
      </c>
      <c r="C705" s="89">
        <v>1.1323000000000001</v>
      </c>
      <c r="D705" s="91">
        <f>IF(OR(C705="",C704=""),"",LN(C705/C704))</f>
        <v>4.6030000719609401E-3</v>
      </c>
      <c r="E705" s="89">
        <f>IF(D705="","",ABS(D705-$E$5)/$F$5)</f>
        <v>0.88508337405583559</v>
      </c>
      <c r="F705" s="89">
        <f>IF(D705="","",ABS(D705-$G$5)/$H$5)</f>
        <v>1.5392367392200366</v>
      </c>
      <c r="G705" s="89">
        <f>IF(D705="","",ABS(D705-$E$5)/SQRT(0.9*(IF(G704="",$F$5^2,(ABS(D704-$E$5)/MAX(G704,0.0000000001))^2))+0.1*(D705-$E$5)^2))</f>
        <v>1.0297911855515018</v>
      </c>
      <c r="H705" s="90" t="str">
        <f>IF(E705="","",IF(E705&gt;$I$5,"OUTLIER",""))</f>
        <v/>
      </c>
      <c r="I705" s="90" t="str">
        <f>IF(F705="","",IF(F705&gt;$I$5,"OUTLIER",""))</f>
        <v/>
      </c>
      <c r="J705" s="90" t="str">
        <f>IF(G705="","",IF(G705&gt;$I$5,"OUTLIER",""))</f>
        <v/>
      </c>
      <c r="K705" s="90" t="str">
        <f>IF(C705="","MISSING","")</f>
        <v/>
      </c>
      <c r="L705" s="90" t="str">
        <f>IF(AND(C705&lt;&gt;"",C704&lt;&gt;"",C705=C704),"STALE","")</f>
        <v/>
      </c>
      <c r="M705" s="106">
        <f>IF(D705="","",ABS(D705-G$5))</f>
        <v>4.6030000719609401E-3</v>
      </c>
    </row>
    <row r="706" spans="2:13" ht="12.75" customHeight="1" x14ac:dyDescent="0.55000000000000004">
      <c r="B706" s="97">
        <v>45909</v>
      </c>
      <c r="C706" s="89">
        <v>1.1329</v>
      </c>
      <c r="D706" s="91">
        <f>IF(OR(C706="",C705=""),"",LN(C706/C705))</f>
        <v>5.2975455944892069E-4</v>
      </c>
      <c r="E706" s="89">
        <f>IF(D706="","",ABS(D706-$E$5)/$F$5)</f>
        <v>7.7680101657466527E-2</v>
      </c>
      <c r="F706" s="89">
        <f>IF(D706="","",ABS(D706-$G$5)/$H$5)</f>
        <v>0.17714917834570548</v>
      </c>
      <c r="G706" s="89">
        <f>IF(D706="","",ABS(D706-$E$5)/SQRT(0.9*(IF(G705="",$F$5^2,(ABS(D705-$E$5)/MAX(G705,0.0000000001))^2))+0.1*(D706-$E$5)^2))</f>
        <v>9.522621417206939E-2</v>
      </c>
      <c r="H706" s="90" t="str">
        <f>IF(E706="","",IF(E706&gt;$I$5,"OUTLIER",""))</f>
        <v/>
      </c>
      <c r="I706" s="90" t="str">
        <f>IF(F706="","",IF(F706&gt;$I$5,"OUTLIER",""))</f>
        <v/>
      </c>
      <c r="J706" s="90" t="str">
        <f>IF(G706="","",IF(G706&gt;$I$5,"OUTLIER",""))</f>
        <v/>
      </c>
      <c r="K706" s="90" t="str">
        <f>IF(C706="","MISSING","")</f>
        <v/>
      </c>
      <c r="L706" s="90" t="str">
        <f>IF(AND(C706&lt;&gt;"",C705&lt;&gt;"",C706=C705),"STALE","")</f>
        <v/>
      </c>
      <c r="M706" s="106">
        <f>IF(D706="","",ABS(D706-G$5))</f>
        <v>5.2975455944892069E-4</v>
      </c>
    </row>
    <row r="707" spans="2:13" ht="12.75" customHeight="1" x14ac:dyDescent="0.55000000000000004">
      <c r="B707" s="97">
        <v>45910</v>
      </c>
      <c r="C707" s="89">
        <v>1.1372</v>
      </c>
      <c r="D707" s="91">
        <f>IF(OR(C707="",C706=""),"",LN(C707/C706))</f>
        <v>3.7883838974017404E-3</v>
      </c>
      <c r="E707" s="89">
        <f>IF(D707="","",ABS(D707-$E$5)/$F$5)</f>
        <v>0.72360924658982084</v>
      </c>
      <c r="F707" s="89">
        <f>IF(D707="","",ABS(D707-$G$5)/$H$5)</f>
        <v>1.2668302381029879</v>
      </c>
      <c r="G707" s="89">
        <f>IF(D707="","",ABS(D707-$E$5)/SQRT(0.9*(IF(G706="",$F$5^2,(ABS(D706-$E$5)/MAX(G706,0.0000000001))^2))+0.1*(D707-$E$5)^2))</f>
        <v>0.89666245223803842</v>
      </c>
      <c r="H707" s="90" t="str">
        <f>IF(E707="","",IF(E707&gt;$I$5,"OUTLIER",""))</f>
        <v/>
      </c>
      <c r="I707" s="90" t="str">
        <f>IF(F707="","",IF(F707&gt;$I$5,"OUTLIER",""))</f>
        <v/>
      </c>
      <c r="J707" s="90" t="str">
        <f>IF(G707="","",IF(G707&gt;$I$5,"OUTLIER",""))</f>
        <v/>
      </c>
      <c r="K707" s="90" t="str">
        <f>IF(C707="","MISSING","")</f>
        <v/>
      </c>
      <c r="L707" s="90" t="str">
        <f>IF(AND(C707&lt;&gt;"",C706&lt;&gt;"",C707=C706),"STALE","")</f>
        <v/>
      </c>
      <c r="M707" s="106">
        <f>IF(D707="","",ABS(D707-G$5))</f>
        <v>3.7883838974017404E-3</v>
      </c>
    </row>
    <row r="708" spans="2:13" ht="12.75" customHeight="1" x14ac:dyDescent="0.55000000000000004">
      <c r="B708" s="97">
        <v>45911</v>
      </c>
      <c r="C708" s="89">
        <v>1.1344000000000001</v>
      </c>
      <c r="D708" s="91">
        <f>IF(OR(C708="",C707=""),"",LN(C708/C707))</f>
        <v>-2.4652239989816334E-3</v>
      </c>
      <c r="E708" s="89">
        <f>IF(D708="","",ABS(D708-$E$5)/$F$5)</f>
        <v>0.51598789144822632</v>
      </c>
      <c r="F708" s="89">
        <f>IF(D708="","",ABS(D708-$G$5)/$H$5)</f>
        <v>0.82436743217840824</v>
      </c>
      <c r="G708" s="89">
        <f>IF(D708="","",ABS(D708-$E$5)/SQRT(0.9*(IF(G707="",$F$5^2,(ABS(D707-$E$5)/MAX(G707,0.0000000001))^2))+0.1*(D708-$E$5)^2))</f>
        <v>0.65916915887352556</v>
      </c>
      <c r="H708" s="90" t="str">
        <f>IF(E708="","",IF(E708&gt;$I$5,"OUTLIER",""))</f>
        <v/>
      </c>
      <c r="I708" s="90" t="str">
        <f>IF(F708="","",IF(F708&gt;$I$5,"OUTLIER",""))</f>
        <v/>
      </c>
      <c r="J708" s="90" t="str">
        <f>IF(G708="","",IF(G708&gt;$I$5,"OUTLIER",""))</f>
        <v/>
      </c>
      <c r="K708" s="90" t="str">
        <f>IF(C708="","MISSING","")</f>
        <v/>
      </c>
      <c r="L708" s="90" t="str">
        <f>IF(AND(C708&lt;&gt;"",C707&lt;&gt;"",C708=C707),"STALE","")</f>
        <v/>
      </c>
      <c r="M708" s="106">
        <f>IF(D708="","",ABS(D708-G$5))</f>
        <v>2.4652239989816334E-3</v>
      </c>
    </row>
    <row r="709" spans="2:13" ht="12.75" customHeight="1" x14ac:dyDescent="0.55000000000000004">
      <c r="B709" s="97">
        <v>45912</v>
      </c>
      <c r="C709" s="89">
        <v>1.1346000000000001</v>
      </c>
      <c r="D709" s="91">
        <f>IF(OR(C709="",C708=""),"",LN(C709/C708))</f>
        <v>1.7628911460384163E-4</v>
      </c>
      <c r="E709" s="89">
        <f>IF(D709="","",ABS(D709-$E$5)/$F$5)</f>
        <v>7.6157866116348854E-3</v>
      </c>
      <c r="F709" s="89">
        <f>IF(D709="","",ABS(D709-$G$5)/$H$5)</f>
        <v>5.8950831562165386E-2</v>
      </c>
      <c r="G709" s="89">
        <f>IF(D709="","",ABS(D709-$E$5)/SQRT(0.9*(IF(G708="",$F$5^2,(ABS(D708-$E$5)/MAX(G708,0.0000000001))^2))+0.1*(D709-$E$5)^2))</f>
        <v>1.0255305389929881E-2</v>
      </c>
      <c r="H709" s="90" t="str">
        <f>IF(E709="","",IF(E709&gt;$I$5,"OUTLIER",""))</f>
        <v/>
      </c>
      <c r="I709" s="90" t="str">
        <f>IF(F709="","",IF(F709&gt;$I$5,"OUTLIER",""))</f>
        <v/>
      </c>
      <c r="J709" s="90" t="str">
        <f>IF(G709="","",IF(G709&gt;$I$5,"OUTLIER",""))</f>
        <v/>
      </c>
      <c r="K709" s="90" t="str">
        <f>IF(C709="","MISSING","")</f>
        <v/>
      </c>
      <c r="L709" s="90" t="str">
        <f>IF(AND(C709&lt;&gt;"",C708&lt;&gt;"",C709=C708),"STALE","")</f>
        <v/>
      </c>
      <c r="M709" s="106">
        <f>IF(D709="","",ABS(D709-G$5))</f>
        <v>1.7628911460384163E-4</v>
      </c>
    </row>
    <row r="710" spans="2:13" ht="12.75" customHeight="1" x14ac:dyDescent="0.55000000000000004">
      <c r="B710" s="97">
        <v>45915</v>
      </c>
      <c r="C710" s="89">
        <v>1.1383000000000001</v>
      </c>
      <c r="D710" s="91">
        <f>IF(OR(C710="",C709=""),"",LN(C710/C709))</f>
        <v>3.2557554387041042E-3</v>
      </c>
      <c r="E710" s="89">
        <f>IF(D710="","",ABS(D710-$E$5)/$F$5)</f>
        <v>0.61803103894091416</v>
      </c>
      <c r="F710" s="89">
        <f>IF(D710="","",ABS(D710-$G$5)/$H$5)</f>
        <v>1.0887200318973469</v>
      </c>
      <c r="G710" s="89">
        <f>IF(D710="","",ABS(D710-$E$5)/SQRT(0.9*(IF(G709="",$F$5^2,(ABS(D709-$E$5)/MAX(G709,0.0000000001))^2))+0.1*(D710-$E$5)^2))</f>
        <v>0.84532510481494105</v>
      </c>
      <c r="H710" s="90" t="str">
        <f>IF(E710="","",IF(E710&gt;$I$5,"OUTLIER",""))</f>
        <v/>
      </c>
      <c r="I710" s="90" t="str">
        <f>IF(F710="","",IF(F710&gt;$I$5,"OUTLIER",""))</f>
        <v/>
      </c>
      <c r="J710" s="90" t="str">
        <f>IF(G710="","",IF(G710&gt;$I$5,"OUTLIER",""))</f>
        <v/>
      </c>
      <c r="K710" s="90" t="str">
        <f>IF(C710="","MISSING","")</f>
        <v/>
      </c>
      <c r="L710" s="90" t="str">
        <f>IF(AND(C710&lt;&gt;"",C709&lt;&gt;"",C710=C709),"STALE","")</f>
        <v/>
      </c>
      <c r="M710" s="106">
        <f>IF(D710="","",ABS(D710-G$5))</f>
        <v>3.2557554387041042E-3</v>
      </c>
    </row>
    <row r="711" spans="2:13" ht="12.75" customHeight="1" x14ac:dyDescent="0.55000000000000004">
      <c r="B711" s="97">
        <v>45916</v>
      </c>
      <c r="C711" s="89">
        <v>1.1361000000000001</v>
      </c>
      <c r="D711" s="91">
        <f>IF(OR(C711="",C710=""),"",LN(C711/C710))</f>
        <v>-1.9345767553120782E-3</v>
      </c>
      <c r="E711" s="89">
        <f>IF(D711="","",ABS(D711-$E$5)/$F$5)</f>
        <v>0.41080240245378913</v>
      </c>
      <c r="F711" s="89">
        <f>IF(D711="","",ABS(D711-$G$5)/$H$5)</f>
        <v>0.64691974148696263</v>
      </c>
      <c r="G711" s="89">
        <f>IF(D711="","",ABS(D711-$E$5)/SQRT(0.9*(IF(G710="",$F$5^2,(ABS(D710-$E$5)/MAX(G710,0.0000000001))^2))+0.1*(D711-$E$5)^2))</f>
        <v>0.58215468547275484</v>
      </c>
      <c r="H711" s="90" t="str">
        <f>IF(E711="","",IF(E711&gt;$I$5,"OUTLIER",""))</f>
        <v/>
      </c>
      <c r="I711" s="90" t="str">
        <f>IF(F711="","",IF(F711&gt;$I$5,"OUTLIER",""))</f>
        <v/>
      </c>
      <c r="J711" s="90" t="str">
        <f>IF(G711="","",IF(G711&gt;$I$5,"OUTLIER",""))</f>
        <v/>
      </c>
      <c r="K711" s="90" t="str">
        <f>IF(C711="","MISSING","")</f>
        <v/>
      </c>
      <c r="L711" s="90" t="str">
        <f>IF(AND(C711&lt;&gt;"",C710&lt;&gt;"",C711=C710),"STALE","")</f>
        <v/>
      </c>
      <c r="M711" s="106">
        <f>IF(D711="","",ABS(D711-G$5))</f>
        <v>1.9345767553120782E-3</v>
      </c>
    </row>
    <row r="712" spans="2:13" ht="12.75" customHeight="1" x14ac:dyDescent="0.55000000000000004">
      <c r="B712" s="97">
        <v>45917</v>
      </c>
      <c r="C712" s="89">
        <v>1.1414</v>
      </c>
      <c r="D712" s="91">
        <f>IF(OR(C712="",C711=""),"",LN(C712/C711))</f>
        <v>4.6542345267487255E-3</v>
      </c>
      <c r="E712" s="89">
        <f>IF(D712="","",ABS(D712-$E$5)/$F$5)</f>
        <v>0.89523912487619151</v>
      </c>
      <c r="F712" s="89">
        <f>IF(D712="","",ABS(D712-$G$5)/$H$5)</f>
        <v>1.556369468720445</v>
      </c>
      <c r="G712" s="89">
        <f>IF(D712="","",ABS(D712-$E$5)/SQRT(0.9*(IF(G711="",$F$5^2,(ABS(D711-$E$5)/MAX(G711,0.0000000001))^2))+0.1*(D712-$E$5)^2))</f>
        <v>1.2316779646509639</v>
      </c>
      <c r="H712" s="90" t="str">
        <f>IF(E712="","",IF(E712&gt;$I$5,"OUTLIER",""))</f>
        <v/>
      </c>
      <c r="I712" s="90" t="str">
        <f>IF(F712="","",IF(F712&gt;$I$5,"OUTLIER",""))</f>
        <v/>
      </c>
      <c r="J712" s="90" t="str">
        <f>IF(G712="","",IF(G712&gt;$I$5,"OUTLIER",""))</f>
        <v/>
      </c>
      <c r="K712" s="90" t="str">
        <f>IF(C712="","MISSING","")</f>
        <v/>
      </c>
      <c r="L712" s="90" t="str">
        <f>IF(AND(C712&lt;&gt;"",C711&lt;&gt;"",C712=C711),"STALE","")</f>
        <v/>
      </c>
      <c r="M712" s="106">
        <f>IF(D712="","",ABS(D712-G$5))</f>
        <v>4.6542345267487255E-3</v>
      </c>
    </row>
    <row r="713" spans="2:13" ht="12.75" customHeight="1" x14ac:dyDescent="0.55000000000000004">
      <c r="B713" s="97">
        <v>45918</v>
      </c>
      <c r="C713" s="89">
        <v>1.1407</v>
      </c>
      <c r="D713" s="91">
        <f>IF(OR(C713="",C712=""),"",LN(C713/C712))</f>
        <v>-6.1347006875549183E-4</v>
      </c>
      <c r="E713" s="89">
        <f>IF(D713="","",ABS(D713-$E$5)/$F$5)</f>
        <v>0.14893116031122333</v>
      </c>
      <c r="F713" s="89">
        <f>IF(D713="","",ABS(D713-$G$5)/$H$5)</f>
        <v>0.20514352671691807</v>
      </c>
      <c r="G713" s="89">
        <f>IF(D713="","",ABS(D713-$E$5)/SQRT(0.9*(IF(G712="",$F$5^2,(ABS(D712-$E$5)/MAX(G712,0.0000000001))^2))+0.1*(D713-$E$5)^2))</f>
        <v>0.21548240566660265</v>
      </c>
      <c r="H713" s="90" t="str">
        <f>IF(E713="","",IF(E713&gt;$I$5,"OUTLIER",""))</f>
        <v/>
      </c>
      <c r="I713" s="90" t="str">
        <f>IF(F713="","",IF(F713&gt;$I$5,"OUTLIER",""))</f>
        <v/>
      </c>
      <c r="J713" s="90" t="str">
        <f>IF(G713="","",IF(G713&gt;$I$5,"OUTLIER",""))</f>
        <v/>
      </c>
      <c r="K713" s="90" t="str">
        <f>IF(C713="","MISSING","")</f>
        <v/>
      </c>
      <c r="L713" s="90" t="str">
        <f>IF(AND(C713&lt;&gt;"",C712&lt;&gt;"",C713=C712),"STALE","")</f>
        <v/>
      </c>
      <c r="M713" s="106">
        <f>IF(D713="","",ABS(D713-G$5))</f>
        <v>6.1347006875549183E-4</v>
      </c>
    </row>
    <row r="714" spans="2:13" ht="12.75" customHeight="1" x14ac:dyDescent="0.55000000000000004">
      <c r="B714" s="97">
        <v>45919</v>
      </c>
      <c r="C714" s="89">
        <v>1.1428</v>
      </c>
      <c r="D714" s="91">
        <f>IF(OR(C714="",C713=""),"",LN(C714/C713))</f>
        <v>1.8392823227658544E-3</v>
      </c>
      <c r="E714" s="89">
        <f>IF(D714="","",ABS(D714-$E$5)/$F$5)</f>
        <v>0.33725615671007475</v>
      </c>
      <c r="F714" s="89">
        <f>IF(D714="","",ABS(D714-$G$5)/$H$5)</f>
        <v>0.61505341749714237</v>
      </c>
      <c r="G714" s="89">
        <f>IF(D714="","",ABS(D714-$E$5)/SQRT(0.9*(IF(G713="",$F$5^2,(ABS(D713-$E$5)/MAX(G713,0.0000000001))^2))+0.1*(D714-$E$5)^2))</f>
        <v>0.50768535262819658</v>
      </c>
      <c r="H714" s="90" t="str">
        <f>IF(E714="","",IF(E714&gt;$I$5,"OUTLIER",""))</f>
        <v/>
      </c>
      <c r="I714" s="90" t="str">
        <f>IF(F714="","",IF(F714&gt;$I$5,"OUTLIER",""))</f>
        <v/>
      </c>
      <c r="J714" s="90" t="str">
        <f>IF(G714="","",IF(G714&gt;$I$5,"OUTLIER",""))</f>
        <v/>
      </c>
      <c r="K714" s="90" t="str">
        <f>IF(C714="","MISSING","")</f>
        <v/>
      </c>
      <c r="L714" s="90" t="str">
        <f>IF(AND(C714&lt;&gt;"",C713&lt;&gt;"",C714=C713),"STALE","")</f>
        <v/>
      </c>
      <c r="M714" s="106">
        <f>IF(D714="","",ABS(D714-G$5))</f>
        <v>1.8392823227658544E-3</v>
      </c>
    </row>
    <row r="715" spans="2:13" ht="12.75" customHeight="1" x14ac:dyDescent="0.55000000000000004">
      <c r="B715" s="97">
        <v>45922</v>
      </c>
      <c r="C715" s="89">
        <v>1.1428</v>
      </c>
      <c r="D715" s="91">
        <f>IF(OR(C715="",C714=""),"",LN(C715/C714))</f>
        <v>0</v>
      </c>
      <c r="E715" s="89">
        <f>IF(D715="","",ABS(D715-$E$5)/$F$5)</f>
        <v>2.7328438474265301E-2</v>
      </c>
      <c r="F715" s="89">
        <f>IF(D715="","",ABS(D715-$G$5)/$H$5)</f>
        <v>0</v>
      </c>
      <c r="G715" s="89">
        <f>IF(D715="","",ABS(D715-$E$5)/SQRT(0.9*(IF(G714="",$F$5^2,(ABS(D714-$E$5)/MAX(G714,0.0000000001))^2))+0.1*(D715-$E$5)^2))</f>
        <v>4.335982096901745E-2</v>
      </c>
      <c r="H715" s="90" t="str">
        <f>IF(E715="","",IF(E715&gt;$I$5,"OUTLIER",""))</f>
        <v/>
      </c>
      <c r="I715" s="90" t="str">
        <f>IF(F715="","",IF(F715&gt;$I$5,"OUTLIER",""))</f>
        <v/>
      </c>
      <c r="J715" s="90" t="str">
        <f>IF(G715="","",IF(G715&gt;$I$5,"OUTLIER",""))</f>
        <v/>
      </c>
      <c r="K715" s="90" t="str">
        <f>IF(C715="","MISSING","")</f>
        <v/>
      </c>
      <c r="L715" s="90" t="str">
        <f>IF(AND(C715&lt;&gt;"",C714&lt;&gt;"",C715=C714),"STALE","")</f>
        <v>STALE</v>
      </c>
      <c r="M715" s="106">
        <f>IF(D715="","",ABS(D715-G$5))</f>
        <v>0</v>
      </c>
    </row>
    <row r="716" spans="2:13" ht="12.75" customHeight="1" x14ac:dyDescent="0.55000000000000004">
      <c r="B716" s="97">
        <v>45923</v>
      </c>
      <c r="C716" s="89">
        <v>1.1420999999999999</v>
      </c>
      <c r="D716" s="91">
        <f>IF(OR(C716="",C715=""),"",LN(C716/C715))</f>
        <v>-6.1271830005675857E-4</v>
      </c>
      <c r="E716" s="89">
        <f>IF(D716="","",ABS(D716-$E$5)/$F$5)</f>
        <v>0.14878214388057132</v>
      </c>
      <c r="F716" s="89">
        <f>IF(D716="","",ABS(D716-$G$5)/$H$5)</f>
        <v>0.20489213632317582</v>
      </c>
      <c r="G716" s="89">
        <f>IF(D716="","",ABS(D716-$E$5)/SQRT(0.9*(IF(G715="",$F$5^2,(ABS(D715-$E$5)/MAX(G715,0.0000000001))^2))+0.1*(D716-$E$5)^2))</f>
        <v>0.24806293190929615</v>
      </c>
      <c r="H716" s="90" t="str">
        <f>IF(E716="","",IF(E716&gt;$I$5,"OUTLIER",""))</f>
        <v/>
      </c>
      <c r="I716" s="90" t="str">
        <f>IF(F716="","",IF(F716&gt;$I$5,"OUTLIER",""))</f>
        <v/>
      </c>
      <c r="J716" s="90" t="str">
        <f>IF(G716="","",IF(G716&gt;$I$5,"OUTLIER",""))</f>
        <v/>
      </c>
      <c r="K716" s="90" t="str">
        <f>IF(C716="","MISSING","")</f>
        <v/>
      </c>
      <c r="L716" s="90" t="str">
        <f>IF(AND(C716&lt;&gt;"",C715&lt;&gt;"",C716=C715),"STALE","")</f>
        <v/>
      </c>
      <c r="M716" s="106">
        <f>IF(D716="","",ABS(D716-G$5))</f>
        <v>6.1271830005675857E-4</v>
      </c>
    </row>
    <row r="717" spans="2:13" ht="12.75" customHeight="1" x14ac:dyDescent="0.55000000000000004">
      <c r="B717" s="97">
        <v>45924</v>
      </c>
      <c r="C717" s="89">
        <v>1.1413</v>
      </c>
      <c r="D717" s="91">
        <f>IF(OR(C717="",C716=""),"",LN(C717/C716))</f>
        <v>-7.007094970069266E-4</v>
      </c>
      <c r="E717" s="89">
        <f>IF(D717="","",ABS(D717-$E$5)/$F$5)</f>
        <v>0.1662238571634029</v>
      </c>
      <c r="F717" s="89">
        <f>IF(D717="","",ABS(D717-$G$5)/$H$5)</f>
        <v>0.23431626861869101</v>
      </c>
      <c r="G717" s="89">
        <f>IF(D717="","",ABS(D717-$E$5)/SQRT(0.9*(IF(G716="",$F$5^2,(ABS(D716-$E$5)/MAX(G716,0.0000000001))^2))+0.1*(D717-$E$5)^2))</f>
        <v>0.29089605474897479</v>
      </c>
      <c r="H717" s="90" t="str">
        <f>IF(E717="","",IF(E717&gt;$I$5,"OUTLIER",""))</f>
        <v/>
      </c>
      <c r="I717" s="90" t="str">
        <f>IF(F717="","",IF(F717&gt;$I$5,"OUTLIER",""))</f>
        <v/>
      </c>
      <c r="J717" s="90" t="str">
        <f>IF(G717="","",IF(G717&gt;$I$5,"OUTLIER",""))</f>
        <v/>
      </c>
      <c r="K717" s="90" t="str">
        <f>IF(C717="","MISSING","")</f>
        <v/>
      </c>
      <c r="L717" s="90" t="str">
        <f>IF(AND(C717&lt;&gt;"",C716&lt;&gt;"",C717=C716),"STALE","")</f>
        <v/>
      </c>
      <c r="M717" s="106">
        <f>IF(D717="","",ABS(D717-G$5))</f>
        <v>7.007094970069266E-4</v>
      </c>
    </row>
    <row r="718" spans="2:13" ht="12.75" customHeight="1" x14ac:dyDescent="0.55000000000000004">
      <c r="B718" s="97">
        <v>45925</v>
      </c>
      <c r="C718" s="89">
        <v>1.1375999999999999</v>
      </c>
      <c r="D718" s="91">
        <f>IF(OR(C718="",C717=""),"",LN(C718/C717))</f>
        <v>-3.2471835105779452E-3</v>
      </c>
      <c r="E718" s="89">
        <f>IF(D718="","",ABS(D718-$E$5)/$F$5)</f>
        <v>0.67098877872755147</v>
      </c>
      <c r="F718" s="89">
        <f>IF(D718="","",ABS(D718-$G$5)/$H$5)</f>
        <v>1.0858535912083473</v>
      </c>
      <c r="G718" s="89">
        <f>IF(D718="","",ABS(D718-$E$5)/SQRT(0.9*(IF(G717="",$F$5^2,(ABS(D717-$E$5)/MAX(G717,0.0000000001))^2))+0.1*(D718-$E$5)^2))</f>
        <v>1.1526168199474112</v>
      </c>
      <c r="H718" s="90" t="str">
        <f>IF(E718="","",IF(E718&gt;$I$5,"OUTLIER",""))</f>
        <v/>
      </c>
      <c r="I718" s="90" t="str">
        <f>IF(F718="","",IF(F718&gt;$I$5,"OUTLIER",""))</f>
        <v/>
      </c>
      <c r="J718" s="90" t="str">
        <f>IF(G718="","",IF(G718&gt;$I$5,"OUTLIER",""))</f>
        <v/>
      </c>
      <c r="K718" s="90" t="str">
        <f>IF(C718="","MISSING","")</f>
        <v/>
      </c>
      <c r="L718" s="90" t="str">
        <f>IF(AND(C718&lt;&gt;"",C717&lt;&gt;"",C718=C717),"STALE","")</f>
        <v/>
      </c>
      <c r="M718" s="106">
        <f>IF(D718="","",ABS(D718-G$5))</f>
        <v>3.2471835105779452E-3</v>
      </c>
    </row>
    <row r="719" spans="2:13" ht="12.75" customHeight="1" x14ac:dyDescent="0.55000000000000004">
      <c r="B719" s="97">
        <v>45926</v>
      </c>
      <c r="C719" s="89">
        <v>1.1435999999999999</v>
      </c>
      <c r="D719" s="91">
        <f>IF(OR(C719="",C718=""),"",LN(C719/C718))</f>
        <v>5.2604013991804097E-3</v>
      </c>
      <c r="E719" s="89">
        <f>IF(D719="","",ABS(D719-$E$5)/$F$5)</f>
        <v>1.0153941989853863</v>
      </c>
      <c r="F719" s="89">
        <f>IF(D719="","",ABS(D719-$G$5)/$H$5)</f>
        <v>1.7590708168756426</v>
      </c>
      <c r="G719" s="89">
        <f>IF(D719="","",ABS(D719-$E$5)/SQRT(0.9*(IF(G718="",$F$5^2,(ABS(D718-$E$5)/MAX(G718,0.0000000001))^2))+0.1*(D719-$E$5)^2))</f>
        <v>1.5894570787341871</v>
      </c>
      <c r="H719" s="90" t="str">
        <f>IF(E719="","",IF(E719&gt;$I$5,"OUTLIER",""))</f>
        <v/>
      </c>
      <c r="I719" s="90" t="str">
        <f>IF(F719="","",IF(F719&gt;$I$5,"OUTLIER",""))</f>
        <v/>
      </c>
      <c r="J719" s="90" t="str">
        <f>IF(G719="","",IF(G719&gt;$I$5,"OUTLIER",""))</f>
        <v/>
      </c>
      <c r="K719" s="90" t="str">
        <f>IF(C719="","MISSING","")</f>
        <v/>
      </c>
      <c r="L719" s="90" t="str">
        <f>IF(AND(C719&lt;&gt;"",C718&lt;&gt;"",C719=C718),"STALE","")</f>
        <v/>
      </c>
      <c r="M719" s="106">
        <f>IF(D719="","",ABS(D719-G$5))</f>
        <v>5.2604013991804097E-3</v>
      </c>
    </row>
    <row r="720" spans="2:13" ht="12.75" customHeight="1" x14ac:dyDescent="0.55000000000000004">
      <c r="B720" s="97">
        <v>45929</v>
      </c>
      <c r="C720" s="89">
        <v>1.1480999999999999</v>
      </c>
      <c r="D720" s="91">
        <f>IF(OR(C720="",C719=""),"",LN(C720/C719))</f>
        <v>3.9272206516094248E-3</v>
      </c>
      <c r="E720" s="89">
        <f>IF(D720="","",ABS(D720-$E$5)/$F$5)</f>
        <v>0.75112962299043717</v>
      </c>
      <c r="F720" s="89">
        <f>IF(D720="","",ABS(D720-$G$5)/$H$5)</f>
        <v>1.3132570531126802</v>
      </c>
      <c r="G720" s="89">
        <f>IF(D720="","",ABS(D720-$E$5)/SQRT(0.9*(IF(G719="",$F$5^2,(ABS(D719-$E$5)/MAX(G719,0.0000000001))^2))+0.1*(D720-$E$5)^2))</f>
        <v>1.1539274912268835</v>
      </c>
      <c r="H720" s="90" t="str">
        <f>IF(E720="","",IF(E720&gt;$I$5,"OUTLIER",""))</f>
        <v/>
      </c>
      <c r="I720" s="90" t="str">
        <f>IF(F720="","",IF(F720&gt;$I$5,"OUTLIER",""))</f>
        <v/>
      </c>
      <c r="J720" s="90" t="str">
        <f>IF(G720="","",IF(G720&gt;$I$5,"OUTLIER",""))</f>
        <v/>
      </c>
      <c r="K720" s="90" t="str">
        <f>IF(C720="","MISSING","")</f>
        <v/>
      </c>
      <c r="L720" s="90" t="str">
        <f>IF(AND(C720&lt;&gt;"",C719&lt;&gt;"",C720=C719),"STALE","")</f>
        <v/>
      </c>
      <c r="M720" s="106">
        <f>IF(D720="","",ABS(D720-G$5))</f>
        <v>3.9272206516094248E-3</v>
      </c>
    </row>
    <row r="721" spans="2:13" ht="12.75" customHeight="1" x14ac:dyDescent="0.55000000000000004">
      <c r="B721" s="97">
        <v>45930</v>
      </c>
      <c r="C721" s="89">
        <v>1.1508</v>
      </c>
      <c r="D721" s="91">
        <f>IF(OR(C721="",C720=""),"",LN(C721/C720))</f>
        <v>2.3489505776267583E-3</v>
      </c>
      <c r="E721" s="89">
        <f>IF(D721="","",ABS(D721-$E$5)/$F$5)</f>
        <v>0.43828316712430293</v>
      </c>
      <c r="F721" s="89">
        <f>IF(D721="","",ABS(D721-$G$5)/$H$5)</f>
        <v>0.78548576388679969</v>
      </c>
      <c r="G721" s="89">
        <f>IF(D721="","",ABS(D721-$E$5)/SQRT(0.9*(IF(G720="",$F$5^2,(ABS(D720-$E$5)/MAX(G720,0.0000000001))^2))+0.1*(D721-$E$5)^2))</f>
        <v>0.69250908523808663</v>
      </c>
      <c r="H721" s="90" t="str">
        <f>IF(E721="","",IF(E721&gt;$I$5,"OUTLIER",""))</f>
        <v/>
      </c>
      <c r="I721" s="90" t="str">
        <f>IF(F721="","",IF(F721&gt;$I$5,"OUTLIER",""))</f>
        <v/>
      </c>
      <c r="J721" s="90" t="str">
        <f>IF(G721="","",IF(G721&gt;$I$5,"OUTLIER",""))</f>
        <v/>
      </c>
      <c r="K721" s="90" t="str">
        <f>IF(C721="","MISSING","")</f>
        <v/>
      </c>
      <c r="L721" s="90" t="str">
        <f>IF(AND(C721&lt;&gt;"",C720&lt;&gt;"",C721=C720),"STALE","")</f>
        <v/>
      </c>
      <c r="M721" s="106">
        <f>IF(D721="","",ABS(D721-G$5))</f>
        <v>2.3489505776267583E-3</v>
      </c>
    </row>
    <row r="722" spans="2:13" ht="12.75" customHeight="1" x14ac:dyDescent="0.55000000000000004">
      <c r="B722" s="97">
        <v>45931</v>
      </c>
      <c r="C722" s="89">
        <v>1.1493</v>
      </c>
      <c r="D722" s="91">
        <f>IF(OR(C722="",C721=""),"",LN(C722/C721))</f>
        <v>-1.3042913026798829E-3</v>
      </c>
      <c r="E722" s="89">
        <f>IF(D722="","",ABS(D722-$E$5)/$F$5)</f>
        <v>0.28586651645400796</v>
      </c>
      <c r="F722" s="89">
        <f>IF(D722="","",ABS(D722-$G$5)/$H$5)</f>
        <v>0.43615317409168897</v>
      </c>
      <c r="G722" s="89">
        <f>IF(D722="","",ABS(D722-$E$5)/SQRT(0.9*(IF(G721="",$F$5^2,(ABS(D721-$E$5)/MAX(G721,0.0000000001))^2))+0.1*(D722-$E$5)^2))</f>
        <v>0.47080953511768631</v>
      </c>
      <c r="H722" s="90" t="str">
        <f>IF(E722="","",IF(E722&gt;$I$5,"OUTLIER",""))</f>
        <v/>
      </c>
      <c r="I722" s="90" t="str">
        <f>IF(F722="","",IF(F722&gt;$I$5,"OUTLIER",""))</f>
        <v/>
      </c>
      <c r="J722" s="90" t="str">
        <f>IF(G722="","",IF(G722&gt;$I$5,"OUTLIER",""))</f>
        <v/>
      </c>
      <c r="K722" s="90" t="str">
        <f>IF(C722="","MISSING","")</f>
        <v/>
      </c>
      <c r="L722" s="90" t="str">
        <f>IF(AND(C722&lt;&gt;"",C721&lt;&gt;"",C722=C721),"STALE","")</f>
        <v/>
      </c>
      <c r="M722" s="106">
        <f>IF(D722="","",ABS(D722-G$5))</f>
        <v>1.3042913026798829E-3</v>
      </c>
    </row>
    <row r="723" spans="2:13" ht="12.75" customHeight="1" x14ac:dyDescent="0.55000000000000004">
      <c r="B723" s="97">
        <v>45932</v>
      </c>
      <c r="C723" s="89">
        <v>1.1493</v>
      </c>
      <c r="D723" s="91">
        <f>IF(OR(C723="",C722=""),"",LN(C723/C722))</f>
        <v>0</v>
      </c>
      <c r="E723" s="89">
        <f>IF(D723="","",ABS(D723-$E$5)/$F$5)</f>
        <v>2.7328438474265301E-2</v>
      </c>
      <c r="F723" s="89">
        <f>IF(D723="","",ABS(D723-$G$5)/$H$5)</f>
        <v>0</v>
      </c>
      <c r="G723" s="89">
        <f>IF(D723="","",ABS(D723-$E$5)/SQRT(0.9*(IF(G722="",$F$5^2,(ABS(D722-$E$5)/MAX(G722,0.0000000001))^2))+0.1*(D723-$E$5)^2))</f>
        <v>4.7438030640305259E-2</v>
      </c>
      <c r="H723" s="90" t="str">
        <f>IF(E723="","",IF(E723&gt;$I$5,"OUTLIER",""))</f>
        <v/>
      </c>
      <c r="I723" s="90" t="str">
        <f>IF(F723="","",IF(F723&gt;$I$5,"OUTLIER",""))</f>
        <v/>
      </c>
      <c r="J723" s="90" t="str">
        <f>IF(G723="","",IF(G723&gt;$I$5,"OUTLIER",""))</f>
        <v/>
      </c>
      <c r="K723" s="90" t="str">
        <f>IF(C723="","MISSING","")</f>
        <v/>
      </c>
      <c r="L723" s="90" t="str">
        <f>IF(AND(C723&lt;&gt;"",C722&lt;&gt;"",C723=C722),"STALE","")</f>
        <v>STALE</v>
      </c>
      <c r="M723" s="106">
        <f>IF(D723="","",ABS(D723-G$5))</f>
        <v>0</v>
      </c>
    </row>
    <row r="724" spans="2:13" ht="12.75" customHeight="1" x14ac:dyDescent="0.55000000000000004">
      <c r="B724" s="97">
        <v>45933</v>
      </c>
      <c r="C724" s="89">
        <v>1.1493</v>
      </c>
      <c r="D724" s="91">
        <f>IF(OR(C724="",C723=""),"",LN(C724/C723))</f>
        <v>0</v>
      </c>
      <c r="E724" s="89">
        <f>IF(D724="","",ABS(D724-$E$5)/$F$5)</f>
        <v>2.7328438474265301E-2</v>
      </c>
      <c r="F724" s="89">
        <f>IF(D724="","",ABS(D724-$G$5)/$H$5)</f>
        <v>0</v>
      </c>
      <c r="G724" s="89">
        <f>IF(D724="","",ABS(D724-$E$5)/SQRT(0.9*(IF(G723="",$F$5^2,(ABS(D723-$E$5)/MAX(G723,0.0000000001))^2))+0.1*(D724-$E$5)^2))</f>
        <v>4.9997824489323606E-2</v>
      </c>
      <c r="H724" s="90" t="str">
        <f>IF(E724="","",IF(E724&gt;$I$5,"OUTLIER",""))</f>
        <v/>
      </c>
      <c r="I724" s="90" t="str">
        <f>IF(F724="","",IF(F724&gt;$I$5,"OUTLIER",""))</f>
        <v/>
      </c>
      <c r="J724" s="90" t="str">
        <f>IF(G724="","",IF(G724&gt;$I$5,"OUTLIER",""))</f>
        <v/>
      </c>
      <c r="K724" s="90" t="str">
        <f>IF(C724="","MISSING","")</f>
        <v/>
      </c>
      <c r="L724" s="90" t="str">
        <f>IF(AND(C724&lt;&gt;"",C723&lt;&gt;"",C724=C723),"STALE","")</f>
        <v>STALE</v>
      </c>
      <c r="M724" s="106">
        <f>IF(D724="","",ABS(D724-G$5))</f>
        <v>0</v>
      </c>
    </row>
    <row r="725" spans="2:13" ht="12.75" customHeight="1" x14ac:dyDescent="0.55000000000000004">
      <c r="B725" s="97">
        <v>45936</v>
      </c>
      <c r="C725" s="89">
        <v>1.1506000000000001</v>
      </c>
      <c r="D725" s="91">
        <f>IF(OR(C725="",C724=""),"",LN(C725/C724))</f>
        <v>1.1304840544801226E-3</v>
      </c>
      <c r="E725" s="89">
        <f>IF(D725="","",ABS(D725-$E$5)/$F$5)</f>
        <v>0.19675737274866767</v>
      </c>
      <c r="F725" s="89">
        <f>IF(D725="","",ABS(D725-$G$5)/$H$5)</f>
        <v>0.378032275158521</v>
      </c>
      <c r="G725" s="89">
        <f>IF(D725="","",ABS(D725-$E$5)/SQRT(0.9*(IF(G724="",$F$5^2,(ABS(D724-$E$5)/MAX(G724,0.0000000001))^2))+0.1*(D725-$E$5)^2))</f>
        <v>0.37674017052556935</v>
      </c>
      <c r="H725" s="90" t="str">
        <f>IF(E725="","",IF(E725&gt;$I$5,"OUTLIER",""))</f>
        <v/>
      </c>
      <c r="I725" s="90" t="str">
        <f>IF(F725="","",IF(F725&gt;$I$5,"OUTLIER",""))</f>
        <v/>
      </c>
      <c r="J725" s="90" t="str">
        <f>IF(G725="","",IF(G725&gt;$I$5,"OUTLIER",""))</f>
        <v/>
      </c>
      <c r="K725" s="90" t="str">
        <f>IF(C725="","MISSING","")</f>
        <v/>
      </c>
      <c r="L725" s="90" t="str">
        <f>IF(AND(C725&lt;&gt;"",C724&lt;&gt;"",C725=C724),"STALE","")</f>
        <v/>
      </c>
      <c r="M725" s="106">
        <f>IF(D725="","",ABS(D725-G$5))</f>
        <v>1.1304840544801226E-3</v>
      </c>
    </row>
    <row r="726" spans="2:13" ht="12.75" customHeight="1" x14ac:dyDescent="0.55000000000000004">
      <c r="B726" s="97">
        <v>45937</v>
      </c>
      <c r="C726" s="89">
        <v>1.1536999999999999</v>
      </c>
      <c r="D726" s="91">
        <f>IF(OR(C726="",C725=""),"",LN(C726/C725))</f>
        <v>2.6906235040507816E-3</v>
      </c>
      <c r="E726" s="89">
        <f>IF(D726="","",ABS(D726-$E$5)/$F$5)</f>
        <v>0.50600995600488596</v>
      </c>
      <c r="F726" s="89">
        <f>IF(D726="","",ABS(D726-$G$5)/$H$5)</f>
        <v>0.89974070912399018</v>
      </c>
      <c r="G726" s="89">
        <f>IF(D726="","",ABS(D726-$E$5)/SQRT(0.9*(IF(G725="",$F$5^2,(ABS(D725-$E$5)/MAX(G725,0.0000000001))^2))+0.1*(D726-$E$5)^2))</f>
        <v>0.97186192031665175</v>
      </c>
      <c r="H726" s="90" t="str">
        <f>IF(E726="","",IF(E726&gt;$I$5,"OUTLIER",""))</f>
        <v/>
      </c>
      <c r="I726" s="90" t="str">
        <f>IF(F726="","",IF(F726&gt;$I$5,"OUTLIER",""))</f>
        <v/>
      </c>
      <c r="J726" s="90" t="str">
        <f>IF(G726="","",IF(G726&gt;$I$5,"OUTLIER",""))</f>
        <v/>
      </c>
      <c r="K726" s="90" t="str">
        <f>IF(C726="","MISSING","")</f>
        <v/>
      </c>
      <c r="L726" s="90" t="str">
        <f>IF(AND(C726&lt;&gt;"",C725&lt;&gt;"",C726=C725),"STALE","")</f>
        <v/>
      </c>
      <c r="M726" s="106">
        <f>IF(D726="","",ABS(D726-G$5))</f>
        <v>2.6906235040507816E-3</v>
      </c>
    </row>
    <row r="727" spans="2:13" ht="12.75" customHeight="1" x14ac:dyDescent="0.55000000000000004">
      <c r="B727" s="97">
        <v>45938</v>
      </c>
      <c r="C727" s="89">
        <v>1.1536999999999999</v>
      </c>
      <c r="D727" s="91">
        <f>IF(OR(C727="",C726=""),"",LN(C727/C726))</f>
        <v>0</v>
      </c>
      <c r="E727" s="89">
        <f>IF(D727="","",ABS(D727-$E$5)/$F$5)</f>
        <v>2.7328438474265301E-2</v>
      </c>
      <c r="F727" s="89">
        <f>IF(D727="","",ABS(D727-$G$5)/$H$5)</f>
        <v>0</v>
      </c>
      <c r="G727" s="89">
        <f>IF(D727="","",ABS(D727-$E$5)/SQRT(0.9*(IF(G726="",$F$5^2,(ABS(D726-$E$5)/MAX(G726,0.0000000001))^2))+0.1*(D727-$E$5)^2))</f>
        <v>5.5318781517132522E-2</v>
      </c>
      <c r="H727" s="90" t="str">
        <f>IF(E727="","",IF(E727&gt;$I$5,"OUTLIER",""))</f>
        <v/>
      </c>
      <c r="I727" s="90" t="str">
        <f>IF(F727="","",IF(F727&gt;$I$5,"OUTLIER",""))</f>
        <v/>
      </c>
      <c r="J727" s="90" t="str">
        <f>IF(G727="","",IF(G727&gt;$I$5,"OUTLIER",""))</f>
        <v/>
      </c>
      <c r="K727" s="90" t="str">
        <f>IF(C727="","MISSING","")</f>
        <v/>
      </c>
      <c r="L727" s="90" t="str">
        <f>IF(AND(C727&lt;&gt;"",C726&lt;&gt;"",C727=C726),"STALE","")</f>
        <v>STALE</v>
      </c>
      <c r="M727" s="106">
        <f>IF(D727="","",ABS(D727-G$5))</f>
        <v>0</v>
      </c>
    </row>
    <row r="728" spans="2:13" ht="12.75" customHeight="1" x14ac:dyDescent="0.55000000000000004">
      <c r="B728" s="97">
        <v>45939</v>
      </c>
      <c r="C728" s="89">
        <v>1.1536999999999999</v>
      </c>
      <c r="D728" s="91">
        <f>IF(OR(C728="",C727=""),"",LN(C728/C727))</f>
        <v>0</v>
      </c>
      <c r="E728" s="89">
        <f>IF(D728="","",ABS(D728-$E$5)/$F$5)</f>
        <v>2.7328438474265301E-2</v>
      </c>
      <c r="F728" s="89">
        <f>IF(D728="","",ABS(D728-$G$5)/$H$5)</f>
        <v>0</v>
      </c>
      <c r="G728" s="89">
        <f>IF(D728="","",ABS(D728-$E$5)/SQRT(0.9*(IF(G727="",$F$5^2,(ABS(D727-$E$5)/MAX(G727,0.0000000001))^2))+0.1*(D728-$E$5)^2))</f>
        <v>5.8301204754569194E-2</v>
      </c>
      <c r="H728" s="90" t="str">
        <f>IF(E728="","",IF(E728&gt;$I$5,"OUTLIER",""))</f>
        <v/>
      </c>
      <c r="I728" s="90" t="str">
        <f>IF(F728="","",IF(F728&gt;$I$5,"OUTLIER",""))</f>
        <v/>
      </c>
      <c r="J728" s="90" t="str">
        <f>IF(G728="","",IF(G728&gt;$I$5,"OUTLIER",""))</f>
        <v/>
      </c>
      <c r="K728" s="90" t="str">
        <f>IF(C728="","MISSING","")</f>
        <v/>
      </c>
      <c r="L728" s="90" t="str">
        <f>IF(AND(C728&lt;&gt;"",C727&lt;&gt;"",C728=C727),"STALE","")</f>
        <v>STALE</v>
      </c>
      <c r="M728" s="106">
        <f>IF(D728="","",ABS(D728-G$5))</f>
        <v>0</v>
      </c>
    </row>
    <row r="729" spans="2:13" ht="12.75" customHeight="1" x14ac:dyDescent="0.55000000000000004">
      <c r="B729" s="97">
        <v>45940</v>
      </c>
      <c r="C729" s="89">
        <v>1.1553</v>
      </c>
      <c r="D729" s="91">
        <f>IF(OR(C729="",C728=""),"",LN(C729/C728))</f>
        <v>1.3858815557289568E-3</v>
      </c>
      <c r="E729" s="89">
        <f>IF(D729="","",ABS(D729-$E$5)/$F$5)</f>
        <v>0.24738255054294797</v>
      </c>
      <c r="F729" s="89">
        <f>IF(D729="","",ABS(D729-$G$5)/$H$5)</f>
        <v>0.46343683976451888</v>
      </c>
      <c r="G729" s="89">
        <f>IF(D729="","",ABS(D729-$E$5)/SQRT(0.9*(IF(G728="",$F$5^2,(ABS(D728-$E$5)/MAX(G728,0.0000000001))^2))+0.1*(D729-$E$5)^2))</f>
        <v>0.54788866208527354</v>
      </c>
      <c r="H729" s="90" t="str">
        <f>IF(E729="","",IF(E729&gt;$I$5,"OUTLIER",""))</f>
        <v/>
      </c>
      <c r="I729" s="90" t="str">
        <f>IF(F729="","",IF(F729&gt;$I$5,"OUTLIER",""))</f>
        <v/>
      </c>
      <c r="J729" s="90" t="str">
        <f>IF(G729="","",IF(G729&gt;$I$5,"OUTLIER",""))</f>
        <v/>
      </c>
      <c r="K729" s="90" t="str">
        <f>IF(C729="","MISSING","")</f>
        <v/>
      </c>
      <c r="L729" s="90" t="str">
        <f>IF(AND(C729&lt;&gt;"",C728&lt;&gt;"",C729=C728),"STALE","")</f>
        <v/>
      </c>
      <c r="M729" s="106">
        <f>IF(D729="","",ABS(D729-G$5))</f>
        <v>1.3858815557289568E-3</v>
      </c>
    </row>
    <row r="730" spans="2:13" ht="12.75" customHeight="1" x14ac:dyDescent="0.55000000000000004">
      <c r="B730" s="97">
        <v>45943</v>
      </c>
      <c r="C730" s="89">
        <v>1.1574</v>
      </c>
      <c r="D730" s="91">
        <f>IF(OR(C730="",C729=""),"",LN(C730/C729))</f>
        <v>1.8160596507654655E-3</v>
      </c>
      <c r="E730" s="89">
        <f>IF(D730="","",ABS(D730-$E$5)/$F$5)</f>
        <v>0.33265293274300661</v>
      </c>
      <c r="F730" s="89">
        <f>IF(D730="","",ABS(D730-$G$5)/$H$5)</f>
        <v>0.60728778869700484</v>
      </c>
      <c r="G730" s="89">
        <f>IF(D730="","",ABS(D730-$E$5)/SQRT(0.9*(IF(G729="",$F$5^2,(ABS(D729-$E$5)/MAX(G729,0.0000000001))^2))+0.1*(D730-$E$5)^2))</f>
        <v>0.75418345075635984</v>
      </c>
      <c r="H730" s="90" t="str">
        <f>IF(E730="","",IF(E730&gt;$I$5,"OUTLIER",""))</f>
        <v/>
      </c>
      <c r="I730" s="90" t="str">
        <f>IF(F730="","",IF(F730&gt;$I$5,"OUTLIER",""))</f>
        <v/>
      </c>
      <c r="J730" s="90" t="str">
        <f>IF(G730="","",IF(G730&gt;$I$5,"OUTLIER",""))</f>
        <v/>
      </c>
      <c r="K730" s="90" t="str">
        <f>IF(C730="","MISSING","")</f>
        <v/>
      </c>
      <c r="L730" s="90" t="str">
        <f>IF(AND(C730&lt;&gt;"",C729&lt;&gt;"",C730=C729),"STALE","")</f>
        <v/>
      </c>
      <c r="M730" s="106">
        <f>IF(D730="","",ABS(D730-G$5))</f>
        <v>1.8160596507654655E-3</v>
      </c>
    </row>
    <row r="731" spans="2:13" ht="12.75" customHeight="1" x14ac:dyDescent="0.55000000000000004">
      <c r="B731" s="97">
        <v>45944</v>
      </c>
      <c r="C731" s="89">
        <v>1.1617999999999999</v>
      </c>
      <c r="D731" s="91">
        <f>IF(OR(C731="",C730=""),"",LN(C731/C730))</f>
        <v>3.7944164186937868E-3</v>
      </c>
      <c r="E731" s="89">
        <f>IF(D731="","",ABS(D731-$E$5)/$F$5)</f>
        <v>0.72480501969435129</v>
      </c>
      <c r="F731" s="89">
        <f>IF(D731="","",ABS(D731-$G$5)/$H$5)</f>
        <v>1.2688475047242525</v>
      </c>
      <c r="G731" s="89">
        <f>IF(D731="","",ABS(D731-$E$5)/SQRT(0.9*(IF(G730="",$F$5^2,(ABS(D730-$E$5)/MAX(G730,0.0000000001))^2))+0.1*(D731-$E$5)^2))</f>
        <v>1.5191761890587874</v>
      </c>
      <c r="H731" s="90" t="str">
        <f>IF(E731="","",IF(E731&gt;$I$5,"OUTLIER",""))</f>
        <v/>
      </c>
      <c r="I731" s="90" t="str">
        <f>IF(F731="","",IF(F731&gt;$I$5,"OUTLIER",""))</f>
        <v/>
      </c>
      <c r="J731" s="90" t="str">
        <f>IF(G731="","",IF(G731&gt;$I$5,"OUTLIER",""))</f>
        <v/>
      </c>
      <c r="K731" s="90" t="str">
        <f>IF(C731="","MISSING","")</f>
        <v/>
      </c>
      <c r="L731" s="90" t="str">
        <f>IF(AND(C731&lt;&gt;"",C730&lt;&gt;"",C731=C730),"STALE","")</f>
        <v/>
      </c>
      <c r="M731" s="106">
        <f>IF(D731="","",ABS(D731-G$5))</f>
        <v>3.7944164186937868E-3</v>
      </c>
    </row>
    <row r="732" spans="2:13" ht="12.75" customHeight="1" x14ac:dyDescent="0.55000000000000004">
      <c r="B732" s="97">
        <v>45945</v>
      </c>
      <c r="C732" s="89">
        <v>1.1572</v>
      </c>
      <c r="D732" s="91">
        <f>IF(OR(C732="",C731=""),"",LN(C732/C731))</f>
        <v>-3.9672324564520725E-3</v>
      </c>
      <c r="E732" s="89">
        <f>IF(D732="","",ABS(D732-$E$5)/$F$5)</f>
        <v>0.81371768455950766</v>
      </c>
      <c r="F732" s="89">
        <f>IF(D732="","",ABS(D732-$G$5)/$H$5)</f>
        <v>1.3266369442822381</v>
      </c>
      <c r="G732" s="89">
        <f>IF(D732="","",ABS(D732-$E$5)/SQRT(0.9*(IF(G731="",$F$5^2,(ABS(D731-$E$5)/MAX(G731,0.0000000001))^2))+0.1*(D732-$E$5)^2))</f>
        <v>1.562880540682605</v>
      </c>
      <c r="H732" s="90" t="str">
        <f>IF(E732="","",IF(E732&gt;$I$5,"OUTLIER",""))</f>
        <v/>
      </c>
      <c r="I732" s="90" t="str">
        <f>IF(F732="","",IF(F732&gt;$I$5,"OUTLIER",""))</f>
        <v/>
      </c>
      <c r="J732" s="90" t="str">
        <f>IF(G732="","",IF(G732&gt;$I$5,"OUTLIER",""))</f>
        <v/>
      </c>
      <c r="K732" s="90" t="str">
        <f>IF(C732="","MISSING","")</f>
        <v/>
      </c>
      <c r="L732" s="90" t="str">
        <f>IF(AND(C732&lt;&gt;"",C731&lt;&gt;"",C732=C731),"STALE","")</f>
        <v/>
      </c>
      <c r="M732" s="106">
        <f>IF(D732="","",ABS(D732-G$5))</f>
        <v>3.9672324564520725E-3</v>
      </c>
    </row>
    <row r="733" spans="2:13" ht="12.75" customHeight="1" x14ac:dyDescent="0.55000000000000004">
      <c r="B733" s="97">
        <v>45946</v>
      </c>
      <c r="C733" s="89">
        <v>1.1601999999999999</v>
      </c>
      <c r="D733" s="91">
        <f>IF(OR(C733="",C732=""),"",LN(C733/C732))</f>
        <v>2.5891099299839388E-3</v>
      </c>
      <c r="E733" s="89">
        <f>IF(D733="","",ABS(D733-$E$5)/$F$5)</f>
        <v>0.48588782203514247</v>
      </c>
      <c r="F733" s="89">
        <f>IF(D733="","",ABS(D733-$G$5)/$H$5)</f>
        <v>0.86579471297138688</v>
      </c>
      <c r="G733" s="89">
        <f>IF(D733="","",ABS(D733-$E$5)/SQRT(0.9*(IF(G732="",$F$5^2,(ABS(D732-$E$5)/MAX(G732,0.0000000001))^2))+0.1*(D733-$E$5)^2))</f>
        <v>0.93931081667080363</v>
      </c>
      <c r="H733" s="90" t="str">
        <f>IF(E733="","",IF(E733&gt;$I$5,"OUTLIER",""))</f>
        <v/>
      </c>
      <c r="I733" s="90" t="str">
        <f>IF(F733="","",IF(F733&gt;$I$5,"OUTLIER",""))</f>
        <v/>
      </c>
      <c r="J733" s="90" t="str">
        <f>IF(G733="","",IF(G733&gt;$I$5,"OUTLIER",""))</f>
        <v/>
      </c>
      <c r="K733" s="90" t="str">
        <f>IF(C733="","MISSING","")</f>
        <v/>
      </c>
      <c r="L733" s="90" t="str">
        <f>IF(AND(C733&lt;&gt;"",C732&lt;&gt;"",C733=C732),"STALE","")</f>
        <v/>
      </c>
      <c r="M733" s="106">
        <f>IF(D733="","",ABS(D733-G$5))</f>
        <v>2.5891099299839388E-3</v>
      </c>
    </row>
    <row r="734" spans="2:13" ht="12.75" customHeight="1" x14ac:dyDescent="0.55000000000000004">
      <c r="B734" s="97">
        <v>45947</v>
      </c>
      <c r="C734" s="89">
        <v>1.1601999999999999</v>
      </c>
      <c r="D734" s="91">
        <f>IF(OR(C734="",C733=""),"",LN(C734/C733))</f>
        <v>0</v>
      </c>
      <c r="E734" s="89">
        <f>IF(D734="","",ABS(D734-$E$5)/$F$5)</f>
        <v>2.7328438474265301E-2</v>
      </c>
      <c r="F734" s="89">
        <f>IF(D734="","",ABS(D734-$G$5)/$H$5)</f>
        <v>0</v>
      </c>
      <c r="G734" s="89">
        <f>IF(D734="","",ABS(D734-$E$5)/SQRT(0.9*(IF(G733="",$F$5^2,(ABS(D733-$E$5)/MAX(G733,0.0000000001))^2))+0.1*(D734-$E$5)^2))</f>
        <v>5.5680040144234243E-2</v>
      </c>
      <c r="H734" s="90" t="str">
        <f>IF(E734="","",IF(E734&gt;$I$5,"OUTLIER",""))</f>
        <v/>
      </c>
      <c r="I734" s="90" t="str">
        <f>IF(F734="","",IF(F734&gt;$I$5,"OUTLIER",""))</f>
        <v/>
      </c>
      <c r="J734" s="90" t="str">
        <f>IF(G734="","",IF(G734&gt;$I$5,"OUTLIER",""))</f>
        <v/>
      </c>
      <c r="K734" s="90" t="str">
        <f>IF(C734="","MISSING","")</f>
        <v/>
      </c>
      <c r="L734" s="90" t="str">
        <f>IF(AND(C734&lt;&gt;"",C733&lt;&gt;"",C734=C733),"STALE","")</f>
        <v>STALE</v>
      </c>
      <c r="M734" s="106">
        <f>IF(D734="","",ABS(D734-G$5))</f>
        <v>0</v>
      </c>
    </row>
    <row r="735" spans="2:13" ht="12.75" customHeight="1" x14ac:dyDescent="0.55000000000000004">
      <c r="B735" s="97">
        <v>45950</v>
      </c>
      <c r="C735" s="89">
        <v>1.1608000000000001</v>
      </c>
      <c r="D735" s="91">
        <f>IF(OR(C735="",C734=""),"",LN(C735/C734))</f>
        <v>5.170185380143032E-4</v>
      </c>
      <c r="E735" s="89">
        <f>IF(D735="","",ABS(D735-$E$5)/$F$5)</f>
        <v>7.5155553271650175E-2</v>
      </c>
      <c r="F735" s="89">
        <f>IF(D735="","",ABS(D735-$G$5)/$H$5)</f>
        <v>0.172890270720856</v>
      </c>
      <c r="G735" s="89">
        <f>IF(D735="","",ABS(D735-$E$5)/SQRT(0.9*(IF(G734="",$F$5^2,(ABS(D734-$E$5)/MAX(G734,0.0000000001))^2))+0.1*(D735-$E$5)^2))</f>
        <v>0.16119796591867125</v>
      </c>
      <c r="H735" s="90" t="str">
        <f>IF(E735="","",IF(E735&gt;$I$5,"OUTLIER",""))</f>
        <v/>
      </c>
      <c r="I735" s="90" t="str">
        <f>IF(F735="","",IF(F735&gt;$I$5,"OUTLIER",""))</f>
        <v/>
      </c>
      <c r="J735" s="90" t="str">
        <f>IF(G735="","",IF(G735&gt;$I$5,"OUTLIER",""))</f>
        <v/>
      </c>
      <c r="K735" s="90" t="str">
        <f>IF(C735="","MISSING","")</f>
        <v/>
      </c>
      <c r="L735" s="90" t="str">
        <f>IF(AND(C735&lt;&gt;"",C734&lt;&gt;"",C735=C734),"STALE","")</f>
        <v/>
      </c>
      <c r="M735" s="106">
        <f>IF(D735="","",ABS(D735-G$5))</f>
        <v>5.170185380143032E-4</v>
      </c>
    </row>
    <row r="736" spans="2:13" ht="12.75" customHeight="1" x14ac:dyDescent="0.55000000000000004">
      <c r="B736" s="97">
        <v>45951</v>
      </c>
      <c r="C736" s="89">
        <v>1.1614</v>
      </c>
      <c r="D736" s="91">
        <f>IF(OR(C736="",C735=""),"",LN(C736/C735))</f>
        <v>5.1675136797124611E-4</v>
      </c>
      <c r="E736" s="89">
        <f>IF(D736="","",ABS(D736-$E$5)/$F$5)</f>
        <v>7.510259452747714E-2</v>
      </c>
      <c r="F736" s="89">
        <f>IF(D736="","",ABS(D736-$G$5)/$H$5)</f>
        <v>0.17280092943485484</v>
      </c>
      <c r="G736" s="89">
        <f>IF(D736="","",ABS(D736-$E$5)/SQRT(0.9*(IF(G735="",$F$5^2,(ABS(D735-$E$5)/MAX(G735,0.0000000001))^2))+0.1*(D736-$E$5)^2))</f>
        <v>0.16955359554154298</v>
      </c>
      <c r="H736" s="90" t="str">
        <f>IF(E736="","",IF(E736&gt;$I$5,"OUTLIER",""))</f>
        <v/>
      </c>
      <c r="I736" s="90" t="str">
        <f>IF(F736="","",IF(F736&gt;$I$5,"OUTLIER",""))</f>
        <v/>
      </c>
      <c r="J736" s="90" t="str">
        <f>IF(G736="","",IF(G736&gt;$I$5,"OUTLIER",""))</f>
        <v/>
      </c>
      <c r="K736" s="90" t="str">
        <f>IF(C736="","MISSING","")</f>
        <v/>
      </c>
      <c r="L736" s="90" t="str">
        <f>IF(AND(C736&lt;&gt;"",C735&lt;&gt;"",C736=C735),"STALE","")</f>
        <v/>
      </c>
      <c r="M736" s="106">
        <f>IF(D736="","",ABS(D736-G$5))</f>
        <v>5.1675136797124611E-4</v>
      </c>
    </row>
    <row r="737" spans="2:13" ht="12.75" customHeight="1" x14ac:dyDescent="0.55000000000000004">
      <c r="B737" s="97">
        <v>45952</v>
      </c>
      <c r="C737" s="89">
        <v>1.1608000000000001</v>
      </c>
      <c r="D737" s="91">
        <f>IF(OR(C737="",C736=""),"",LN(C737/C736))</f>
        <v>-5.1675136797129555E-4</v>
      </c>
      <c r="E737" s="89">
        <f>IF(D737="","",ABS(D737-$E$5)/$F$5)</f>
        <v>0.12975947147601755</v>
      </c>
      <c r="F737" s="89">
        <f>IF(D737="","",ABS(D737-$G$5)/$H$5)</f>
        <v>0.17280092943487138</v>
      </c>
      <c r="G737" s="89">
        <f>IF(D737="","",ABS(D737-$E$5)/SQRT(0.9*(IF(G736="",$F$5^2,(ABS(D736-$E$5)/MAX(G736,0.0000000001))^2))+0.1*(D737-$E$5)^2))</f>
        <v>0.30733292996321154</v>
      </c>
      <c r="H737" s="90" t="str">
        <f>IF(E737="","",IF(E737&gt;$I$5,"OUTLIER",""))</f>
        <v/>
      </c>
      <c r="I737" s="90" t="str">
        <f>IF(F737="","",IF(F737&gt;$I$5,"OUTLIER",""))</f>
        <v/>
      </c>
      <c r="J737" s="90" t="str">
        <f>IF(G737="","",IF(G737&gt;$I$5,"OUTLIER",""))</f>
        <v/>
      </c>
      <c r="K737" s="90" t="str">
        <f>IF(C737="","MISSING","")</f>
        <v/>
      </c>
      <c r="L737" s="90" t="str">
        <f>IF(AND(C737&lt;&gt;"",C736&lt;&gt;"",C737=C736),"STALE","")</f>
        <v/>
      </c>
      <c r="M737" s="106">
        <f>IF(D737="","",ABS(D737-G$5))</f>
        <v>5.1675136797129555E-4</v>
      </c>
    </row>
    <row r="738" spans="2:13" ht="12.75" customHeight="1" x14ac:dyDescent="0.55000000000000004">
      <c r="B738" s="97">
        <v>45953</v>
      </c>
      <c r="C738" s="89">
        <v>1.1598999999999999</v>
      </c>
      <c r="D738" s="91">
        <f>IF(OR(C738="",C737=""),"",LN(C738/C737))</f>
        <v>-7.7562808214765196E-4</v>
      </c>
      <c r="E738" s="89">
        <f>IF(D738="","",ABS(D738-$E$5)/$F$5)</f>
        <v>0.18107430274058905</v>
      </c>
      <c r="F738" s="89">
        <f>IF(D738="","",ABS(D738-$G$5)/$H$5)</f>
        <v>0.25936893794221377</v>
      </c>
      <c r="G738" s="89">
        <f>IF(D738="","",ABS(D738-$E$5)/SQRT(0.9*(IF(G737="",$F$5^2,(ABS(D737-$E$5)/MAX(G737,0.0000000001))^2))+0.1*(D738-$E$5)^2))</f>
        <v>0.44752011042721385</v>
      </c>
      <c r="H738" s="90" t="str">
        <f>IF(E738="","",IF(E738&gt;$I$5,"OUTLIER",""))</f>
        <v/>
      </c>
      <c r="I738" s="90" t="str">
        <f>IF(F738="","",IF(F738&gt;$I$5,"OUTLIER",""))</f>
        <v/>
      </c>
      <c r="J738" s="90" t="str">
        <f>IF(G738="","",IF(G738&gt;$I$5,"OUTLIER",""))</f>
        <v/>
      </c>
      <c r="K738" s="90" t="str">
        <f>IF(C738="","MISSING","")</f>
        <v/>
      </c>
      <c r="L738" s="90" t="str">
        <f>IF(AND(C738&lt;&gt;"",C737&lt;&gt;"",C738=C737),"STALE","")</f>
        <v/>
      </c>
      <c r="M738" s="106">
        <f>IF(D738="","",ABS(D738-G$5))</f>
        <v>7.7562808214765196E-4</v>
      </c>
    </row>
    <row r="739" spans="2:13" ht="12.75" customHeight="1" x14ac:dyDescent="0.55000000000000004">
      <c r="B739" s="97">
        <v>45954</v>
      </c>
      <c r="C739" s="89">
        <v>1.1598999999999999</v>
      </c>
      <c r="D739" s="91">
        <f>IF(OR(C739="",C738=""),"",LN(C739/C738))</f>
        <v>0</v>
      </c>
      <c r="E739" s="89">
        <f>IF(D739="","",ABS(D739-$E$5)/$F$5)</f>
        <v>2.7328438474265301E-2</v>
      </c>
      <c r="F739" s="89">
        <f>IF(D739="","",ABS(D739-$G$5)/$H$5)</f>
        <v>0</v>
      </c>
      <c r="G739" s="89">
        <f>IF(D739="","",ABS(D739-$E$5)/SQRT(0.9*(IF(G738="",$F$5^2,(ABS(D738-$E$5)/MAX(G738,0.0000000001))^2))+0.1*(D739-$E$5)^2))</f>
        <v>7.1176931135711496E-2</v>
      </c>
      <c r="H739" s="90" t="str">
        <f>IF(E739="","",IF(E739&gt;$I$5,"OUTLIER",""))</f>
        <v/>
      </c>
      <c r="I739" s="90" t="str">
        <f>IF(F739="","",IF(F739&gt;$I$5,"OUTLIER",""))</f>
        <v/>
      </c>
      <c r="J739" s="90" t="str">
        <f>IF(G739="","",IF(G739&gt;$I$5,"OUTLIER",""))</f>
        <v/>
      </c>
      <c r="K739" s="90" t="str">
        <f>IF(C739="","MISSING","")</f>
        <v/>
      </c>
      <c r="L739" s="90" t="str">
        <f>IF(AND(C739&lt;&gt;"",C738&lt;&gt;"",C739=C738),"STALE","")</f>
        <v>STALE</v>
      </c>
      <c r="M739" s="106">
        <f>IF(D739="","",ABS(D739-G$5))</f>
        <v>0</v>
      </c>
    </row>
    <row r="740" spans="2:13" ht="12.75" customHeight="1" x14ac:dyDescent="0.55000000000000004">
      <c r="B740" s="97">
        <v>45957</v>
      </c>
      <c r="C740" s="89">
        <v>1.1597999999999999</v>
      </c>
      <c r="D740" s="91">
        <f>IF(OR(C740="",C739=""),"",LN(C740/C739))</f>
        <v>-8.6218045490256575E-5</v>
      </c>
      <c r="E740" s="89">
        <f>IF(D740="","",ABS(D740-$E$5)/$F$5)</f>
        <v>4.4418675695368531E-2</v>
      </c>
      <c r="F740" s="89">
        <f>IF(D740="","",ABS(D740-$G$5)/$H$5)</f>
        <v>2.8831192945389435E-2</v>
      </c>
      <c r="G740" s="89">
        <f>IF(D740="","",ABS(D740-$E$5)/SQRT(0.9*(IF(G739="",$F$5^2,(ABS(D739-$E$5)/MAX(G739,0.0000000001))^2))+0.1*(D740-$E$5)^2))</f>
        <v>0.12185577484412888</v>
      </c>
      <c r="H740" s="90" t="str">
        <f>IF(E740="","",IF(E740&gt;$I$5,"OUTLIER",""))</f>
        <v/>
      </c>
      <c r="I740" s="90" t="str">
        <f>IF(F740="","",IF(F740&gt;$I$5,"OUTLIER",""))</f>
        <v/>
      </c>
      <c r="J740" s="90" t="str">
        <f>IF(G740="","",IF(G740&gt;$I$5,"OUTLIER",""))</f>
        <v/>
      </c>
      <c r="K740" s="90" t="str">
        <f>IF(C740="","MISSING","")</f>
        <v/>
      </c>
      <c r="L740" s="90" t="str">
        <f>IF(AND(C740&lt;&gt;"",C739&lt;&gt;"",C740=C739),"STALE","")</f>
        <v/>
      </c>
      <c r="M740" s="106">
        <f>IF(D740="","",ABS(D740-G$5))</f>
        <v>8.6218045490256575E-5</v>
      </c>
    </row>
    <row r="741" spans="2:13" ht="12.75" customHeight="1" x14ac:dyDescent="0.55000000000000004">
      <c r="B741" s="97">
        <v>45958</v>
      </c>
      <c r="C741" s="89">
        <v>1.1592</v>
      </c>
      <c r="D741" s="91">
        <f>IF(OR(C741="",C740=""),"",LN(C741/C740))</f>
        <v>-5.1746443586751659E-4</v>
      </c>
      <c r="E741" s="89">
        <f>IF(D741="","",ABS(D741-$E$5)/$F$5)</f>
        <v>0.1299008165903944</v>
      </c>
      <c r="F741" s="89">
        <f>IF(D741="","",ABS(D741-$G$5)/$H$5)</f>
        <v>0.17303937833477637</v>
      </c>
      <c r="G741" s="89">
        <f>IF(D741="","",ABS(D741-$E$5)/SQRT(0.9*(IF(G740="",$F$5^2,(ABS(D740-$E$5)/MAX(G740,0.0000000001))^2))+0.1*(D741-$E$5)^2))</f>
        <v>0.3730168900800912</v>
      </c>
      <c r="H741" s="90" t="str">
        <f>IF(E741="","",IF(E741&gt;$I$5,"OUTLIER",""))</f>
        <v/>
      </c>
      <c r="I741" s="90" t="str">
        <f>IF(F741="","",IF(F741&gt;$I$5,"OUTLIER",""))</f>
        <v/>
      </c>
      <c r="J741" s="90" t="str">
        <f>IF(G741="","",IF(G741&gt;$I$5,"OUTLIER",""))</f>
        <v/>
      </c>
      <c r="K741" s="90" t="str">
        <f>IF(C741="","MISSING","")</f>
        <v/>
      </c>
      <c r="L741" s="90" t="str">
        <f>IF(AND(C741&lt;&gt;"",C740&lt;&gt;"",C741=C740),"STALE","")</f>
        <v/>
      </c>
      <c r="M741" s="106">
        <f>IF(D741="","",ABS(D741-G$5))</f>
        <v>5.1746443586751659E-4</v>
      </c>
    </row>
    <row r="742" spans="2:13" ht="12.75" customHeight="1" x14ac:dyDescent="0.55000000000000004">
      <c r="B742" s="97">
        <v>45959</v>
      </c>
      <c r="C742" s="89">
        <v>1.1591</v>
      </c>
      <c r="D742" s="91">
        <f>IF(OR(C742="",C741=""),"",LN(C742/C741))</f>
        <v>-8.6270111773237285E-5</v>
      </c>
      <c r="E742" s="89">
        <f>IF(D742="","",ABS(D742-$E$5)/$F$5)</f>
        <v>4.4428996332101844E-2</v>
      </c>
      <c r="F742" s="89">
        <f>IF(D742="","",ABS(D742-$G$5)/$H$5)</f>
        <v>2.8848603837065653E-2</v>
      </c>
      <c r="G742" s="89">
        <f>IF(D742="","",ABS(D742-$E$5)/SQRT(0.9*(IF(G741="",$F$5^2,(ABS(D741-$E$5)/MAX(G741,0.0000000001))^2))+0.1*(D742-$E$5)^2))</f>
        <v>0.1343598476536815</v>
      </c>
      <c r="H742" s="90" t="str">
        <f>IF(E742="","",IF(E742&gt;$I$5,"OUTLIER",""))</f>
        <v/>
      </c>
      <c r="I742" s="90" t="str">
        <f>IF(F742="","",IF(F742&gt;$I$5,"OUTLIER",""))</f>
        <v/>
      </c>
      <c r="J742" s="90" t="str">
        <f>IF(G742="","",IF(G742&gt;$I$5,"OUTLIER",""))</f>
        <v/>
      </c>
      <c r="K742" s="90" t="str">
        <f>IF(C742="","MISSING","")</f>
        <v/>
      </c>
      <c r="L742" s="90" t="str">
        <f>IF(AND(C742&lt;&gt;"",C741&lt;&gt;"",C742=C741),"STALE","")</f>
        <v/>
      </c>
      <c r="M742" s="106">
        <f>IF(D742="","",ABS(D742-G$5))</f>
        <v>8.6270111773237285E-5</v>
      </c>
    </row>
    <row r="743" spans="2:13" ht="12.75" customHeight="1" x14ac:dyDescent="0.55000000000000004">
      <c r="B743" s="97">
        <v>45960</v>
      </c>
      <c r="C743" s="89">
        <v>1.161</v>
      </c>
      <c r="D743" s="91">
        <f>IF(OR(C743="",C742=""),"",LN(C743/C742))</f>
        <v>1.6378608031922528E-3</v>
      </c>
      <c r="E743" s="89">
        <f>IF(D743="","",ABS(D743-$E$5)/$F$5)</f>
        <v>0.29733015825610892</v>
      </c>
      <c r="F743" s="89">
        <f>IF(D743="","",ABS(D743-$G$5)/$H$5)</f>
        <v>0.54769834512037052</v>
      </c>
      <c r="G743" s="89">
        <f>IF(D743="","",ABS(D743-$E$5)/SQRT(0.9*(IF(G742="",$F$5^2,(ABS(D742-$E$5)/MAX(G742,0.0000000001))^2))+0.1*(D743-$E$5)^2))</f>
        <v>0.90790519958993421</v>
      </c>
      <c r="H743" s="90" t="str">
        <f>IF(E743="","",IF(E743&gt;$I$5,"OUTLIER",""))</f>
        <v/>
      </c>
      <c r="I743" s="90" t="str">
        <f>IF(F743="","",IF(F743&gt;$I$5,"OUTLIER",""))</f>
        <v/>
      </c>
      <c r="J743" s="90" t="str">
        <f>IF(G743="","",IF(G743&gt;$I$5,"OUTLIER",""))</f>
        <v/>
      </c>
      <c r="K743" s="90" t="str">
        <f>IF(C743="","MISSING","")</f>
        <v/>
      </c>
      <c r="L743" s="90" t="str">
        <f>IF(AND(C743&lt;&gt;"",C742&lt;&gt;"",C743=C742),"STALE","")</f>
        <v/>
      </c>
      <c r="M743" s="106">
        <f>IF(D743="","",ABS(D743-G$5))</f>
        <v>1.6378608031922528E-3</v>
      </c>
    </row>
    <row r="744" spans="2:13" ht="12.75" customHeight="1" x14ac:dyDescent="0.55000000000000004">
      <c r="B744" s="97">
        <v>45961</v>
      </c>
      <c r="C744" s="89">
        <v>1.1631</v>
      </c>
      <c r="D744" s="91">
        <f>IF(OR(C744="",C743=""),"",LN(C744/C743))</f>
        <v>1.8071516471016252E-3</v>
      </c>
      <c r="E744" s="89">
        <f>IF(D744="","",ABS(D744-$E$5)/$F$5)</f>
        <v>0.33088717831287762</v>
      </c>
      <c r="F744" s="89">
        <f>IF(D744="","",ABS(D744-$G$5)/$H$5)</f>
        <v>0.60430896482167773</v>
      </c>
      <c r="G744" s="89">
        <f>IF(D744="","",ABS(D744-$E$5)/SQRT(0.9*(IF(G743="",$F$5^2,(ABS(D743-$E$5)/MAX(G743,0.0000000001))^2))+0.1*(D744-$E$5)^2))</f>
        <v>1.0093206231454079</v>
      </c>
      <c r="H744" s="90" t="str">
        <f>IF(E744="","",IF(E744&gt;$I$5,"OUTLIER",""))</f>
        <v/>
      </c>
      <c r="I744" s="90" t="str">
        <f>IF(F744="","",IF(F744&gt;$I$5,"OUTLIER",""))</f>
        <v/>
      </c>
      <c r="J744" s="90" t="str">
        <f>IF(G744="","",IF(G744&gt;$I$5,"OUTLIER",""))</f>
        <v/>
      </c>
      <c r="K744" s="90" t="str">
        <f>IF(C744="","MISSING","")</f>
        <v/>
      </c>
      <c r="L744" s="90" t="str">
        <f>IF(AND(C744&lt;&gt;"",C743&lt;&gt;"",C744=C743),"STALE","")</f>
        <v/>
      </c>
      <c r="M744" s="106">
        <f>IF(D744="","",ABS(D744-G$5))</f>
        <v>1.8071516471016252E-3</v>
      </c>
    </row>
    <row r="745" spans="2:13" ht="12.75" customHeight="1" x14ac:dyDescent="0.55000000000000004">
      <c r="B745" s="97">
        <v>45964</v>
      </c>
      <c r="C745" s="89">
        <v>1.1649</v>
      </c>
      <c r="D745" s="91">
        <f>IF(OR(C745="",C744=""),"",LN(C745/C744))</f>
        <v>1.5463920607382837E-3</v>
      </c>
      <c r="E745" s="89">
        <f>IF(D745="","",ABS(D745-$E$5)/$F$5)</f>
        <v>0.27919912202157743</v>
      </c>
      <c r="F745" s="89">
        <f>IF(D745="","",ABS(D745-$G$5)/$H$5)</f>
        <v>0.51711132650765401</v>
      </c>
      <c r="G745" s="89">
        <f>IF(D745="","",ABS(D745-$E$5)/SQRT(0.9*(IF(G744="",$F$5^2,(ABS(D744-$E$5)/MAX(G744,0.0000000001))^2))+0.1*(D745-$E$5)^2))</f>
        <v>0.86359759373673928</v>
      </c>
      <c r="H745" s="90" t="str">
        <f>IF(E745="","",IF(E745&gt;$I$5,"OUTLIER",""))</f>
        <v/>
      </c>
      <c r="I745" s="90" t="str">
        <f>IF(F745="","",IF(F745&gt;$I$5,"OUTLIER",""))</f>
        <v/>
      </c>
      <c r="J745" s="90" t="str">
        <f>IF(G745="","",IF(G745&gt;$I$5,"OUTLIER",""))</f>
        <v/>
      </c>
      <c r="K745" s="90" t="str">
        <f>IF(C745="","MISSING","")</f>
        <v/>
      </c>
      <c r="L745" s="90" t="str">
        <f>IF(AND(C745&lt;&gt;"",C744&lt;&gt;"",C745=C744),"STALE","")</f>
        <v/>
      </c>
      <c r="M745" s="106">
        <f>IF(D745="","",ABS(D745-G$5))</f>
        <v>1.5463920607382837E-3</v>
      </c>
    </row>
    <row r="746" spans="2:13" ht="12.75" customHeight="1" x14ac:dyDescent="0.55000000000000004">
      <c r="B746" s="97">
        <v>45965</v>
      </c>
      <c r="C746" s="89">
        <v>1.1665000000000001</v>
      </c>
      <c r="D746" s="91">
        <f>IF(OR(C746="",C745=""),"",LN(C746/C745))</f>
        <v>1.3725660557533312E-3</v>
      </c>
      <c r="E746" s="89">
        <f>IF(D746="","",ABS(D746-$E$5)/$F$5)</f>
        <v>0.24474313727386901</v>
      </c>
      <c r="F746" s="89">
        <f>IF(D746="","",ABS(D746-$G$5)/$H$5)</f>
        <v>0.45898415533194292</v>
      </c>
      <c r="G746" s="89">
        <f>IF(D746="","",ABS(D746-$E$5)/SQRT(0.9*(IF(G745="",$F$5^2,(ABS(D745-$E$5)/MAX(G745,0.0000000001))^2))+0.1*(D746-$E$5)^2))</f>
        <v>0.77371681918348822</v>
      </c>
      <c r="H746" s="90" t="str">
        <f>IF(E746="","",IF(E746&gt;$I$5,"OUTLIER",""))</f>
        <v/>
      </c>
      <c r="I746" s="90" t="str">
        <f>IF(F746="","",IF(F746&gt;$I$5,"OUTLIER",""))</f>
        <v/>
      </c>
      <c r="J746" s="90" t="str">
        <f>IF(G746="","",IF(G746&gt;$I$5,"OUTLIER",""))</f>
        <v/>
      </c>
      <c r="K746" s="90" t="str">
        <f>IF(C746="","MISSING","")</f>
        <v/>
      </c>
      <c r="L746" s="90" t="str">
        <f>IF(AND(C746&lt;&gt;"",C745&lt;&gt;"",C746=C745),"STALE","")</f>
        <v/>
      </c>
      <c r="M746" s="106">
        <f>IF(D746="","",ABS(D746-G$5))</f>
        <v>1.3725660557533312E-3</v>
      </c>
    </row>
    <row r="747" spans="2:13" ht="12.75" customHeight="1" x14ac:dyDescent="0.55000000000000004">
      <c r="B747" s="97">
        <v>45966</v>
      </c>
      <c r="C747" s="89">
        <v>1.1669</v>
      </c>
      <c r="D747" s="91">
        <f>IF(OR(C747="",C746=""),"",LN(C747/C746))</f>
        <v>3.4284735057699568E-4</v>
      </c>
      <c r="E747" s="89">
        <f>IF(D747="","",ABS(D747-$E$5)/$F$5)</f>
        <v>4.0631146072913502E-2</v>
      </c>
      <c r="F747" s="89">
        <f>IF(D747="","",ABS(D747-$G$5)/$H$5)</f>
        <v>0.1146476710193807</v>
      </c>
      <c r="G747" s="89">
        <f>IF(D747="","",ABS(D747-$E$5)/SQRT(0.9*(IF(G746="",$F$5^2,(ABS(D746-$E$5)/MAX(G746,0.0000000001))^2))+0.1*(D747-$E$5)^2))</f>
        <v>0.13527315360205963</v>
      </c>
      <c r="H747" s="90" t="str">
        <f>IF(E747="","",IF(E747&gt;$I$5,"OUTLIER",""))</f>
        <v/>
      </c>
      <c r="I747" s="90" t="str">
        <f>IF(F747="","",IF(F747&gt;$I$5,"OUTLIER",""))</f>
        <v/>
      </c>
      <c r="J747" s="90" t="str">
        <f>IF(G747="","",IF(G747&gt;$I$5,"OUTLIER",""))</f>
        <v/>
      </c>
      <c r="K747" s="90" t="str">
        <f>IF(C747="","MISSING","")</f>
        <v/>
      </c>
      <c r="L747" s="90" t="str">
        <f>IF(AND(C747&lt;&gt;"",C746&lt;&gt;"",C747=C746),"STALE","")</f>
        <v/>
      </c>
      <c r="M747" s="106">
        <f>IF(D747="","",ABS(D747-G$5))</f>
        <v>3.4284735057699568E-4</v>
      </c>
    </row>
    <row r="748" spans="2:13" ht="12.75" customHeight="1" x14ac:dyDescent="0.55000000000000004">
      <c r="B748" s="97">
        <v>45967</v>
      </c>
      <c r="C748" s="89">
        <v>1.1611</v>
      </c>
      <c r="D748" s="91">
        <f>IF(OR(C748="",C747=""),"",LN(C748/C747))</f>
        <v>-4.9828281791012147E-3</v>
      </c>
      <c r="E748" s="89">
        <f>IF(D748="","",ABS(D748-$E$5)/$F$5)</f>
        <v>1.0150302023986308</v>
      </c>
      <c r="F748" s="89">
        <f>IF(D748="","",ABS(D748-$G$5)/$H$5)</f>
        <v>1.6662507231345858</v>
      </c>
      <c r="G748" s="89">
        <f>IF(D748="","",ABS(D748-$E$5)/SQRT(0.9*(IF(G747="",$F$5^2,(ABS(D747-$E$5)/MAX(G747,0.0000000001))^2))+0.1*(D748-$E$5)^2))</f>
        <v>2.3648549178329357</v>
      </c>
      <c r="H748" s="90" t="str">
        <f>IF(E748="","",IF(E748&gt;$I$5,"OUTLIER",""))</f>
        <v/>
      </c>
      <c r="I748" s="90" t="str">
        <f>IF(F748="","",IF(F748&gt;$I$5,"OUTLIER",""))</f>
        <v/>
      </c>
      <c r="J748" s="90" t="str">
        <f>IF(G748="","",IF(G748&gt;$I$5,"OUTLIER",""))</f>
        <v/>
      </c>
      <c r="K748" s="90" t="str">
        <f>IF(C748="","MISSING","")</f>
        <v/>
      </c>
      <c r="L748" s="90" t="str">
        <f>IF(AND(C748&lt;&gt;"",C747&lt;&gt;"",C748=C747),"STALE","")</f>
        <v/>
      </c>
      <c r="M748" s="106">
        <f>IF(D748="","",ABS(D748-G$5))</f>
        <v>4.9828281791012147E-3</v>
      </c>
    </row>
    <row r="749" spans="2:13" ht="12.75" customHeight="1" x14ac:dyDescent="0.55000000000000004">
      <c r="B749" s="97">
        <v>45968</v>
      </c>
      <c r="C749" s="89">
        <v>1.1556999999999999</v>
      </c>
      <c r="D749" s="91">
        <f>IF(OR(C749="",C748=""),"",LN(C749/C748))</f>
        <v>-4.6616106515649245E-3</v>
      </c>
      <c r="E749" s="89">
        <f>IF(D749="","",ABS(D749-$E$5)/$F$5)</f>
        <v>0.95135810551965616</v>
      </c>
      <c r="F749" s="89">
        <f>IF(D749="","",ABS(D749-$G$5)/$H$5)</f>
        <v>1.5588360344672774</v>
      </c>
      <c r="G749" s="89">
        <f>IF(D749="","",ABS(D749-$E$5)/SQRT(0.9*(IF(G748="",$F$5^2,(ABS(D748-$E$5)/MAX(G748,0.0000000001))^2))+0.1*(D749-$E$5)^2))</f>
        <v>1.8791459706261164</v>
      </c>
      <c r="H749" s="90" t="str">
        <f>IF(E749="","",IF(E749&gt;$I$5,"OUTLIER",""))</f>
        <v/>
      </c>
      <c r="I749" s="90" t="str">
        <f>IF(F749="","",IF(F749&gt;$I$5,"OUTLIER",""))</f>
        <v/>
      </c>
      <c r="J749" s="90" t="str">
        <f>IF(G749="","",IF(G749&gt;$I$5,"OUTLIER",""))</f>
        <v/>
      </c>
      <c r="K749" s="90" t="str">
        <f>IF(C749="","MISSING","")</f>
        <v/>
      </c>
      <c r="L749" s="90" t="str">
        <f>IF(AND(C749&lt;&gt;"",C748&lt;&gt;"",C749=C748),"STALE","")</f>
        <v/>
      </c>
      <c r="M749" s="106">
        <f>IF(D749="","",ABS(D749-G$5))</f>
        <v>4.6616106515649245E-3</v>
      </c>
    </row>
    <row r="750" spans="2:13" ht="12.75" customHeight="1" x14ac:dyDescent="0.55000000000000004">
      <c r="B750" s="97">
        <v>45971</v>
      </c>
      <c r="C750" s="89">
        <v>1.1589</v>
      </c>
      <c r="D750" s="91">
        <f>IF(OR(C750="",C749=""),"",LN(C750/C749))</f>
        <v>2.765058358949685E-3</v>
      </c>
      <c r="E750" s="89">
        <f>IF(D750="","",ABS(D750-$E$5)/$F$5)</f>
        <v>0.52076451603355667</v>
      </c>
      <c r="F750" s="89">
        <f>IF(D750="","",ABS(D750-$G$5)/$H$5)</f>
        <v>0.92463161973614127</v>
      </c>
      <c r="G750" s="89">
        <f>IF(D750="","",ABS(D750-$E$5)/SQRT(0.9*(IF(G749="",$F$5^2,(ABS(D749-$E$5)/MAX(G749,0.0000000001))^2))+0.1*(D750-$E$5)^2))</f>
        <v>1.0256530612999279</v>
      </c>
      <c r="H750" s="90" t="str">
        <f>IF(E750="","",IF(E750&gt;$I$5,"OUTLIER",""))</f>
        <v/>
      </c>
      <c r="I750" s="90" t="str">
        <f>IF(F750="","",IF(F750&gt;$I$5,"OUTLIER",""))</f>
        <v/>
      </c>
      <c r="J750" s="90" t="str">
        <f>IF(G750="","",IF(G750&gt;$I$5,"OUTLIER",""))</f>
        <v/>
      </c>
      <c r="K750" s="90" t="str">
        <f>IF(C750="","MISSING","")</f>
        <v/>
      </c>
      <c r="L750" s="90" t="str">
        <f>IF(AND(C750&lt;&gt;"",C749&lt;&gt;"",C750=C749),"STALE","")</f>
        <v/>
      </c>
      <c r="M750" s="106">
        <f>IF(D750="","",ABS(D750-G$5))</f>
        <v>2.765058358949685E-3</v>
      </c>
    </row>
    <row r="751" spans="2:13" ht="12.75" customHeight="1" x14ac:dyDescent="0.55000000000000004">
      <c r="B751" s="97">
        <v>45972</v>
      </c>
      <c r="C751" s="89"/>
      <c r="D751" s="91" t="str">
        <f>IF(OR(C751="",C750=""),"",LN(C751/C750))</f>
        <v/>
      </c>
      <c r="E751" s="89" t="str">
        <f>IF(D751="","",ABS(D751-$E$5)/$F$5)</f>
        <v/>
      </c>
      <c r="F751" s="89" t="str">
        <f>IF(D751="","",ABS(D751-$G$5)/$H$5)</f>
        <v/>
      </c>
      <c r="G751" s="89" t="str">
        <f>IF(D751="","",ABS(D751-$E$5)/SQRT(0.9*(IF(G750="",$F$5^2,(ABS(D750-$E$5)/MAX(G750,0.0000000001))^2))+0.1*(D751-$E$5)^2))</f>
        <v/>
      </c>
      <c r="H751" s="90" t="str">
        <f>IF(E751="","",IF(E751&gt;$I$5,"OUTLIER",""))</f>
        <v/>
      </c>
      <c r="I751" s="90" t="str">
        <f>IF(F751="","",IF(F751&gt;$I$5,"OUTLIER",""))</f>
        <v/>
      </c>
      <c r="J751" s="90" t="str">
        <f>IF(G751="","",IF(G751&gt;$I$5,"OUTLIER",""))</f>
        <v/>
      </c>
      <c r="K751" s="90" t="str">
        <f>IF(C751="","MISSING","")</f>
        <v>MISSING</v>
      </c>
      <c r="L751" s="90" t="str">
        <f>IF(AND(C751&lt;&gt;"",C750&lt;&gt;"",C751=C750),"STALE","")</f>
        <v/>
      </c>
      <c r="M751" s="106" t="str">
        <f>IF(D751="","",ABS(D751-G$5))</f>
        <v/>
      </c>
    </row>
    <row r="752" spans="2:13" ht="12.75" customHeight="1" x14ac:dyDescent="0.55000000000000004">
      <c r="B752" s="97">
        <v>45973</v>
      </c>
      <c r="C752" s="89">
        <v>1.1580999999999999</v>
      </c>
      <c r="D752" s="91" t="str">
        <f>IF(OR(C752="",C751=""),"",LN(C752/C751))</f>
        <v/>
      </c>
      <c r="E752" s="89" t="str">
        <f>IF(D752="","",ABS(D752-$E$5)/$F$5)</f>
        <v/>
      </c>
      <c r="F752" s="89" t="str">
        <f>IF(D752="","",ABS(D752-$G$5)/$H$5)</f>
        <v/>
      </c>
      <c r="G752" s="89" t="str">
        <f>IF(D752="","",ABS(D752-$E$5)/SQRT(0.9*(IF(G751="",$F$5^2,(ABS(D751-$E$5)/MAX(G751,0.0000000001))^2))+0.1*(D752-$E$5)^2))</f>
        <v/>
      </c>
      <c r="H752" s="90" t="str">
        <f>IF(E752="","",IF(E752&gt;$I$5,"OUTLIER",""))</f>
        <v/>
      </c>
      <c r="I752" s="90" t="str">
        <f>IF(F752="","",IF(F752&gt;$I$5,"OUTLIER",""))</f>
        <v/>
      </c>
      <c r="J752" s="90" t="str">
        <f>IF(G752="","",IF(G752&gt;$I$5,"OUTLIER",""))</f>
        <v/>
      </c>
      <c r="K752" s="90" t="str">
        <f>IF(C752="","MISSING","")</f>
        <v/>
      </c>
      <c r="L752" s="90" t="str">
        <f>IF(AND(C752&lt;&gt;"",C751&lt;&gt;"",C752=C751),"STALE","")</f>
        <v/>
      </c>
      <c r="M752" s="106" t="str">
        <f>IF(D752="","",ABS(D752-G$5))</f>
        <v/>
      </c>
    </row>
    <row r="753" spans="2:13" ht="12.75" customHeight="1" x14ac:dyDescent="0.55000000000000004">
      <c r="B753" s="97">
        <v>45974</v>
      </c>
      <c r="C753" s="89">
        <v>1.1614</v>
      </c>
      <c r="D753" s="91">
        <f>IF(OR(C753="",C752=""),"",LN(C753/C752))</f>
        <v>2.8454427476176966E-3</v>
      </c>
      <c r="E753" s="89">
        <f>IF(D753="","",ABS(D753-$E$5)/$F$5)</f>
        <v>0.53669839928732321</v>
      </c>
      <c r="F753" s="89">
        <f>IF(D753="","",ABS(D753-$G$5)/$H$5)</f>
        <v>0.95151204605880157</v>
      </c>
      <c r="G753" s="89">
        <f>IF(D753="","",ABS(D753-$E$5)/SQRT(0.9*(IF(G752="",$F$5^2,(ABS(D752-$E$5)/MAX(G752,0.0000000001))^2))+0.1*(D753-$E$5)^2))</f>
        <v>0.5568883601596577</v>
      </c>
      <c r="H753" s="90" t="str">
        <f>IF(E753="","",IF(E753&gt;$I$5,"OUTLIER",""))</f>
        <v/>
      </c>
      <c r="I753" s="90" t="str">
        <f>IF(F753="","",IF(F753&gt;$I$5,"OUTLIER",""))</f>
        <v/>
      </c>
      <c r="J753" s="90" t="str">
        <f>IF(G753="","",IF(G753&gt;$I$5,"OUTLIER",""))</f>
        <v/>
      </c>
      <c r="K753" s="90" t="str">
        <f>IF(C753="","MISSING","")</f>
        <v/>
      </c>
      <c r="L753" s="90" t="str">
        <f>IF(AND(C753&lt;&gt;"",C752&lt;&gt;"",C753=C752),"STALE","")</f>
        <v/>
      </c>
      <c r="M753" s="106">
        <f>IF(D753="","",ABS(D753-G$5))</f>
        <v>2.8454427476176966E-3</v>
      </c>
    </row>
    <row r="754" spans="2:13" ht="12.75" customHeight="1" x14ac:dyDescent="0.55000000000000004">
      <c r="B754" s="97">
        <v>45975</v>
      </c>
      <c r="C754" s="89">
        <v>1.1531</v>
      </c>
      <c r="D754" s="91">
        <f>IF(OR(C754="",C753=""),"",LN(C754/C753))</f>
        <v>-7.1722061608789347E-3</v>
      </c>
      <c r="E754" s="89">
        <f>IF(D754="","",ABS(D754-$E$5)/$F$5)</f>
        <v>1.449011149919297</v>
      </c>
      <c r="F754" s="89">
        <f>IF(D754="","",ABS(D754-$G$5)/$H$5)</f>
        <v>2.3983756357800963</v>
      </c>
      <c r="G754" s="89">
        <f>IF(D754="","",ABS(D754-$E$5)/SQRT(0.9*(IF(G753="",$F$5^2,(ABS(D753-$E$5)/MAX(G753,0.0000000001))^2))+0.1*(D754-$E$5)^2))</f>
        <v>1.416867577961946</v>
      </c>
      <c r="H754" s="90" t="str">
        <f>IF(E754="","",IF(E754&gt;$I$5,"OUTLIER",""))</f>
        <v/>
      </c>
      <c r="I754" s="90" t="str">
        <f>IF(F754="","",IF(F754&gt;$I$5,"OUTLIER",""))</f>
        <v/>
      </c>
      <c r="J754" s="90" t="str">
        <f>IF(G754="","",IF(G754&gt;$I$5,"OUTLIER",""))</f>
        <v/>
      </c>
      <c r="K754" s="90" t="str">
        <f>IF(C754="","MISSING","")</f>
        <v/>
      </c>
      <c r="L754" s="90" t="str">
        <f>IF(AND(C754&lt;&gt;"",C753&lt;&gt;"",C754=C753),"STALE","")</f>
        <v/>
      </c>
      <c r="M754" s="106">
        <f>IF(D754="","",ABS(D754-G$5))</f>
        <v>7.1722061608789347E-3</v>
      </c>
    </row>
    <row r="755" spans="2:13" ht="12.75" customHeight="1" x14ac:dyDescent="0.55000000000000004">
      <c r="B755" s="97">
        <v>45978</v>
      </c>
      <c r="C755" s="89">
        <v>1.1557999999999999</v>
      </c>
      <c r="D755" s="91">
        <f>IF(OR(C755="",C754=""),"",LN(C755/C754))</f>
        <v>2.3387771066070298E-3</v>
      </c>
      <c r="E755" s="89">
        <f>IF(D755="","",ABS(D755-$E$5)/$F$5)</f>
        <v>0.43626657034226579</v>
      </c>
      <c r="F755" s="89">
        <f>IF(D755="","",ABS(D755-$G$5)/$H$5)</f>
        <v>0.78208376951049174</v>
      </c>
      <c r="G755" s="89">
        <f>IF(D755="","",ABS(D755-$E$5)/SQRT(0.9*(IF(G754="",$F$5^2,(ABS(D754-$E$5)/MAX(G754,0.0000000001))^2))+0.1*(D755-$E$5)^2))</f>
        <v>0.44518584423089835</v>
      </c>
      <c r="H755" s="90" t="str">
        <f>IF(E755="","",IF(E755&gt;$I$5,"OUTLIER",""))</f>
        <v/>
      </c>
      <c r="I755" s="90" t="str">
        <f>IF(F755="","",IF(F755&gt;$I$5,"OUTLIER",""))</f>
        <v/>
      </c>
      <c r="J755" s="90" t="str">
        <f>IF(G755="","",IF(G755&gt;$I$5,"OUTLIER",""))</f>
        <v/>
      </c>
      <c r="K755" s="90" t="str">
        <f>IF(C755="","MISSING","")</f>
        <v/>
      </c>
      <c r="L755" s="90" t="str">
        <f>IF(AND(C755&lt;&gt;"",C754&lt;&gt;"",C755=C754),"STALE","")</f>
        <v/>
      </c>
      <c r="M755" s="106">
        <f>IF(D755="","",ABS(D755-G$5))</f>
        <v>2.3387771066070298E-3</v>
      </c>
    </row>
    <row r="756" spans="2:13" ht="12.75" customHeight="1" x14ac:dyDescent="0.55000000000000004">
      <c r="B756" s="97">
        <v>45979</v>
      </c>
      <c r="C756" s="89">
        <v>1.1593</v>
      </c>
      <c r="D756" s="91">
        <f>IF(OR(C756="",C755=""),"",LN(C756/C755))</f>
        <v>3.0236297926780954E-3</v>
      </c>
      <c r="E756" s="89">
        <f>IF(D756="","",ABS(D756-$E$5)/$F$5)</f>
        <v>0.57201883426695599</v>
      </c>
      <c r="F756" s="89">
        <f>IF(D756="","",ABS(D756-$G$5)/$H$5)</f>
        <v>1.0110975428917786</v>
      </c>
      <c r="G756" s="89">
        <f>IF(D756="","",ABS(D756-$E$5)/SQRT(0.9*(IF(G755="",$F$5^2,(ABS(D755-$E$5)/MAX(G755,0.0000000001))^2))+0.1*(D756-$E$5)^2))</f>
        <v>0.60396188048771016</v>
      </c>
      <c r="H756" s="90" t="str">
        <f>IF(E756="","",IF(E756&gt;$I$5,"OUTLIER",""))</f>
        <v/>
      </c>
      <c r="I756" s="90" t="str">
        <f>IF(F756="","",IF(F756&gt;$I$5,"OUTLIER",""))</f>
        <v/>
      </c>
      <c r="J756" s="90" t="str">
        <f>IF(G756="","",IF(G756&gt;$I$5,"OUTLIER",""))</f>
        <v/>
      </c>
      <c r="K756" s="90" t="str">
        <f>IF(C756="","MISSING","")</f>
        <v/>
      </c>
      <c r="L756" s="90" t="str">
        <f>IF(AND(C756&lt;&gt;"",C755&lt;&gt;"",C756=C755),"STALE","")</f>
        <v/>
      </c>
      <c r="M756" s="106">
        <f>IF(D756="","",ABS(D756-G$5))</f>
        <v>3.0236297926780954E-3</v>
      </c>
    </row>
    <row r="757" spans="2:13" ht="12.75" customHeight="1" x14ac:dyDescent="0.55000000000000004">
      <c r="B757" s="97">
        <v>45980</v>
      </c>
      <c r="C757" s="89">
        <v>1.1593</v>
      </c>
      <c r="D757" s="91">
        <f>IF(OR(C757="",C756=""),"",LN(C757/C756))</f>
        <v>0</v>
      </c>
      <c r="E757" s="89">
        <f>IF(D757="","",ABS(D757-$E$5)/$F$5)</f>
        <v>2.7328438474265301E-2</v>
      </c>
      <c r="F757" s="89">
        <f>IF(D757="","",ABS(D757-$G$5)/$H$5)</f>
        <v>0</v>
      </c>
      <c r="G757" s="89">
        <f>IF(D757="","",ABS(D757-$E$5)/SQRT(0.9*(IF(G756="",$F$5^2,(ABS(D756-$E$5)/MAX(G756,0.0000000001))^2))+0.1*(D757-$E$5)^2))</f>
        <v>3.0413939330995478E-2</v>
      </c>
      <c r="H757" s="90" t="str">
        <f>IF(E757="","",IF(E757&gt;$I$5,"OUTLIER",""))</f>
        <v/>
      </c>
      <c r="I757" s="90" t="str">
        <f>IF(F757="","",IF(F757&gt;$I$5,"OUTLIER",""))</f>
        <v/>
      </c>
      <c r="J757" s="90" t="str">
        <f>IF(G757="","",IF(G757&gt;$I$5,"OUTLIER",""))</f>
        <v/>
      </c>
      <c r="K757" s="90" t="str">
        <f>IF(C757="","MISSING","")</f>
        <v/>
      </c>
      <c r="L757" s="90" t="str">
        <f>IF(AND(C757&lt;&gt;"",C756&lt;&gt;"",C757=C756),"STALE","")</f>
        <v>STALE</v>
      </c>
      <c r="M757" s="106">
        <f>IF(D757="","",ABS(D757-G$5))</f>
        <v>0</v>
      </c>
    </row>
    <row r="758" spans="2:13" ht="12.75" customHeight="1" x14ac:dyDescent="0.55000000000000004">
      <c r="B758" s="97">
        <v>45981</v>
      </c>
      <c r="C758" s="89">
        <v>1.1614</v>
      </c>
      <c r="D758" s="91">
        <f>IF(OR(C758="",C757=""),"",LN(C758/C757))</f>
        <v>1.8097992615938522E-3</v>
      </c>
      <c r="E758" s="89">
        <f>IF(D758="","",ABS(D758-$E$5)/$F$5)</f>
        <v>0.33141199141302269</v>
      </c>
      <c r="F758" s="89">
        <f>IF(D758="","",ABS(D758-$G$5)/$H$5)</f>
        <v>0.60519432337784029</v>
      </c>
      <c r="G758" s="89">
        <f>IF(D758="","",ABS(D758-$E$5)/SQRT(0.9*(IF(G757="",$F$5^2,(ABS(D757-$E$5)/MAX(G757,0.0000000001))^2))+0.1*(D758-$E$5)^2))</f>
        <v>0.38587548473034927</v>
      </c>
      <c r="H758" s="90" t="str">
        <f>IF(E758="","",IF(E758&gt;$I$5,"OUTLIER",""))</f>
        <v/>
      </c>
      <c r="I758" s="90" t="str">
        <f>IF(F758="","",IF(F758&gt;$I$5,"OUTLIER",""))</f>
        <v/>
      </c>
      <c r="J758" s="90" t="str">
        <f>IF(G758="","",IF(G758&gt;$I$5,"OUTLIER",""))</f>
        <v/>
      </c>
      <c r="K758" s="90" t="str">
        <f>IF(C758="","MISSING","")</f>
        <v/>
      </c>
      <c r="L758" s="90" t="str">
        <f>IF(AND(C758&lt;&gt;"",C757&lt;&gt;"",C758=C757),"STALE","")</f>
        <v/>
      </c>
      <c r="M758" s="106">
        <f>IF(D758="","",ABS(D758-G$5))</f>
        <v>1.8097992615938522E-3</v>
      </c>
    </row>
    <row r="759" spans="2:13" ht="12.75" customHeight="1" x14ac:dyDescent="0.55000000000000004">
      <c r="B759" s="97">
        <v>45982</v>
      </c>
      <c r="C759" s="89">
        <v>1.1614</v>
      </c>
      <c r="D759" s="91">
        <f>IF(OR(C759="",C758=""),"",LN(C759/C758))</f>
        <v>0</v>
      </c>
      <c r="E759" s="89">
        <f>IF(D759="","",ABS(D759-$E$5)/$F$5)</f>
        <v>2.7328438474265301E-2</v>
      </c>
      <c r="F759" s="89">
        <f>IF(D759="","",ABS(D759-$G$5)/$H$5)</f>
        <v>0</v>
      </c>
      <c r="G759" s="89">
        <f>IF(D759="","",ABS(D759-$E$5)/SQRT(0.9*(IF(G758="",$F$5^2,(ABS(D758-$E$5)/MAX(G758,0.0000000001))^2))+0.1*(D759-$E$5)^2))</f>
        <v>3.3538845186526778E-2</v>
      </c>
      <c r="H759" s="90" t="str">
        <f>IF(E759="","",IF(E759&gt;$I$5,"OUTLIER",""))</f>
        <v/>
      </c>
      <c r="I759" s="90" t="str">
        <f>IF(F759="","",IF(F759&gt;$I$5,"OUTLIER",""))</f>
        <v/>
      </c>
      <c r="J759" s="90" t="str">
        <f>IF(G759="","",IF(G759&gt;$I$5,"OUTLIER",""))</f>
        <v/>
      </c>
      <c r="K759" s="90" t="str">
        <f>IF(C759="","MISSING","")</f>
        <v/>
      </c>
      <c r="L759" s="90" t="str">
        <f>IF(AND(C759&lt;&gt;"",C758&lt;&gt;"",C759=C758),"STALE","")</f>
        <v>STALE</v>
      </c>
      <c r="M759" s="106">
        <f>IF(D759="","",ABS(D759-G$5))</f>
        <v>0</v>
      </c>
    </row>
    <row r="760" spans="2:13" ht="12.75" customHeight="1" x14ac:dyDescent="0.55000000000000004">
      <c r="B760" s="97">
        <v>45985</v>
      </c>
      <c r="C760" s="89">
        <v>1.1659999999999999</v>
      </c>
      <c r="D760" s="91">
        <f>IF(OR(C760="",C759=""),"",LN(C760/C759))</f>
        <v>3.952913972488128E-3</v>
      </c>
      <c r="E760" s="89">
        <f>IF(D760="","",ABS(D760-$E$5)/$F$5)</f>
        <v>0.75622258173611634</v>
      </c>
      <c r="F760" s="89">
        <f>IF(D760="","",ABS(D760-$G$5)/$H$5)</f>
        <v>1.321848863417002</v>
      </c>
      <c r="G760" s="89">
        <f>IF(D760="","",ABS(D760-$E$5)/SQRT(0.9*(IF(G759="",$F$5^2,(ABS(D759-$E$5)/MAX(G759,0.0000000001))^2))+0.1*(D760-$E$5)^2))</f>
        <v>0.93457755255340347</v>
      </c>
      <c r="H760" s="90" t="str">
        <f>IF(E760="","",IF(E760&gt;$I$5,"OUTLIER",""))</f>
        <v/>
      </c>
      <c r="I760" s="90" t="str">
        <f>IF(F760="","",IF(F760&gt;$I$5,"OUTLIER",""))</f>
        <v/>
      </c>
      <c r="J760" s="90" t="str">
        <f>IF(G760="","",IF(G760&gt;$I$5,"OUTLIER",""))</f>
        <v/>
      </c>
      <c r="K760" s="90" t="str">
        <f>IF(C760="","MISSING","")</f>
        <v/>
      </c>
      <c r="L760" s="90" t="str">
        <f>IF(AND(C760&lt;&gt;"",C759&lt;&gt;"",C760=C759),"STALE","")</f>
        <v/>
      </c>
      <c r="M760" s="106">
        <f>IF(D760="","",ABS(D760-G$5))</f>
        <v>3.952913972488128E-3</v>
      </c>
    </row>
    <row r="761" spans="2:13" ht="12.75" customHeight="1" x14ac:dyDescent="0.55000000000000004">
      <c r="B761" s="97">
        <v>45986</v>
      </c>
      <c r="C761" s="89">
        <v>1.1597</v>
      </c>
      <c r="D761" s="91">
        <f>IF(OR(C761="",C760=""),"",LN(C761/C760))</f>
        <v>-5.4177369477800595E-3</v>
      </c>
      <c r="E761" s="89">
        <f>IF(D761="","",ABS(D761-$E$5)/$F$5)</f>
        <v>1.1012383040088596</v>
      </c>
      <c r="F761" s="89">
        <f>IF(D761="","",ABS(D761-$G$5)/$H$5)</f>
        <v>1.8116836026683549</v>
      </c>
      <c r="G761" s="89">
        <f>IF(D761="","",ABS(D761-$E$5)/SQRT(0.9*(IF(G760="",$F$5^2,(ABS(D760-$E$5)/MAX(G760,0.0000000001))^2))+0.1*(D761-$E$5)^2))</f>
        <v>1.3064343590371674</v>
      </c>
      <c r="H761" s="90" t="str">
        <f>IF(E761="","",IF(E761&gt;$I$5,"OUTLIER",""))</f>
        <v/>
      </c>
      <c r="I761" s="90" t="str">
        <f>IF(F761="","",IF(F761&gt;$I$5,"OUTLIER",""))</f>
        <v/>
      </c>
      <c r="J761" s="90" t="str">
        <f>IF(G761="","",IF(G761&gt;$I$5,"OUTLIER",""))</f>
        <v/>
      </c>
      <c r="K761" s="90" t="str">
        <f>IF(C761="","MISSING","")</f>
        <v/>
      </c>
      <c r="L761" s="90" t="str">
        <f>IF(AND(C761&lt;&gt;"",C760&lt;&gt;"",C761=C760),"STALE","")</f>
        <v/>
      </c>
      <c r="M761" s="106">
        <f>IF(D761="","",ABS(D761-G$5))</f>
        <v>5.4177369477800595E-3</v>
      </c>
    </row>
    <row r="762" spans="2:13" ht="12.75" customHeight="1" x14ac:dyDescent="0.55000000000000004">
      <c r="B762" s="97">
        <v>45987</v>
      </c>
      <c r="C762" s="89">
        <v>1.1597</v>
      </c>
      <c r="D762" s="91">
        <f>IF(OR(C762="",C761=""),"",LN(C762/C761))</f>
        <v>0</v>
      </c>
      <c r="E762" s="89">
        <f>IF(D762="","",ABS(D762-$E$5)/$F$5)</f>
        <v>2.7328438474265301E-2</v>
      </c>
      <c r="F762" s="89">
        <f>IF(D762="","",ABS(D762-$G$5)/$H$5)</f>
        <v>0</v>
      </c>
      <c r="G762" s="89">
        <f>IF(D762="","",ABS(D762-$E$5)/SQRT(0.9*(IF(G761="",$F$5^2,(ABS(D761-$E$5)/MAX(G761,0.0000000001))^2))+0.1*(D762-$E$5)^2))</f>
        <v>3.4172321881809305E-2</v>
      </c>
      <c r="H762" s="90" t="str">
        <f>IF(E762="","",IF(E762&gt;$I$5,"OUTLIER",""))</f>
        <v/>
      </c>
      <c r="I762" s="90" t="str">
        <f>IF(F762="","",IF(F762&gt;$I$5,"OUTLIER",""))</f>
        <v/>
      </c>
      <c r="J762" s="90" t="str">
        <f>IF(G762="","",IF(G762&gt;$I$5,"OUTLIER",""))</f>
        <v/>
      </c>
      <c r="K762" s="90" t="str">
        <f>IF(C762="","MISSING","")</f>
        <v/>
      </c>
      <c r="L762" s="90" t="str">
        <f>IF(AND(C762&lt;&gt;"",C761&lt;&gt;"",C762=C761),"STALE","")</f>
        <v>STALE</v>
      </c>
      <c r="M762" s="106">
        <f>IF(D762="","",ABS(D762-G$5))</f>
        <v>0</v>
      </c>
    </row>
    <row r="763" spans="2:13" ht="12.75" customHeight="1" x14ac:dyDescent="0.55000000000000004">
      <c r="B763" s="97">
        <v>45989</v>
      </c>
      <c r="C763" s="89"/>
      <c r="D763" s="91" t="str">
        <f>IF(OR(C763="",C762=""),"",LN(C763/C762))</f>
        <v/>
      </c>
      <c r="E763" s="89" t="str">
        <f>IF(D763="","",ABS(D763-$E$5)/$F$5)</f>
        <v/>
      </c>
      <c r="F763" s="89" t="str">
        <f>IF(D763="","",ABS(D763-$G$5)/$H$5)</f>
        <v/>
      </c>
      <c r="G763" s="89" t="str">
        <f>IF(D763="","",ABS(D763-$E$5)/SQRT(0.9*(IF(G762="",$F$5^2,(ABS(D762-$E$5)/MAX(G762,0.0000000001))^2))+0.1*(D763-$E$5)^2))</f>
        <v/>
      </c>
      <c r="H763" s="90" t="str">
        <f>IF(E763="","",IF(E763&gt;$I$5,"OUTLIER",""))</f>
        <v/>
      </c>
      <c r="I763" s="90" t="str">
        <f>IF(F763="","",IF(F763&gt;$I$5,"OUTLIER",""))</f>
        <v/>
      </c>
      <c r="J763" s="90" t="str">
        <f>IF(G763="","",IF(G763&gt;$I$5,"OUTLIER",""))</f>
        <v/>
      </c>
      <c r="K763" s="90" t="str">
        <f>IF(C763="","MISSING","")</f>
        <v>MISSING</v>
      </c>
      <c r="L763" s="90" t="str">
        <f>IF(AND(C763&lt;&gt;"",C762&lt;&gt;"",C763=C762),"STALE","")</f>
        <v/>
      </c>
      <c r="M763" s="106" t="str">
        <f>IF(D763="","",ABS(D763-G$5))</f>
        <v/>
      </c>
    </row>
    <row r="764" spans="2:13" ht="12.75" customHeight="1" x14ac:dyDescent="0.55000000000000004">
      <c r="B764" s="97">
        <v>45992</v>
      </c>
      <c r="C764" s="89">
        <v>1.1528</v>
      </c>
      <c r="D764" s="91" t="str">
        <f>IF(OR(C764="",C763=""),"",LN(C764/C763))</f>
        <v/>
      </c>
      <c r="E764" s="89" t="str">
        <f>IF(D764="","",ABS(D764-$E$5)/$F$5)</f>
        <v/>
      </c>
      <c r="F764" s="89" t="str">
        <f>IF(D764="","",ABS(D764-$G$5)/$H$5)</f>
        <v/>
      </c>
      <c r="G764" s="89" t="str">
        <f>IF(D764="","",ABS(D764-$E$5)/SQRT(0.9*(IF(G763="",$F$5^2,(ABS(D763-$E$5)/MAX(G763,0.0000000001))^2))+0.1*(D764-$E$5)^2))</f>
        <v/>
      </c>
      <c r="H764" s="90" t="str">
        <f>IF(E764="","",IF(E764&gt;$I$5,"OUTLIER",""))</f>
        <v/>
      </c>
      <c r="I764" s="90" t="str">
        <f>IF(F764="","",IF(F764&gt;$I$5,"OUTLIER",""))</f>
        <v/>
      </c>
      <c r="J764" s="90" t="str">
        <f>IF(G764="","",IF(G764&gt;$I$5,"OUTLIER",""))</f>
        <v/>
      </c>
      <c r="K764" s="90" t="str">
        <f>IF(C764="","MISSING","")</f>
        <v/>
      </c>
      <c r="L764" s="90" t="str">
        <f>IF(AND(C764&lt;&gt;"",C763&lt;&gt;"",C764=C763),"STALE","")</f>
        <v/>
      </c>
      <c r="M764" s="106" t="str">
        <f>IF(D764="","",ABS(D764-G$5))</f>
        <v/>
      </c>
    </row>
    <row r="765" spans="2:13" ht="12.75" customHeight="1" x14ac:dyDescent="0.55000000000000004">
      <c r="B765" s="97">
        <v>45993</v>
      </c>
      <c r="C765" s="89">
        <v>1.153</v>
      </c>
      <c r="D765" s="91">
        <f>IF(OR(C765="",C764=""),"",LN(C765/C764))</f>
        <v>1.7347558374664084E-4</v>
      </c>
      <c r="E765" s="89">
        <f>IF(D765="","",ABS(D765-$E$5)/$F$5)</f>
        <v>7.058085384414544E-3</v>
      </c>
      <c r="F765" s="89">
        <f>IF(D765="","",ABS(D765-$G$5)/$H$5)</f>
        <v>5.8009990807303576E-2</v>
      </c>
      <c r="G765" s="89">
        <f>IF(D765="","",ABS(D765-$E$5)/SQRT(0.9*(IF(G764="",$F$5^2,(ABS(D764-$E$5)/MAX(G764,0.0000000001))^2))+0.1*(D765-$E$5)^2))</f>
        <v>7.4398546544804621E-3</v>
      </c>
      <c r="H765" s="90" t="str">
        <f>IF(E765="","",IF(E765&gt;$I$5,"OUTLIER",""))</f>
        <v/>
      </c>
      <c r="I765" s="90" t="str">
        <f>IF(F765="","",IF(F765&gt;$I$5,"OUTLIER",""))</f>
        <v/>
      </c>
      <c r="J765" s="90" t="str">
        <f>IF(G765="","",IF(G765&gt;$I$5,"OUTLIER",""))</f>
        <v/>
      </c>
      <c r="K765" s="90" t="str">
        <f>IF(C765="","MISSING","")</f>
        <v/>
      </c>
      <c r="L765" s="90" t="str">
        <f>IF(AND(C765&lt;&gt;"",C764&lt;&gt;"",C765=C764),"STALE","")</f>
        <v/>
      </c>
      <c r="M765" s="106">
        <f>IF(D765="","",ABS(D765-G$5))</f>
        <v>1.7347558374664084E-4</v>
      </c>
    </row>
    <row r="766" spans="2:13" ht="12.75" customHeight="1" x14ac:dyDescent="0.55000000000000004">
      <c r="B766" s="97">
        <v>45994</v>
      </c>
      <c r="C766" s="89">
        <v>1.1578999999999999</v>
      </c>
      <c r="D766" s="91">
        <f>IF(OR(C766="",C765=""),"",LN(C766/C765))</f>
        <v>4.2407783491682678E-3</v>
      </c>
      <c r="E766" s="89">
        <f>IF(D766="","",ABS(D766-$E$5)/$F$5)</f>
        <v>0.81328337982071874</v>
      </c>
      <c r="F766" s="89">
        <f>IF(D766="","",ABS(D766-$G$5)/$H$5)</f>
        <v>1.4181103054269266</v>
      </c>
      <c r="G766" s="89">
        <f>IF(D766="","",ABS(D766-$E$5)/SQRT(0.9*(IF(G765="",$F$5^2,(ABS(D765-$E$5)/MAX(G765,0.0000000001))^2))+0.1*(D766-$E$5)^2))</f>
        <v>0.86886697798913382</v>
      </c>
      <c r="H766" s="90" t="str">
        <f>IF(E766="","",IF(E766&gt;$I$5,"OUTLIER",""))</f>
        <v/>
      </c>
      <c r="I766" s="90" t="str">
        <f>IF(F766="","",IF(F766&gt;$I$5,"OUTLIER",""))</f>
        <v/>
      </c>
      <c r="J766" s="90" t="str">
        <f>IF(G766="","",IF(G766&gt;$I$5,"OUTLIER",""))</f>
        <v/>
      </c>
      <c r="K766" s="90" t="str">
        <f>IF(C766="","MISSING","")</f>
        <v/>
      </c>
      <c r="L766" s="90" t="str">
        <f>IF(AND(C766&lt;&gt;"",C765&lt;&gt;"",C766=C765),"STALE","")</f>
        <v/>
      </c>
      <c r="M766" s="106">
        <f>IF(D766="","",ABS(D766-G$5))</f>
        <v>4.2407783491682678E-3</v>
      </c>
    </row>
    <row r="767" spans="2:13" ht="12.75" customHeight="1" x14ac:dyDescent="0.55000000000000004">
      <c r="B767" s="97">
        <v>45995</v>
      </c>
      <c r="C767" s="89">
        <v>1.1578999999999999</v>
      </c>
      <c r="D767" s="91">
        <f>IF(OR(C767="",C766=""),"",LN(C767/C766))</f>
        <v>0</v>
      </c>
      <c r="E767" s="89">
        <f>IF(D767="","",ABS(D767-$E$5)/$F$5)</f>
        <v>2.7328438474265301E-2</v>
      </c>
      <c r="F767" s="89">
        <f>IF(D767="","",ABS(D767-$G$5)/$H$5)</f>
        <v>0</v>
      </c>
      <c r="G767" s="89">
        <f>IF(D767="","",ABS(D767-$E$5)/SQRT(0.9*(IF(G766="",$F$5^2,(ABS(D766-$E$5)/MAX(G766,0.0000000001))^2))+0.1*(D767-$E$5)^2))</f>
        <v>3.0774031312811652E-2</v>
      </c>
      <c r="H767" s="90" t="str">
        <f>IF(E767="","",IF(E767&gt;$I$5,"OUTLIER",""))</f>
        <v/>
      </c>
      <c r="I767" s="90" t="str">
        <f>IF(F767="","",IF(F767&gt;$I$5,"OUTLIER",""))</f>
        <v/>
      </c>
      <c r="J767" s="90" t="str">
        <f>IF(G767="","",IF(G767&gt;$I$5,"OUTLIER",""))</f>
        <v/>
      </c>
      <c r="K767" s="90" t="str">
        <f>IF(C767="","MISSING","")</f>
        <v/>
      </c>
      <c r="L767" s="90" t="str">
        <f>IF(AND(C767&lt;&gt;"",C766&lt;&gt;"",C767=C766),"STALE","")</f>
        <v>STALE</v>
      </c>
      <c r="M767" s="106">
        <f>IF(D767="","",ABS(D767-G$5))</f>
        <v>0</v>
      </c>
    </row>
    <row r="768" spans="2:13" ht="12.75" customHeight="1" x14ac:dyDescent="0.55000000000000004">
      <c r="B768" s="97">
        <v>45996</v>
      </c>
      <c r="C768" s="89">
        <v>1.1578999999999999</v>
      </c>
      <c r="D768" s="91">
        <f>IF(OR(C768="",C767=""),"",LN(C768/C767))</f>
        <v>0</v>
      </c>
      <c r="E768" s="89">
        <f>IF(D768="","",ABS(D768-$E$5)/$F$5)</f>
        <v>2.7328438474265301E-2</v>
      </c>
      <c r="F768" s="89">
        <f>IF(D768="","",ABS(D768-$G$5)/$H$5)</f>
        <v>0</v>
      </c>
      <c r="G768" s="89">
        <f>IF(D768="","",ABS(D768-$E$5)/SQRT(0.9*(IF(G767="",$F$5^2,(ABS(D767-$E$5)/MAX(G767,0.0000000001))^2))+0.1*(D768-$E$5)^2))</f>
        <v>3.2436970670543852E-2</v>
      </c>
      <c r="H768" s="90" t="str">
        <f>IF(E768="","",IF(E768&gt;$I$5,"OUTLIER",""))</f>
        <v/>
      </c>
      <c r="I768" s="90" t="str">
        <f>IF(F768="","",IF(F768&gt;$I$5,"OUTLIER",""))</f>
        <v/>
      </c>
      <c r="J768" s="90" t="str">
        <f>IF(G768="","",IF(G768&gt;$I$5,"OUTLIER",""))</f>
        <v/>
      </c>
      <c r="K768" s="90" t="str">
        <f>IF(C768="","MISSING","")</f>
        <v/>
      </c>
      <c r="L768" s="90" t="str">
        <f>IF(AND(C768&lt;&gt;"",C767&lt;&gt;"",C768=C767),"STALE","")</f>
        <v>STALE</v>
      </c>
      <c r="M768" s="106">
        <f>IF(D768="","",ABS(D768-G$5))</f>
        <v>0</v>
      </c>
    </row>
    <row r="769" spans="2:13" ht="12.75" customHeight="1" x14ac:dyDescent="0.55000000000000004">
      <c r="B769" s="97">
        <v>45999</v>
      </c>
      <c r="C769" s="89">
        <v>1.1584000000000001</v>
      </c>
      <c r="D769" s="91">
        <f>IF(OR(C769="",C768=""),"",LN(C769/C768))</f>
        <v>4.3172301322471371E-4</v>
      </c>
      <c r="E769" s="89">
        <f>IF(D769="","",ABS(D769-$E$5)/$F$5)</f>
        <v>5.8248179133630409E-2</v>
      </c>
      <c r="F769" s="89">
        <f>IF(D769="","",ABS(D769-$G$5)/$H$5)</f>
        <v>0.14436756739809498</v>
      </c>
      <c r="G769" s="89">
        <f>IF(D769="","",ABS(D769-$E$5)/SQRT(0.9*(IF(G768="",$F$5^2,(ABS(D768-$E$5)/MAX(G768,0.0000000001))^2))+0.1*(D769-$E$5)^2))</f>
        <v>7.28569983116404E-2</v>
      </c>
      <c r="H769" s="90" t="str">
        <f>IF(E769="","",IF(E769&gt;$I$5,"OUTLIER",""))</f>
        <v/>
      </c>
      <c r="I769" s="90" t="str">
        <f>IF(F769="","",IF(F769&gt;$I$5,"OUTLIER",""))</f>
        <v/>
      </c>
      <c r="J769" s="90" t="str">
        <f>IF(G769="","",IF(G769&gt;$I$5,"OUTLIER",""))</f>
        <v/>
      </c>
      <c r="K769" s="90" t="str">
        <f>IF(C769="","MISSING","")</f>
        <v/>
      </c>
      <c r="L769" s="90" t="str">
        <f>IF(AND(C769&lt;&gt;"",C768&lt;&gt;"",C769=C768),"STALE","")</f>
        <v/>
      </c>
      <c r="M769" s="106">
        <f>IF(D769="","",ABS(D769-G$5))</f>
        <v>4.3172301322471371E-4</v>
      </c>
    </row>
    <row r="770" spans="2:13" ht="12.75" customHeight="1" x14ac:dyDescent="0.55000000000000004">
      <c r="B770" s="97">
        <v>46000</v>
      </c>
      <c r="C770" s="89">
        <v>1.1619999999999999</v>
      </c>
      <c r="D770" s="91">
        <f>IF(OR(C770="",C769=""),"",LN(C770/C769))</f>
        <v>3.1029157804045209E-3</v>
      </c>
      <c r="E770" s="89">
        <f>IF(D770="","",ABS(D770-$E$5)/$F$5)</f>
        <v>0.58773499125995132</v>
      </c>
      <c r="F770" s="89">
        <f>IF(D770="","",ABS(D770-$G$5)/$H$5)</f>
        <v>1.0376106654870325</v>
      </c>
      <c r="G770" s="89">
        <f>IF(D770="","",ABS(D770-$E$5)/SQRT(0.9*(IF(G769="",$F$5^2,(ABS(D769-$E$5)/MAX(G769,0.0000000001))^2))+0.1*(D770-$E$5)^2))</f>
        <v>0.75263853700227146</v>
      </c>
      <c r="H770" s="90" t="str">
        <f>IF(E770="","",IF(E770&gt;$I$5,"OUTLIER",""))</f>
        <v/>
      </c>
      <c r="I770" s="90" t="str">
        <f>IF(F770="","",IF(F770&gt;$I$5,"OUTLIER",""))</f>
        <v/>
      </c>
      <c r="J770" s="90" t="str">
        <f>IF(G770="","",IF(G770&gt;$I$5,"OUTLIER",""))</f>
        <v/>
      </c>
      <c r="K770" s="90" t="str">
        <f>IF(C770="","MISSING","")</f>
        <v/>
      </c>
      <c r="L770" s="90" t="str">
        <f>IF(AND(C770&lt;&gt;"",C769&lt;&gt;"",C770=C769),"STALE","")</f>
        <v/>
      </c>
      <c r="M770" s="106">
        <f>IF(D770="","",ABS(D770-G$5))</f>
        <v>3.1029157804045209E-3</v>
      </c>
    </row>
    <row r="771" spans="2:13" ht="12.75" customHeight="1" x14ac:dyDescent="0.55000000000000004">
      <c r="B771" s="97">
        <v>46001</v>
      </c>
      <c r="C771" s="89">
        <v>1.1639999999999999</v>
      </c>
      <c r="D771" s="91">
        <f>IF(OR(C771="",C770=""),"",LN(C771/C770))</f>
        <v>1.719690879526679E-3</v>
      </c>
      <c r="E771" s="89">
        <f>IF(D771="","",ABS(D771-$E$5)/$F$5)</f>
        <v>0.31355060733291351</v>
      </c>
      <c r="F771" s="89">
        <f>IF(D771="","",ABS(D771-$G$5)/$H$5)</f>
        <v>0.57506220736195202</v>
      </c>
      <c r="G771" s="89">
        <f>IF(D771="","",ABS(D771-$E$5)/SQRT(0.9*(IF(G770="",$F$5^2,(ABS(D770-$E$5)/MAX(G770,0.0000000001))^2))+0.1*(D771-$E$5)^2))</f>
        <v>0.41950374249734695</v>
      </c>
      <c r="H771" s="90" t="str">
        <f>IF(E771="","",IF(E771&gt;$I$5,"OUTLIER",""))</f>
        <v/>
      </c>
      <c r="I771" s="90" t="str">
        <f>IF(F771="","",IF(F771&gt;$I$5,"OUTLIER",""))</f>
        <v/>
      </c>
      <c r="J771" s="90" t="str">
        <f>IF(G771="","",IF(G771&gt;$I$5,"OUTLIER",""))</f>
        <v/>
      </c>
      <c r="K771" s="90" t="str">
        <f>IF(C771="","MISSING","")</f>
        <v/>
      </c>
      <c r="L771" s="90" t="str">
        <f>IF(AND(C771&lt;&gt;"",C770&lt;&gt;"",C771=C770),"STALE","")</f>
        <v/>
      </c>
      <c r="M771" s="106">
        <f>IF(D771="","",ABS(D771-G$5))</f>
        <v>1.719690879526679E-3</v>
      </c>
    </row>
    <row r="772" spans="2:13" ht="12.75" customHeight="1" x14ac:dyDescent="0.55000000000000004">
      <c r="B772" s="97">
        <v>46002</v>
      </c>
      <c r="C772" s="89">
        <v>1.1666000000000001</v>
      </c>
      <c r="D772" s="91">
        <f>IF(OR(C772="",C771=""),"",LN(C772/C771))</f>
        <v>2.2311860281543205E-3</v>
      </c>
      <c r="E772" s="89">
        <f>IF(D772="","",ABS(D772-$E$5)/$F$5)</f>
        <v>0.41493974666892092</v>
      </c>
      <c r="F772" s="89">
        <f>IF(D772="","",ABS(D772-$G$5)/$H$5)</f>
        <v>0.74610546445342396</v>
      </c>
      <c r="G772" s="89">
        <f>IF(D772="","",ABS(D772-$E$5)/SQRT(0.9*(IF(G771="",$F$5^2,(ABS(D771-$E$5)/MAX(G771,0.0000000001))^2))+0.1*(D772-$E$5)^2))</f>
        <v>0.57541407378131504</v>
      </c>
      <c r="H772" s="90" t="str">
        <f>IF(E772="","",IF(E772&gt;$I$5,"OUTLIER",""))</f>
        <v/>
      </c>
      <c r="I772" s="90" t="str">
        <f>IF(F772="","",IF(F772&gt;$I$5,"OUTLIER",""))</f>
        <v/>
      </c>
      <c r="J772" s="90" t="str">
        <f>IF(G772="","",IF(G772&gt;$I$5,"OUTLIER",""))</f>
        <v/>
      </c>
      <c r="K772" s="90" t="str">
        <f>IF(C772="","MISSING","")</f>
        <v/>
      </c>
      <c r="L772" s="90" t="str">
        <f>IF(AND(C772&lt;&gt;"",C771&lt;&gt;"",C772=C771),"STALE","")</f>
        <v/>
      </c>
      <c r="M772" s="106">
        <f>IF(D772="","",ABS(D772-G$5))</f>
        <v>2.2311860281543205E-3</v>
      </c>
    </row>
    <row r="773" spans="2:13" ht="12.75" customHeight="1" x14ac:dyDescent="0.55000000000000004">
      <c r="B773" s="97">
        <v>46003</v>
      </c>
      <c r="C773" s="89">
        <v>1.1666000000000001</v>
      </c>
      <c r="D773" s="91">
        <f>IF(OR(C773="",C772=""),"",LN(C773/C772))</f>
        <v>0</v>
      </c>
      <c r="E773" s="89">
        <f>IF(D773="","",ABS(D773-$E$5)/$F$5)</f>
        <v>2.7328438474265301E-2</v>
      </c>
      <c r="F773" s="89">
        <f>IF(D773="","",ABS(D773-$G$5)/$H$5)</f>
        <v>0</v>
      </c>
      <c r="G773" s="89">
        <f>IF(D773="","",ABS(D773-$E$5)/SQRT(0.9*(IF(G772="",$F$5^2,(ABS(D772-$E$5)/MAX(G772,0.0000000001))^2))+0.1*(D773-$E$5)^2))</f>
        <v>3.9944257736826479E-2</v>
      </c>
      <c r="H773" s="90" t="str">
        <f>IF(E773="","",IF(E773&gt;$I$5,"OUTLIER",""))</f>
        <v/>
      </c>
      <c r="I773" s="90" t="str">
        <f>IF(F773="","",IF(F773&gt;$I$5,"OUTLIER",""))</f>
        <v/>
      </c>
      <c r="J773" s="90" t="str">
        <f>IF(G773="","",IF(G773&gt;$I$5,"OUTLIER",""))</f>
        <v/>
      </c>
      <c r="K773" s="90" t="str">
        <f>IF(C773="","MISSING","")</f>
        <v/>
      </c>
      <c r="L773" s="90" t="str">
        <f>IF(AND(C773&lt;&gt;"",C772&lt;&gt;"",C773=C772),"STALE","")</f>
        <v>STALE</v>
      </c>
      <c r="M773" s="106">
        <f>IF(D773="","",ABS(D773-G$5))</f>
        <v>0</v>
      </c>
    </row>
    <row r="774" spans="2:13" ht="12.75" customHeight="1" x14ac:dyDescent="0.55000000000000004">
      <c r="B774" s="97">
        <v>46006</v>
      </c>
      <c r="C774" s="89">
        <v>1.1700999999999999</v>
      </c>
      <c r="D774" s="91">
        <f>IF(OR(C774="",C773=""),"",LN(C774/C773))</f>
        <v>2.9956799053749358E-3</v>
      </c>
      <c r="E774" s="89">
        <f>IF(D774="","",ABS(D774-$E$5)/$F$5)</f>
        <v>0.56647857640564692</v>
      </c>
      <c r="F774" s="89">
        <f>IF(D774="","",ABS(D774-$G$5)/$H$5)</f>
        <v>1.0017511399542365</v>
      </c>
      <c r="G774" s="89">
        <f>IF(D774="","",ABS(D774-$E$5)/SQRT(0.9*(IF(G773="",$F$5^2,(ABS(D773-$E$5)/MAX(G773,0.0000000001))^2))+0.1*(D774-$E$5)^2))</f>
        <v>0.84131888862916182</v>
      </c>
      <c r="H774" s="90" t="str">
        <f>IF(E774="","",IF(E774&gt;$I$5,"OUTLIER",""))</f>
        <v/>
      </c>
      <c r="I774" s="90" t="str">
        <f>IF(F774="","",IF(F774&gt;$I$5,"OUTLIER",""))</f>
        <v/>
      </c>
      <c r="J774" s="90" t="str">
        <f>IF(G774="","",IF(G774&gt;$I$5,"OUTLIER",""))</f>
        <v/>
      </c>
      <c r="K774" s="90" t="str">
        <f>IF(C774="","MISSING","")</f>
        <v/>
      </c>
      <c r="L774" s="90" t="str">
        <f>IF(AND(C774&lt;&gt;"",C773&lt;&gt;"",C774=C773),"STALE","")</f>
        <v/>
      </c>
      <c r="M774" s="106">
        <f>IF(D774="","",ABS(D774-G$5))</f>
        <v>2.9956799053749358E-3</v>
      </c>
    </row>
    <row r="775" spans="2:13" ht="12.75" customHeight="1" x14ac:dyDescent="0.55000000000000004">
      <c r="B775" s="97">
        <v>46007</v>
      </c>
      <c r="C775" s="89">
        <v>1.1692</v>
      </c>
      <c r="D775" s="91">
        <f>IF(OR(C775="",C774=""),"",LN(C775/C774))</f>
        <v>-7.6946098782123065E-4</v>
      </c>
      <c r="E775" s="89">
        <f>IF(D775="","",ABS(D775-$E$5)/$F$5)</f>
        <v>0.17985185441896281</v>
      </c>
      <c r="F775" s="89">
        <f>IF(D775="","",ABS(D775-$G$5)/$H$5)</f>
        <v>0.25730667028784476</v>
      </c>
      <c r="G775" s="89">
        <f>IF(D775="","",ABS(D775-$E$5)/SQRT(0.9*(IF(G774="",$F$5^2,(ABS(D774-$E$5)/MAX(G774,0.0000000001))^2))+0.1*(D775-$E$5)^2))</f>
        <v>0.28045045339809799</v>
      </c>
      <c r="H775" s="90" t="str">
        <f>IF(E775="","",IF(E775&gt;$I$5,"OUTLIER",""))</f>
        <v/>
      </c>
      <c r="I775" s="90" t="str">
        <f>IF(F775="","",IF(F775&gt;$I$5,"OUTLIER",""))</f>
        <v/>
      </c>
      <c r="J775" s="90" t="str">
        <f>IF(G775="","",IF(G775&gt;$I$5,"OUTLIER",""))</f>
        <v/>
      </c>
      <c r="K775" s="90" t="str">
        <f>IF(C775="","MISSING","")</f>
        <v/>
      </c>
      <c r="L775" s="90" t="str">
        <f>IF(AND(C775&lt;&gt;"",C774&lt;&gt;"",C775=C774),"STALE","")</f>
        <v/>
      </c>
      <c r="M775" s="106">
        <f>IF(D775="","",ABS(D775-G$5))</f>
        <v>7.6946098782123065E-4</v>
      </c>
    </row>
    <row r="776" spans="2:13" ht="12.75" customHeight="1" x14ac:dyDescent="0.55000000000000004">
      <c r="B776" s="97">
        <v>46008</v>
      </c>
      <c r="C776" s="89">
        <v>1.1672</v>
      </c>
      <c r="D776" s="91">
        <f>IF(OR(C776="",C775=""),"",LN(C776/C775))</f>
        <v>-1.7120360285150162E-3</v>
      </c>
      <c r="E776" s="89">
        <f>IF(D776="","",ABS(D776-$E$5)/$F$5)</f>
        <v>0.36669013116890686</v>
      </c>
      <c r="F776" s="89">
        <f>IF(D776="","",ABS(D776-$G$5)/$H$5)</f>
        <v>0.5725024359680343</v>
      </c>
      <c r="G776" s="89">
        <f>IF(D776="","",ABS(D776-$E$5)/SQRT(0.9*(IF(G775="",$F$5^2,(ABS(D775-$E$5)/MAX(G775,0.0000000001))^2))+0.1*(D776-$E$5)^2))</f>
        <v>0.59206669486757157</v>
      </c>
      <c r="H776" s="90" t="str">
        <f>IF(E776="","",IF(E776&gt;$I$5,"OUTLIER",""))</f>
        <v/>
      </c>
      <c r="I776" s="90" t="str">
        <f>IF(F776="","",IF(F776&gt;$I$5,"OUTLIER",""))</f>
        <v/>
      </c>
      <c r="J776" s="90" t="str">
        <f>IF(G776="","",IF(G776&gt;$I$5,"OUTLIER",""))</f>
        <v/>
      </c>
      <c r="K776" s="90" t="str">
        <f>IF(C776="","MISSING","")</f>
        <v/>
      </c>
      <c r="L776" s="90" t="str">
        <f>IF(AND(C776&lt;&gt;"",C775&lt;&gt;"",C776=C775),"STALE","")</f>
        <v/>
      </c>
      <c r="M776" s="106">
        <f>IF(D776="","",ABS(D776-G$5))</f>
        <v>1.7120360285150162E-3</v>
      </c>
    </row>
    <row r="777" spans="2:13" ht="12.75" customHeight="1" x14ac:dyDescent="0.55000000000000004">
      <c r="B777" s="97">
        <v>46009</v>
      </c>
      <c r="C777" s="89">
        <v>1.1618999999999999</v>
      </c>
      <c r="D777" s="91">
        <f>IF(OR(C777="",C776=""),"",LN(C777/C776))</f>
        <v>-4.551122019759807E-3</v>
      </c>
      <c r="E777" s="89">
        <f>IF(D777="","",ABS(D777-$E$5)/$F$5)</f>
        <v>0.92945692558629778</v>
      </c>
      <c r="F777" s="89">
        <f>IF(D777="","",ABS(D777-$G$5)/$H$5)</f>
        <v>1.521888791651324</v>
      </c>
      <c r="G777" s="89">
        <f>IF(D777="","",ABS(D777-$E$5)/SQRT(0.9*(IF(G776="",$F$5^2,(ABS(D776-$E$5)/MAX(G776,0.0000000001))^2))+0.1*(D777-$E$5)^2))</f>
        <v>1.4147591666643191</v>
      </c>
      <c r="H777" s="90" t="str">
        <f>IF(E777="","",IF(E777&gt;$I$5,"OUTLIER",""))</f>
        <v/>
      </c>
      <c r="I777" s="90" t="str">
        <f>IF(F777="","",IF(F777&gt;$I$5,"OUTLIER",""))</f>
        <v/>
      </c>
      <c r="J777" s="90" t="str">
        <f>IF(G777="","",IF(G777&gt;$I$5,"OUTLIER",""))</f>
        <v/>
      </c>
      <c r="K777" s="90" t="str">
        <f>IF(C777="","MISSING","")</f>
        <v/>
      </c>
      <c r="L777" s="90" t="str">
        <f>IF(AND(C777&lt;&gt;"",C776&lt;&gt;"",C777=C776),"STALE","")</f>
        <v/>
      </c>
      <c r="M777" s="106">
        <f>IF(D777="","",ABS(D777-G$5))</f>
        <v>4.551122019759807E-3</v>
      </c>
    </row>
    <row r="778" spans="2:13" ht="12.75" customHeight="1" x14ac:dyDescent="0.55000000000000004">
      <c r="B778" s="97">
        <v>46010</v>
      </c>
      <c r="C778" s="89">
        <v>1.1455</v>
      </c>
      <c r="D778" s="91">
        <f>IF(OR(C778="",C777=""),"",LN(C778/C777))</f>
        <v>-1.4215373295265933E-2</v>
      </c>
      <c r="E778" s="89">
        <f>IF(D778="","",ABS(D778-$E$5)/$F$5)</f>
        <v>2.8451156014885979</v>
      </c>
      <c r="F778" s="89">
        <f>IF(D778="","",ABS(D778-$G$5)/$H$5)</f>
        <v>4.7536008028953161</v>
      </c>
      <c r="G778" s="89">
        <f>IF(D778="","",ABS(D778-$E$5)/SQRT(0.9*(IF(G777="",$F$5^2,(ABS(D777-$E$5)/MAX(G777,0.0000000001))^2))+0.1*(D778-$E$5)^2))</f>
        <v>2.5994781878218989</v>
      </c>
      <c r="H778" s="90" t="str">
        <f>IF(E778="","",IF(E778&gt;$I$5,"OUTLIER",""))</f>
        <v/>
      </c>
      <c r="I778" s="90" t="str">
        <f>IF(F778="","",IF(F778&gt;$I$5,"OUTLIER",""))</f>
        <v>OUTLIER</v>
      </c>
      <c r="J778" s="90" t="str">
        <f>IF(G778="","",IF(G778&gt;$I$5,"OUTLIER",""))</f>
        <v/>
      </c>
      <c r="K778" s="90" t="str">
        <f>IF(C778="","MISSING","")</f>
        <v/>
      </c>
      <c r="L778" s="90" t="str">
        <f>IF(AND(C778&lt;&gt;"",C777&lt;&gt;"",C778=C777),"STALE","")</f>
        <v/>
      </c>
      <c r="M778" s="106">
        <f>IF(D778="","",ABS(D778-G$5))</f>
        <v>1.4215373295265933E-2</v>
      </c>
    </row>
    <row r="779" spans="2:13" ht="12.75" customHeight="1" x14ac:dyDescent="0.55000000000000004">
      <c r="B779" s="97">
        <v>46013</v>
      </c>
      <c r="C779" s="89">
        <v>1.1435</v>
      </c>
      <c r="D779" s="91">
        <f>IF(OR(C779="",C778=""),"",LN(C779/C778))</f>
        <v>-1.7474884307143374E-3</v>
      </c>
      <c r="E779" s="89">
        <f>IF(D779="","",ABS(D779-$E$5)/$F$5)</f>
        <v>0.37371754590788786</v>
      </c>
      <c r="F779" s="89">
        <f>IF(D779="","",ABS(D779-$G$5)/$H$5)</f>
        <v>0.58435766931708633</v>
      </c>
      <c r="G779" s="89">
        <f>IF(D779="","",ABS(D779-$E$5)/SQRT(0.9*(IF(G778="",$F$5^2,(ABS(D778-$E$5)/MAX(G778,0.0000000001))^2))+0.1*(D779-$E$5)^2))</f>
        <v>0.35761320627342008</v>
      </c>
      <c r="H779" s="90" t="str">
        <f>IF(E779="","",IF(E779&gt;$I$5,"OUTLIER",""))</f>
        <v/>
      </c>
      <c r="I779" s="90" t="str">
        <f>IF(F779="","",IF(F779&gt;$I$5,"OUTLIER",""))</f>
        <v/>
      </c>
      <c r="J779" s="90" t="str">
        <f>IF(G779="","",IF(G779&gt;$I$5,"OUTLIER",""))</f>
        <v/>
      </c>
      <c r="K779" s="90" t="str">
        <f>IF(C779="","MISSING","")</f>
        <v/>
      </c>
      <c r="L779" s="90" t="str">
        <f>IF(AND(C779&lt;&gt;"",C778&lt;&gt;"",C779=C778),"STALE","")</f>
        <v/>
      </c>
      <c r="M779" s="106">
        <f>IF(D779="","",ABS(D779-G$5))</f>
        <v>1.7474884307143374E-3</v>
      </c>
    </row>
    <row r="780" spans="2:13" ht="12.75" customHeight="1" x14ac:dyDescent="0.55000000000000004">
      <c r="B780" s="97">
        <v>46014</v>
      </c>
      <c r="C780" s="89">
        <v>1.1440999999999999</v>
      </c>
      <c r="D780" s="91">
        <f>IF(OR(C780="",C779=""),"",LN(C780/C779))</f>
        <v>5.2456724406221757E-4</v>
      </c>
      <c r="E780" s="89">
        <f>IF(D780="","",ABS(D780-$E$5)/$F$5)</f>
        <v>7.6651866210985048E-2</v>
      </c>
      <c r="F780" s="89">
        <f>IF(D780="","",ABS(D780-$G$5)/$H$5)</f>
        <v>0.17541454738843648</v>
      </c>
      <c r="G780" s="89">
        <f>IF(D780="","",ABS(D780-$E$5)/SQRT(0.9*(IF(G779="",$F$5^2,(ABS(D779-$E$5)/MAX(G779,0.0000000001))^2))+0.1*(D780-$E$5)^2))</f>
        <v>7.7293285877114468E-2</v>
      </c>
      <c r="H780" s="90" t="str">
        <f>IF(E780="","",IF(E780&gt;$I$5,"OUTLIER",""))</f>
        <v/>
      </c>
      <c r="I780" s="90" t="str">
        <f>IF(F780="","",IF(F780&gt;$I$5,"OUTLIER",""))</f>
        <v/>
      </c>
      <c r="J780" s="90" t="str">
        <f>IF(G780="","",IF(G780&gt;$I$5,"OUTLIER",""))</f>
        <v/>
      </c>
      <c r="K780" s="90" t="str">
        <f>IF(C780="","MISSING","")</f>
        <v/>
      </c>
      <c r="L780" s="90" t="str">
        <f>IF(AND(C780&lt;&gt;"",C779&lt;&gt;"",C780=C779),"STALE","")</f>
        <v/>
      </c>
      <c r="M780" s="106">
        <f>IF(D780="","",ABS(D780-G$5))</f>
        <v>5.2456724406221757E-4</v>
      </c>
    </row>
    <row r="781" spans="2:13" ht="12.75" customHeight="1" x14ac:dyDescent="0.55000000000000004">
      <c r="B781" s="97">
        <v>46015</v>
      </c>
      <c r="C781" s="89"/>
      <c r="D781" s="91" t="str">
        <f>IF(OR(C781="",C780=""),"",LN(C781/C780))</f>
        <v/>
      </c>
      <c r="E781" s="89" t="str">
        <f>IF(D781="","",ABS(D781-$E$5)/$F$5)</f>
        <v/>
      </c>
      <c r="F781" s="89" t="str">
        <f>IF(D781="","",ABS(D781-$G$5)/$H$5)</f>
        <v/>
      </c>
      <c r="G781" s="89" t="str">
        <f>IF(D781="","",ABS(D781-$E$5)/SQRT(0.9*(IF(G780="",$F$5^2,(ABS(D780-$E$5)/MAX(G780,0.0000000001))^2))+0.1*(D781-$E$5)^2))</f>
        <v/>
      </c>
      <c r="H781" s="90" t="str">
        <f>IF(E781="","",IF(E781&gt;$I$5,"OUTLIER",""))</f>
        <v/>
      </c>
      <c r="I781" s="90" t="str">
        <f>IF(F781="","",IF(F781&gt;$I$5,"OUTLIER",""))</f>
        <v/>
      </c>
      <c r="J781" s="90" t="str">
        <f>IF(G781="","",IF(G781&gt;$I$5,"OUTLIER",""))</f>
        <v/>
      </c>
      <c r="K781" s="90" t="str">
        <f>IF(C781="","MISSING","")</f>
        <v>MISSING</v>
      </c>
      <c r="L781" s="90" t="str">
        <f>IF(AND(C781&lt;&gt;"",C780&lt;&gt;"",C781=C780),"STALE","")</f>
        <v/>
      </c>
      <c r="M781" s="106" t="str">
        <f>IF(D781="","",ABS(D781-G$5))</f>
        <v/>
      </c>
    </row>
    <row r="782" spans="2:13" ht="12.75" customHeight="1" x14ac:dyDescent="0.55000000000000004">
      <c r="B782" s="97">
        <v>46017</v>
      </c>
      <c r="C782" s="89">
        <v>1.1440999999999999</v>
      </c>
      <c r="D782" s="91" t="str">
        <f>IF(OR(C782="",C781=""),"",LN(C782/C781))</f>
        <v/>
      </c>
      <c r="E782" s="89" t="str">
        <f>IF(D782="","",ABS(D782-$E$5)/$F$5)</f>
        <v/>
      </c>
      <c r="F782" s="89" t="str">
        <f>IF(D782="","",ABS(D782-$G$5)/$H$5)</f>
        <v/>
      </c>
      <c r="G782" s="89" t="str">
        <f>IF(D782="","",ABS(D782-$E$5)/SQRT(0.9*(IF(G781="",$F$5^2,(ABS(D781-$E$5)/MAX(G781,0.0000000001))^2))+0.1*(D782-$E$5)^2))</f>
        <v/>
      </c>
      <c r="H782" s="90" t="str">
        <f>IF(E782="","",IF(E782&gt;$I$5,"OUTLIER",""))</f>
        <v/>
      </c>
      <c r="I782" s="90" t="str">
        <f>IF(F782="","",IF(F782&gt;$I$5,"OUTLIER",""))</f>
        <v/>
      </c>
      <c r="J782" s="90" t="str">
        <f>IF(G782="","",IF(G782&gt;$I$5,"OUTLIER",""))</f>
        <v/>
      </c>
      <c r="K782" s="90" t="str">
        <f>IF(C782="","MISSING","")</f>
        <v/>
      </c>
      <c r="L782" s="90" t="str">
        <f>IF(AND(C782&lt;&gt;"",C781&lt;&gt;"",C782=C781),"STALE","")</f>
        <v/>
      </c>
      <c r="M782" s="106" t="str">
        <f>IF(D782="","",ABS(D782-G$5))</f>
        <v/>
      </c>
    </row>
    <row r="783" spans="2:13" ht="12.75" customHeight="1" x14ac:dyDescent="0.55000000000000004">
      <c r="B783" s="97">
        <v>46020</v>
      </c>
      <c r="C783" s="89">
        <v>1.1756</v>
      </c>
      <c r="D783" s="91">
        <f>IF(OR(C783="",C782=""),"",LN(C783/C782))</f>
        <v>2.7160353837864207E-2</v>
      </c>
      <c r="E783" s="89">
        <f>IF(D783="","",ABS(D783-$E$5)/$F$5)</f>
        <v>5.3564272179985677</v>
      </c>
      <c r="F783" s="89">
        <f>IF(D783="","",ABS(D783-$G$5)/$H$5)</f>
        <v>9.0823840590657419</v>
      </c>
      <c r="G783" s="89">
        <f>IF(D783="","",ABS(D783-$E$5)/SQRT(0.9*(IF(G782="",$F$5^2,(ABS(D782-$E$5)/MAX(G782,0.0000000001))^2))+0.1*(D783-$E$5)^2))</f>
        <v>2.7590182773757075</v>
      </c>
      <c r="H783" s="90" t="str">
        <f>IF(E783="","",IF(E783&gt;$I$5,"OUTLIER",""))</f>
        <v>OUTLIER</v>
      </c>
      <c r="I783" s="90" t="str">
        <f>IF(F783="","",IF(F783&gt;$I$5,"OUTLIER",""))</f>
        <v>OUTLIER</v>
      </c>
      <c r="J783" s="90" t="str">
        <f>IF(G783="","",IF(G783&gt;$I$5,"OUTLIER",""))</f>
        <v/>
      </c>
      <c r="K783" s="90" t="str">
        <f>IF(C783="","MISSING","")</f>
        <v/>
      </c>
      <c r="L783" s="90" t="str">
        <f>IF(AND(C783&lt;&gt;"",C782&lt;&gt;"",C783=C782),"STALE","")</f>
        <v/>
      </c>
      <c r="M783" s="106">
        <f>IF(D783="","",ABS(D783-G$5))</f>
        <v>2.7160353837864207E-2</v>
      </c>
    </row>
    <row r="784" spans="2:13" ht="12.75" customHeight="1" x14ac:dyDescent="0.55000000000000004">
      <c r="B784" s="97">
        <v>46021</v>
      </c>
      <c r="C784" s="89">
        <v>1.1765000000000001</v>
      </c>
      <c r="D784" s="91">
        <f>IF(OR(C784="",C783=""),"",LN(C784/C783))</f>
        <v>7.6527362265498521E-4</v>
      </c>
      <c r="E784" s="89">
        <f>IF(D784="","",ABS(D784-$E$5)/$F$5)</f>
        <v>0.12436495327288059</v>
      </c>
      <c r="F784" s="89">
        <f>IF(D784="","",ABS(D784-$G$5)/$H$5)</f>
        <v>0.25590642127553714</v>
      </c>
      <c r="G784" s="89">
        <f>IF(D784="","",ABS(D784-$E$5)/SQRT(0.9*(IF(G783="",$F$5^2,(ABS(D783-$E$5)/MAX(G783,0.0000000001))^2))+0.1*(D784-$E$5)^2))</f>
        <v>6.7508295237168711E-2</v>
      </c>
      <c r="H784" s="90" t="str">
        <f>IF(E784="","",IF(E784&gt;$I$5,"OUTLIER",""))</f>
        <v/>
      </c>
      <c r="I784" s="90" t="str">
        <f>IF(F784="","",IF(F784&gt;$I$5,"OUTLIER",""))</f>
        <v/>
      </c>
      <c r="J784" s="90" t="str">
        <f>IF(G784="","",IF(G784&gt;$I$5,"OUTLIER",""))</f>
        <v/>
      </c>
      <c r="K784" s="90" t="str">
        <f>IF(C784="","MISSING","")</f>
        <v/>
      </c>
      <c r="L784" s="90" t="str">
        <f>IF(AND(C784&lt;&gt;"",C783&lt;&gt;"",C784=C783),"STALE","")</f>
        <v/>
      </c>
      <c r="M784" s="106">
        <f>IF(D784="","",ABS(D784-G$5))</f>
        <v>7.6527362265498521E-4</v>
      </c>
    </row>
    <row r="785" spans="2:13" ht="12.75" customHeight="1" x14ac:dyDescent="0.55000000000000004">
      <c r="B785" s="97">
        <v>46022</v>
      </c>
      <c r="C785" s="89">
        <v>1.1736</v>
      </c>
      <c r="D785" s="91">
        <f>IF(OR(C785="",C784=""),"",LN(C785/C784))</f>
        <v>-2.4679813386453415E-3</v>
      </c>
      <c r="E785" s="89">
        <f>IF(D785="","",ABS(D785-$E$5)/$F$5)</f>
        <v>0.51653445439434709</v>
      </c>
      <c r="F785" s="89">
        <f>IF(D785="","",ABS(D785-$G$5)/$H$5)</f>
        <v>0.82528948267732993</v>
      </c>
      <c r="G785" s="89">
        <f>IF(D785="","",ABS(D785-$E$5)/SQRT(0.9*(IF(G784="",$F$5^2,(ABS(D784-$E$5)/MAX(G784,0.0000000001))^2))+0.1*(D785-$E$5)^2))</f>
        <v>0.29427175306118053</v>
      </c>
      <c r="H785" s="90" t="str">
        <f>IF(E785="","",IF(E785&gt;$I$5,"OUTLIER",""))</f>
        <v/>
      </c>
      <c r="I785" s="90" t="str">
        <f>IF(F785="","",IF(F785&gt;$I$5,"OUTLIER",""))</f>
        <v/>
      </c>
      <c r="J785" s="90" t="str">
        <f>IF(G785="","",IF(G785&gt;$I$5,"OUTLIER",""))</f>
        <v/>
      </c>
      <c r="K785" s="90" t="str">
        <f>IF(C785="","MISSING","")</f>
        <v/>
      </c>
      <c r="L785" s="90" t="str">
        <f>IF(AND(C785&lt;&gt;"",C784&lt;&gt;"",C785=C784),"STALE","")</f>
        <v/>
      </c>
      <c r="M785" s="106">
        <f>IF(D785="","",ABS(D785-G$5))</f>
        <v>2.4679813386453415E-3</v>
      </c>
    </row>
    <row r="786" spans="2:13" ht="12.75" customHeight="1" x14ac:dyDescent="0.55000000000000004"/>
    <row r="787" spans="2:13" ht="12.75" customHeight="1" x14ac:dyDescent="0.55000000000000004"/>
    <row r="788" spans="2:13" ht="12.75" customHeight="1" x14ac:dyDescent="0.55000000000000004"/>
    <row r="789" spans="2:13" ht="12.75" customHeight="1" x14ac:dyDescent="0.55000000000000004"/>
    <row r="790" spans="2:13" ht="12.75" customHeight="1" x14ac:dyDescent="0.55000000000000004"/>
    <row r="791" spans="2:13" ht="12.75" customHeight="1" x14ac:dyDescent="0.55000000000000004"/>
    <row r="792" spans="2:13" ht="12.75" customHeight="1" x14ac:dyDescent="0.55000000000000004"/>
    <row r="793" spans="2:13" ht="12.75" customHeight="1" x14ac:dyDescent="0.55000000000000004"/>
    <row r="794" spans="2:13" ht="12.75" customHeight="1" x14ac:dyDescent="0.55000000000000004"/>
    <row r="795" spans="2:13" ht="12.75" customHeight="1" x14ac:dyDescent="0.55000000000000004"/>
    <row r="796" spans="2:13" ht="12.75" customHeight="1" x14ac:dyDescent="0.55000000000000004"/>
    <row r="797" spans="2:13" ht="12.75" customHeight="1" x14ac:dyDescent="0.55000000000000004"/>
    <row r="798" spans="2:13" ht="12.75" customHeight="1" x14ac:dyDescent="0.55000000000000004"/>
    <row r="799" spans="2:13" ht="12.75" customHeight="1" x14ac:dyDescent="0.55000000000000004"/>
    <row r="800" spans="2:13" ht="12.75" customHeight="1" x14ac:dyDescent="0.55000000000000004"/>
    <row r="801" ht="12.75" customHeight="1" x14ac:dyDescent="0.55000000000000004"/>
    <row r="802" ht="12.75" customHeight="1" x14ac:dyDescent="0.55000000000000004"/>
    <row r="803" ht="12.75" customHeight="1" x14ac:dyDescent="0.55000000000000004"/>
    <row r="804" ht="12.75" customHeight="1" x14ac:dyDescent="0.55000000000000004"/>
    <row r="805" ht="12.75" customHeight="1" x14ac:dyDescent="0.55000000000000004"/>
    <row r="806" ht="12.75" customHeight="1" x14ac:dyDescent="0.55000000000000004"/>
    <row r="807" ht="12.75" customHeight="1" x14ac:dyDescent="0.55000000000000004"/>
    <row r="808" ht="12.75" customHeight="1" x14ac:dyDescent="0.55000000000000004"/>
    <row r="809" ht="12.75" customHeight="1" x14ac:dyDescent="0.55000000000000004"/>
    <row r="810" ht="7.5" customHeight="1" x14ac:dyDescent="0.55000000000000004"/>
    <row r="811" ht="18"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7.5" customHeight="1" x14ac:dyDescent="0.55000000000000004"/>
    <row r="823" ht="18" customHeight="1" x14ac:dyDescent="0.55000000000000004"/>
    <row r="824" ht="18" customHeight="1" x14ac:dyDescent="0.55000000000000004"/>
    <row r="825" ht="13.5" customHeight="1" x14ac:dyDescent="0.55000000000000004"/>
    <row r="826" ht="13.5" customHeight="1" x14ac:dyDescent="0.55000000000000004"/>
    <row r="827" ht="13.5" customHeight="1" x14ac:dyDescent="0.55000000000000004"/>
    <row r="828" ht="13.5" customHeight="1" x14ac:dyDescent="0.55000000000000004"/>
    <row r="829" ht="13.5" customHeight="1" x14ac:dyDescent="0.55000000000000004"/>
    <row r="830" ht="13.5" customHeight="1" x14ac:dyDescent="0.55000000000000004"/>
  </sheetData>
  <mergeCells count="8">
    <mergeCell ref="B525:L525"/>
    <mergeCell ref="B266:L266"/>
    <mergeCell ref="C265:E265"/>
    <mergeCell ref="F265:L265"/>
    <mergeCell ref="B1:L1"/>
    <mergeCell ref="B2:L2"/>
    <mergeCell ref="B4:D4"/>
    <mergeCell ref="B7:L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RF1 CreditSpread</vt:lpstr>
      <vt:lpstr>RF2 SP500</vt:lpstr>
      <vt:lpstr>RF3 EURUSD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Deepak Chaudhary</dc:creator>
  <dc:description/>
  <cp:lastModifiedBy>Deepak Chaudhary</cp:lastModifiedBy>
  <cp:revision>0</cp:revision>
  <dcterms:created xsi:type="dcterms:W3CDTF">2026-03-23T15:12:32Z</dcterms:created>
  <dcterms:modified xsi:type="dcterms:W3CDTF">2026-03-24T17:27:09Z</dcterms:modified>
  <dc:language>en-US</dc:language>
</cp:coreProperties>
</file>