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_MQF\SEM2\Market Risk\"/>
    </mc:Choice>
  </mc:AlternateContent>
  <xr:revisionPtr revIDLastSave="0" documentId="13_ncr:1_{984FDECD-6CA5-430D-88D8-F57A0E87E5A4}" xr6:coauthVersionLast="47" xr6:coauthVersionMax="47" xr10:uidLastSave="{00000000-0000-0000-0000-000000000000}"/>
  <bookViews>
    <workbookView xWindow="-96" yWindow="-96" windowWidth="23232" windowHeight="12432" firstSheet="3" activeTab="5" xr2:uid="{B2D05A59-9074-4A88-911B-EBC7F636BA7F}"/>
  </bookViews>
  <sheets>
    <sheet name="TestingPnL" sheetId="6" r:id="rId1"/>
    <sheet name="Mapping" sheetId="9" r:id="rId2"/>
    <sheet name="TimeSeries" sheetId="8" r:id="rId3"/>
    <sheet name="DataDictionary" sheetId="10" r:id="rId4"/>
    <sheet name="Risk Report" sheetId="11" r:id="rId5"/>
    <sheet name="PnL Vectors" sheetId="12" r:id="rId6"/>
  </sheets>
  <definedNames>
    <definedName name="_xlnm._FilterDatabase" localSheetId="1" hidden="1">Mapping!$A$1:$H$52</definedName>
    <definedName name="_xlnm._FilterDatabase" localSheetId="0" hidden="1">TestingPnL!$A$1:$W$101</definedName>
    <definedName name="_xlnm._FilterDatabase" localSheetId="2" hidden="1">TimeSeries!$A$1:$C$120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1" l="1"/>
  <c r="B44" i="11"/>
  <c r="G109" i="12" l="1"/>
  <c r="H109" i="12"/>
  <c r="I109" i="12"/>
  <c r="J109" i="12"/>
  <c r="K109" i="12"/>
  <c r="L109" i="12"/>
  <c r="M109" i="12"/>
  <c r="N109" i="12"/>
  <c r="O109" i="12"/>
  <c r="P109" i="12"/>
  <c r="G108" i="12"/>
  <c r="H108" i="12"/>
  <c r="I108" i="12"/>
  <c r="J108" i="12"/>
  <c r="K108" i="12"/>
  <c r="L108" i="12"/>
  <c r="Q108" i="12" s="1"/>
  <c r="M108" i="12"/>
  <c r="N108" i="12"/>
  <c r="O108" i="12"/>
  <c r="P108" i="12"/>
  <c r="G107" i="12"/>
  <c r="H107" i="12"/>
  <c r="I107" i="12"/>
  <c r="J107" i="12"/>
  <c r="Q107" i="12" s="1"/>
  <c r="K107" i="12"/>
  <c r="L107" i="12"/>
  <c r="M107" i="12"/>
  <c r="N107" i="12"/>
  <c r="O107" i="12"/>
  <c r="P107" i="12"/>
  <c r="G106" i="12"/>
  <c r="H106" i="12"/>
  <c r="Q106" i="12" s="1"/>
  <c r="I106" i="12"/>
  <c r="J106" i="12"/>
  <c r="K106" i="12"/>
  <c r="L106" i="12"/>
  <c r="M106" i="12"/>
  <c r="N106" i="12"/>
  <c r="O106" i="12"/>
  <c r="P106" i="12"/>
  <c r="G105" i="12"/>
  <c r="H105" i="12"/>
  <c r="I105" i="12"/>
  <c r="J105" i="12"/>
  <c r="K105" i="12"/>
  <c r="L105" i="12"/>
  <c r="M105" i="12"/>
  <c r="N105" i="12"/>
  <c r="Q105" i="12" s="1"/>
  <c r="O105" i="12"/>
  <c r="P105" i="12"/>
  <c r="G104" i="12"/>
  <c r="H104" i="12"/>
  <c r="I104" i="12"/>
  <c r="J104" i="12"/>
  <c r="K104" i="12"/>
  <c r="L104" i="12"/>
  <c r="Q104" i="12" s="1"/>
  <c r="M104" i="12"/>
  <c r="N104" i="12"/>
  <c r="O104" i="12"/>
  <c r="P104" i="12"/>
  <c r="G103" i="12"/>
  <c r="H103" i="12"/>
  <c r="I103" i="12"/>
  <c r="J103" i="12"/>
  <c r="Q103" i="12" s="1"/>
  <c r="K103" i="12"/>
  <c r="L103" i="12"/>
  <c r="M103" i="12"/>
  <c r="N103" i="12"/>
  <c r="O103" i="12"/>
  <c r="P103" i="12"/>
  <c r="G102" i="12"/>
  <c r="H102" i="12"/>
  <c r="Q102" i="12" s="1"/>
  <c r="I102" i="12"/>
  <c r="J102" i="12"/>
  <c r="K102" i="12"/>
  <c r="L102" i="12"/>
  <c r="M102" i="12"/>
  <c r="N102" i="12"/>
  <c r="O102" i="12"/>
  <c r="P102" i="12"/>
  <c r="G101" i="12"/>
  <c r="H101" i="12"/>
  <c r="I101" i="12"/>
  <c r="J101" i="12"/>
  <c r="K101" i="12"/>
  <c r="L101" i="12"/>
  <c r="M101" i="12"/>
  <c r="N101" i="12"/>
  <c r="Q101" i="12" s="1"/>
  <c r="O101" i="12"/>
  <c r="P101" i="12"/>
  <c r="G100" i="12"/>
  <c r="H100" i="12"/>
  <c r="I100" i="12"/>
  <c r="J100" i="12"/>
  <c r="K100" i="12"/>
  <c r="L100" i="12"/>
  <c r="M100" i="12"/>
  <c r="N100" i="12"/>
  <c r="O100" i="12"/>
  <c r="P100" i="12"/>
  <c r="G99" i="12"/>
  <c r="H99" i="12"/>
  <c r="I99" i="12"/>
  <c r="J99" i="12"/>
  <c r="Q99" i="12" s="1"/>
  <c r="K99" i="12"/>
  <c r="L99" i="12"/>
  <c r="M99" i="12"/>
  <c r="N99" i="12"/>
  <c r="O99" i="12"/>
  <c r="P99" i="12"/>
  <c r="G98" i="12"/>
  <c r="H98" i="12"/>
  <c r="Q98" i="12" s="1"/>
  <c r="I98" i="12"/>
  <c r="J98" i="12"/>
  <c r="K98" i="12"/>
  <c r="L98" i="12"/>
  <c r="M98" i="12"/>
  <c r="N98" i="12"/>
  <c r="O98" i="12"/>
  <c r="P98" i="12"/>
  <c r="G97" i="12"/>
  <c r="H97" i="12"/>
  <c r="I97" i="12"/>
  <c r="J97" i="12"/>
  <c r="K97" i="12"/>
  <c r="L97" i="12"/>
  <c r="M97" i="12"/>
  <c r="N97" i="12"/>
  <c r="O97" i="12"/>
  <c r="P97" i="12"/>
  <c r="G96" i="12"/>
  <c r="H96" i="12"/>
  <c r="I96" i="12"/>
  <c r="J96" i="12"/>
  <c r="K96" i="12"/>
  <c r="L96" i="12"/>
  <c r="Q96" i="12" s="1"/>
  <c r="M96" i="12"/>
  <c r="N96" i="12"/>
  <c r="O96" i="12"/>
  <c r="P96" i="12"/>
  <c r="G95" i="12"/>
  <c r="H95" i="12"/>
  <c r="I95" i="12"/>
  <c r="J95" i="12"/>
  <c r="Q95" i="12" s="1"/>
  <c r="K95" i="12"/>
  <c r="L95" i="12"/>
  <c r="M95" i="12"/>
  <c r="N95" i="12"/>
  <c r="O95" i="12"/>
  <c r="P95" i="12"/>
  <c r="G94" i="12"/>
  <c r="H94" i="12"/>
  <c r="Q94" i="12" s="1"/>
  <c r="I94" i="12"/>
  <c r="J94" i="12"/>
  <c r="K94" i="12"/>
  <c r="L94" i="12"/>
  <c r="M94" i="12"/>
  <c r="N94" i="12"/>
  <c r="O94" i="12"/>
  <c r="P94" i="12"/>
  <c r="G93" i="12"/>
  <c r="H93" i="12"/>
  <c r="I93" i="12"/>
  <c r="J93" i="12"/>
  <c r="K93" i="12"/>
  <c r="L93" i="12"/>
  <c r="M93" i="12"/>
  <c r="N93" i="12"/>
  <c r="Q93" i="12" s="1"/>
  <c r="O93" i="12"/>
  <c r="P93" i="12"/>
  <c r="G92" i="12"/>
  <c r="H92" i="12"/>
  <c r="I92" i="12"/>
  <c r="J92" i="12"/>
  <c r="K92" i="12"/>
  <c r="L92" i="12"/>
  <c r="Q92" i="12" s="1"/>
  <c r="M92" i="12"/>
  <c r="N92" i="12"/>
  <c r="O92" i="12"/>
  <c r="P92" i="12"/>
  <c r="G91" i="12"/>
  <c r="H91" i="12"/>
  <c r="I91" i="12"/>
  <c r="J91" i="12"/>
  <c r="K91" i="12"/>
  <c r="L91" i="12"/>
  <c r="M91" i="12"/>
  <c r="N91" i="12"/>
  <c r="O91" i="12"/>
  <c r="P91" i="12"/>
  <c r="G90" i="12"/>
  <c r="H90" i="12"/>
  <c r="Q90" i="12" s="1"/>
  <c r="I90" i="12"/>
  <c r="J90" i="12"/>
  <c r="K90" i="12"/>
  <c r="L90" i="12"/>
  <c r="M90" i="12"/>
  <c r="N90" i="12"/>
  <c r="O90" i="12"/>
  <c r="P90" i="12"/>
  <c r="G89" i="12"/>
  <c r="H89" i="12"/>
  <c r="I89" i="12"/>
  <c r="J89" i="12"/>
  <c r="K89" i="12"/>
  <c r="L89" i="12"/>
  <c r="M89" i="12"/>
  <c r="N89" i="12"/>
  <c r="Q89" i="12" s="1"/>
  <c r="O89" i="12"/>
  <c r="P89" i="12"/>
  <c r="G88" i="12"/>
  <c r="H88" i="12"/>
  <c r="I88" i="12"/>
  <c r="J88" i="12"/>
  <c r="K88" i="12"/>
  <c r="L88" i="12"/>
  <c r="Q88" i="12" s="1"/>
  <c r="M88" i="12"/>
  <c r="N88" i="12"/>
  <c r="O88" i="12"/>
  <c r="P88" i="12"/>
  <c r="G87" i="12"/>
  <c r="H87" i="12"/>
  <c r="I87" i="12"/>
  <c r="J87" i="12"/>
  <c r="Q87" i="12" s="1"/>
  <c r="K87" i="12"/>
  <c r="L87" i="12"/>
  <c r="M87" i="12"/>
  <c r="N87" i="12"/>
  <c r="O87" i="12"/>
  <c r="P87" i="12"/>
  <c r="G86" i="12"/>
  <c r="H86" i="12"/>
  <c r="Q86" i="12" s="1"/>
  <c r="I86" i="12"/>
  <c r="J86" i="12"/>
  <c r="K86" i="12"/>
  <c r="L86" i="12"/>
  <c r="M86" i="12"/>
  <c r="N86" i="12"/>
  <c r="O86" i="12"/>
  <c r="P86" i="12"/>
  <c r="G85" i="12"/>
  <c r="H85" i="12"/>
  <c r="I85" i="12"/>
  <c r="J85" i="12"/>
  <c r="K85" i="12"/>
  <c r="L85" i="12"/>
  <c r="M85" i="12"/>
  <c r="N85" i="12"/>
  <c r="Q85" i="12" s="1"/>
  <c r="O85" i="12"/>
  <c r="P85" i="12"/>
  <c r="G84" i="12"/>
  <c r="H84" i="12"/>
  <c r="I84" i="12"/>
  <c r="J84" i="12"/>
  <c r="K84" i="12"/>
  <c r="L84" i="12"/>
  <c r="Q84" i="12" s="1"/>
  <c r="M84" i="12"/>
  <c r="N84" i="12"/>
  <c r="O84" i="12"/>
  <c r="P84" i="12"/>
  <c r="G83" i="12"/>
  <c r="H83" i="12"/>
  <c r="I83" i="12"/>
  <c r="J83" i="12"/>
  <c r="Q83" i="12" s="1"/>
  <c r="K83" i="12"/>
  <c r="L83" i="12"/>
  <c r="M83" i="12"/>
  <c r="N83" i="12"/>
  <c r="O83" i="12"/>
  <c r="P83" i="12"/>
  <c r="G82" i="12"/>
  <c r="H82" i="12"/>
  <c r="I82" i="12"/>
  <c r="J82" i="12"/>
  <c r="K82" i="12"/>
  <c r="L82" i="12"/>
  <c r="M82" i="12"/>
  <c r="N82" i="12"/>
  <c r="O82" i="12"/>
  <c r="P82" i="12"/>
  <c r="G81" i="12"/>
  <c r="H81" i="12"/>
  <c r="I81" i="12"/>
  <c r="J81" i="12"/>
  <c r="K81" i="12"/>
  <c r="L81" i="12"/>
  <c r="M81" i="12"/>
  <c r="N81" i="12"/>
  <c r="Q81" i="12" s="1"/>
  <c r="O81" i="12"/>
  <c r="P81" i="12"/>
  <c r="G80" i="12"/>
  <c r="H80" i="12"/>
  <c r="I80" i="12"/>
  <c r="J80" i="12"/>
  <c r="K80" i="12"/>
  <c r="L80" i="12"/>
  <c r="Q80" i="12" s="1"/>
  <c r="M80" i="12"/>
  <c r="N80" i="12"/>
  <c r="O80" i="12"/>
  <c r="P80" i="12"/>
  <c r="G79" i="12"/>
  <c r="H79" i="12"/>
  <c r="I79" i="12"/>
  <c r="J79" i="12"/>
  <c r="Q79" i="12" s="1"/>
  <c r="K79" i="12"/>
  <c r="L79" i="12"/>
  <c r="M79" i="12"/>
  <c r="N79" i="12"/>
  <c r="O79" i="12"/>
  <c r="P79" i="12"/>
  <c r="G78" i="12"/>
  <c r="H78" i="12"/>
  <c r="Q78" i="12" s="1"/>
  <c r="I78" i="12"/>
  <c r="J78" i="12"/>
  <c r="K78" i="12"/>
  <c r="L78" i="12"/>
  <c r="M78" i="12"/>
  <c r="N78" i="12"/>
  <c r="O78" i="12"/>
  <c r="P78" i="12"/>
  <c r="G77" i="12"/>
  <c r="H77" i="12"/>
  <c r="I77" i="12"/>
  <c r="J77" i="12"/>
  <c r="K77" i="12"/>
  <c r="L77" i="12"/>
  <c r="M77" i="12"/>
  <c r="N77" i="12"/>
  <c r="Q77" i="12" s="1"/>
  <c r="O77" i="12"/>
  <c r="P77" i="12"/>
  <c r="G76" i="12"/>
  <c r="H76" i="12"/>
  <c r="I76" i="12"/>
  <c r="J76" i="12"/>
  <c r="K76" i="12"/>
  <c r="L76" i="12"/>
  <c r="Q76" i="12" s="1"/>
  <c r="M76" i="12"/>
  <c r="N76" i="12"/>
  <c r="O76" i="12"/>
  <c r="P76" i="12"/>
  <c r="G75" i="12"/>
  <c r="H75" i="12"/>
  <c r="I75" i="12"/>
  <c r="J75" i="12"/>
  <c r="Q75" i="12" s="1"/>
  <c r="K75" i="12"/>
  <c r="L75" i="12"/>
  <c r="M75" i="12"/>
  <c r="N75" i="12"/>
  <c r="O75" i="12"/>
  <c r="P75" i="12"/>
  <c r="G74" i="12"/>
  <c r="H74" i="12"/>
  <c r="Q74" i="12" s="1"/>
  <c r="I74" i="12"/>
  <c r="J74" i="12"/>
  <c r="K74" i="12"/>
  <c r="L74" i="12"/>
  <c r="M74" i="12"/>
  <c r="N74" i="12"/>
  <c r="O74" i="12"/>
  <c r="P74" i="12"/>
  <c r="G73" i="12"/>
  <c r="H73" i="12"/>
  <c r="I73" i="12"/>
  <c r="J73" i="12"/>
  <c r="K73" i="12"/>
  <c r="L73" i="12"/>
  <c r="M73" i="12"/>
  <c r="N73" i="12"/>
  <c r="O73" i="12"/>
  <c r="P73" i="12"/>
  <c r="G72" i="12"/>
  <c r="H72" i="12"/>
  <c r="I72" i="12"/>
  <c r="J72" i="12"/>
  <c r="K72" i="12"/>
  <c r="L72" i="12"/>
  <c r="Q72" i="12" s="1"/>
  <c r="M72" i="12"/>
  <c r="N72" i="12"/>
  <c r="O72" i="12"/>
  <c r="P72" i="12"/>
  <c r="G71" i="12"/>
  <c r="H71" i="12"/>
  <c r="I71" i="12"/>
  <c r="J71" i="12"/>
  <c r="Q71" i="12" s="1"/>
  <c r="K71" i="12"/>
  <c r="L71" i="12"/>
  <c r="M71" i="12"/>
  <c r="N71" i="12"/>
  <c r="O71" i="12"/>
  <c r="P71" i="12"/>
  <c r="G70" i="12"/>
  <c r="H70" i="12"/>
  <c r="Q70" i="12" s="1"/>
  <c r="I70" i="12"/>
  <c r="J70" i="12"/>
  <c r="K70" i="12"/>
  <c r="L70" i="12"/>
  <c r="M70" i="12"/>
  <c r="N70" i="12"/>
  <c r="O70" i="12"/>
  <c r="P70" i="12"/>
  <c r="G69" i="12"/>
  <c r="H69" i="12"/>
  <c r="I69" i="12"/>
  <c r="J69" i="12"/>
  <c r="K69" i="12"/>
  <c r="L69" i="12"/>
  <c r="M69" i="12"/>
  <c r="N69" i="12"/>
  <c r="Q69" i="12" s="1"/>
  <c r="O69" i="12"/>
  <c r="P69" i="12"/>
  <c r="G68" i="12"/>
  <c r="H68" i="12"/>
  <c r="I68" i="12"/>
  <c r="J68" i="12"/>
  <c r="K68" i="12"/>
  <c r="L68" i="12"/>
  <c r="Q68" i="12" s="1"/>
  <c r="M68" i="12"/>
  <c r="N68" i="12"/>
  <c r="O68" i="12"/>
  <c r="P68" i="12"/>
  <c r="G67" i="12"/>
  <c r="H67" i="12"/>
  <c r="I67" i="12"/>
  <c r="J67" i="12"/>
  <c r="Q67" i="12" s="1"/>
  <c r="K67" i="12"/>
  <c r="L67" i="12"/>
  <c r="M67" i="12"/>
  <c r="N67" i="12"/>
  <c r="O67" i="12"/>
  <c r="P67" i="12"/>
  <c r="G66" i="12"/>
  <c r="H66" i="12"/>
  <c r="Q66" i="12" s="1"/>
  <c r="I66" i="12"/>
  <c r="J66" i="12"/>
  <c r="K66" i="12"/>
  <c r="L66" i="12"/>
  <c r="M66" i="12"/>
  <c r="N66" i="12"/>
  <c r="O66" i="12"/>
  <c r="P66" i="12"/>
  <c r="G65" i="12"/>
  <c r="H65" i="12"/>
  <c r="I65" i="12"/>
  <c r="J65" i="12"/>
  <c r="K65" i="12"/>
  <c r="L65" i="12"/>
  <c r="M65" i="12"/>
  <c r="N65" i="12"/>
  <c r="Q65" i="12" s="1"/>
  <c r="O65" i="12"/>
  <c r="P65" i="12"/>
  <c r="G64" i="12"/>
  <c r="H64" i="12"/>
  <c r="I64" i="12"/>
  <c r="J64" i="12"/>
  <c r="K64" i="12"/>
  <c r="L64" i="12"/>
  <c r="Q64" i="12" s="1"/>
  <c r="M64" i="12"/>
  <c r="N64" i="12"/>
  <c r="O64" i="12"/>
  <c r="P64" i="12"/>
  <c r="G63" i="12"/>
  <c r="H63" i="12"/>
  <c r="I63" i="12"/>
  <c r="J63" i="12"/>
  <c r="K63" i="12"/>
  <c r="L63" i="12"/>
  <c r="M63" i="12"/>
  <c r="N63" i="12"/>
  <c r="O63" i="12"/>
  <c r="P63" i="12"/>
  <c r="G62" i="12"/>
  <c r="H62" i="12"/>
  <c r="I62" i="12"/>
  <c r="J62" i="12"/>
  <c r="K62" i="12"/>
  <c r="L62" i="12"/>
  <c r="M62" i="12"/>
  <c r="N62" i="12"/>
  <c r="O62" i="12"/>
  <c r="P62" i="12"/>
  <c r="P110" i="12" s="1"/>
  <c r="G61" i="12"/>
  <c r="H61" i="12"/>
  <c r="I61" i="12"/>
  <c r="J61" i="12"/>
  <c r="K61" i="12"/>
  <c r="L61" i="12"/>
  <c r="M61" i="12"/>
  <c r="N61" i="12"/>
  <c r="Q61" i="12" s="1"/>
  <c r="O61" i="12"/>
  <c r="P61" i="12"/>
  <c r="G60" i="12"/>
  <c r="H60" i="12"/>
  <c r="I60" i="12"/>
  <c r="J60" i="12"/>
  <c r="K60" i="12"/>
  <c r="L60" i="12"/>
  <c r="L110" i="12" s="1"/>
  <c r="M60" i="12"/>
  <c r="N60" i="12"/>
  <c r="O60" i="12"/>
  <c r="P60" i="12"/>
  <c r="G59" i="12"/>
  <c r="H59" i="12"/>
  <c r="I59" i="12"/>
  <c r="J59" i="12"/>
  <c r="Q59" i="12" s="1"/>
  <c r="K59" i="12"/>
  <c r="L59" i="12"/>
  <c r="M59" i="12"/>
  <c r="N59" i="12"/>
  <c r="O59" i="12"/>
  <c r="P59" i="12"/>
  <c r="G54" i="12"/>
  <c r="H54" i="12"/>
  <c r="I54" i="12"/>
  <c r="J54" i="12"/>
  <c r="K54" i="12"/>
  <c r="L54" i="12"/>
  <c r="M54" i="12"/>
  <c r="N54" i="12"/>
  <c r="O54" i="12"/>
  <c r="G53" i="12"/>
  <c r="P53" i="12" s="1"/>
  <c r="H53" i="12"/>
  <c r="I53" i="12"/>
  <c r="J53" i="12"/>
  <c r="K53" i="12"/>
  <c r="L53" i="12"/>
  <c r="M53" i="12"/>
  <c r="N53" i="12"/>
  <c r="O53" i="12"/>
  <c r="G52" i="12"/>
  <c r="H52" i="12"/>
  <c r="I52" i="12"/>
  <c r="J52" i="12"/>
  <c r="K52" i="12"/>
  <c r="L52" i="12"/>
  <c r="M52" i="12"/>
  <c r="N52" i="12"/>
  <c r="P52" i="12" s="1"/>
  <c r="O52" i="12"/>
  <c r="G51" i="12"/>
  <c r="H51" i="12"/>
  <c r="I51" i="12"/>
  <c r="J51" i="12"/>
  <c r="K51" i="12"/>
  <c r="L51" i="12"/>
  <c r="M51" i="12"/>
  <c r="P51" i="12" s="1"/>
  <c r="N51" i="12"/>
  <c r="O51" i="12"/>
  <c r="G50" i="12"/>
  <c r="H50" i="12"/>
  <c r="I50" i="12"/>
  <c r="J50" i="12"/>
  <c r="K50" i="12"/>
  <c r="L50" i="12"/>
  <c r="P50" i="12" s="1"/>
  <c r="M50" i="12"/>
  <c r="N50" i="12"/>
  <c r="O50" i="12"/>
  <c r="G49" i="12"/>
  <c r="H49" i="12"/>
  <c r="I49" i="12"/>
  <c r="J49" i="12"/>
  <c r="K49" i="12"/>
  <c r="P49" i="12" s="1"/>
  <c r="L49" i="12"/>
  <c r="M49" i="12"/>
  <c r="N49" i="12"/>
  <c r="O49" i="12"/>
  <c r="G48" i="12"/>
  <c r="H48" i="12"/>
  <c r="I48" i="12"/>
  <c r="J48" i="12"/>
  <c r="P48" i="12" s="1"/>
  <c r="K48" i="12"/>
  <c r="L48" i="12"/>
  <c r="M48" i="12"/>
  <c r="N48" i="12"/>
  <c r="O48" i="12"/>
  <c r="G47" i="12"/>
  <c r="H47" i="12"/>
  <c r="I47" i="12"/>
  <c r="P47" i="12" s="1"/>
  <c r="J47" i="12"/>
  <c r="K47" i="12"/>
  <c r="L47" i="12"/>
  <c r="M47" i="12"/>
  <c r="N47" i="12"/>
  <c r="O47" i="12"/>
  <c r="G46" i="12"/>
  <c r="H46" i="12"/>
  <c r="P46" i="12" s="1"/>
  <c r="I46" i="12"/>
  <c r="J46" i="12"/>
  <c r="K46" i="12"/>
  <c r="L46" i="12"/>
  <c r="M46" i="12"/>
  <c r="N46" i="12"/>
  <c r="O46" i="12"/>
  <c r="G45" i="12"/>
  <c r="H45" i="12"/>
  <c r="I45" i="12"/>
  <c r="J45" i="12"/>
  <c r="K45" i="12"/>
  <c r="L45" i="12"/>
  <c r="M45" i="12"/>
  <c r="N45" i="12"/>
  <c r="O45" i="12"/>
  <c r="G44" i="12"/>
  <c r="H44" i="12"/>
  <c r="I44" i="12"/>
  <c r="J44" i="12"/>
  <c r="K44" i="12"/>
  <c r="L44" i="12"/>
  <c r="M44" i="12"/>
  <c r="N44" i="12"/>
  <c r="P44" i="12" s="1"/>
  <c r="O44" i="12"/>
  <c r="G43" i="12"/>
  <c r="H43" i="12"/>
  <c r="I43" i="12"/>
  <c r="J43" i="12"/>
  <c r="K43" i="12"/>
  <c r="L43" i="12"/>
  <c r="M43" i="12"/>
  <c r="P43" i="12" s="1"/>
  <c r="N43" i="12"/>
  <c r="O43" i="12"/>
  <c r="G42" i="12"/>
  <c r="H42" i="12"/>
  <c r="I42" i="12"/>
  <c r="J42" i="12"/>
  <c r="K42" i="12"/>
  <c r="L42" i="12"/>
  <c r="P42" i="12" s="1"/>
  <c r="M42" i="12"/>
  <c r="N42" i="12"/>
  <c r="O42" i="12"/>
  <c r="G41" i="12"/>
  <c r="H41" i="12"/>
  <c r="I41" i="12"/>
  <c r="J41" i="12"/>
  <c r="K41" i="12"/>
  <c r="P41" i="12" s="1"/>
  <c r="L41" i="12"/>
  <c r="M41" i="12"/>
  <c r="N41" i="12"/>
  <c r="O41" i="12"/>
  <c r="G40" i="12"/>
  <c r="H40" i="12"/>
  <c r="I40" i="12"/>
  <c r="J40" i="12"/>
  <c r="P40" i="12" s="1"/>
  <c r="K40" i="12"/>
  <c r="L40" i="12"/>
  <c r="M40" i="12"/>
  <c r="N40" i="12"/>
  <c r="O40" i="12"/>
  <c r="G39" i="12"/>
  <c r="H39" i="12"/>
  <c r="I39" i="12"/>
  <c r="P39" i="12" s="1"/>
  <c r="J39" i="12"/>
  <c r="K39" i="12"/>
  <c r="L39" i="12"/>
  <c r="M39" i="12"/>
  <c r="N39" i="12"/>
  <c r="O39" i="12"/>
  <c r="G38" i="12"/>
  <c r="H38" i="12"/>
  <c r="P38" i="12" s="1"/>
  <c r="I38" i="12"/>
  <c r="J38" i="12"/>
  <c r="K38" i="12"/>
  <c r="L38" i="12"/>
  <c r="M38" i="12"/>
  <c r="N38" i="12"/>
  <c r="O38" i="12"/>
  <c r="G37" i="12"/>
  <c r="P37" i="12" s="1"/>
  <c r="H37" i="12"/>
  <c r="I37" i="12"/>
  <c r="J37" i="12"/>
  <c r="K37" i="12"/>
  <c r="L37" i="12"/>
  <c r="M37" i="12"/>
  <c r="N37" i="12"/>
  <c r="O37" i="12"/>
  <c r="G36" i="12"/>
  <c r="H36" i="12"/>
  <c r="I36" i="12"/>
  <c r="J36" i="12"/>
  <c r="K36" i="12"/>
  <c r="L36" i="12"/>
  <c r="M36" i="12"/>
  <c r="N36" i="12"/>
  <c r="O36" i="12"/>
  <c r="G35" i="12"/>
  <c r="H35" i="12"/>
  <c r="I35" i="12"/>
  <c r="J35" i="12"/>
  <c r="K35" i="12"/>
  <c r="L35" i="12"/>
  <c r="M35" i="12"/>
  <c r="P35" i="12" s="1"/>
  <c r="N35" i="12"/>
  <c r="O35" i="12"/>
  <c r="G34" i="12"/>
  <c r="H34" i="12"/>
  <c r="I34" i="12"/>
  <c r="J34" i="12"/>
  <c r="K34" i="12"/>
  <c r="L34" i="12"/>
  <c r="P34" i="12" s="1"/>
  <c r="M34" i="12"/>
  <c r="N34" i="12"/>
  <c r="O34" i="12"/>
  <c r="G33" i="12"/>
  <c r="H33" i="12"/>
  <c r="I33" i="12"/>
  <c r="J33" i="12"/>
  <c r="K33" i="12"/>
  <c r="P33" i="12" s="1"/>
  <c r="L33" i="12"/>
  <c r="M33" i="12"/>
  <c r="N33" i="12"/>
  <c r="O33" i="12"/>
  <c r="G32" i="12"/>
  <c r="H32" i="12"/>
  <c r="I32" i="12"/>
  <c r="J32" i="12"/>
  <c r="P32" i="12" s="1"/>
  <c r="K32" i="12"/>
  <c r="L32" i="12"/>
  <c r="M32" i="12"/>
  <c r="N32" i="12"/>
  <c r="O32" i="12"/>
  <c r="G31" i="12"/>
  <c r="H31" i="12"/>
  <c r="I31" i="12"/>
  <c r="P31" i="12" s="1"/>
  <c r="J31" i="12"/>
  <c r="K31" i="12"/>
  <c r="L31" i="12"/>
  <c r="M31" i="12"/>
  <c r="N31" i="12"/>
  <c r="O31" i="12"/>
  <c r="G30" i="12"/>
  <c r="H30" i="12"/>
  <c r="P30" i="12" s="1"/>
  <c r="I30" i="12"/>
  <c r="J30" i="12"/>
  <c r="K30" i="12"/>
  <c r="L30" i="12"/>
  <c r="M30" i="12"/>
  <c r="N30" i="12"/>
  <c r="O30" i="12"/>
  <c r="G29" i="12"/>
  <c r="P29" i="12" s="1"/>
  <c r="H29" i="12"/>
  <c r="I29" i="12"/>
  <c r="J29" i="12"/>
  <c r="K29" i="12"/>
  <c r="L29" i="12"/>
  <c r="M29" i="12"/>
  <c r="N29" i="12"/>
  <c r="O29" i="12"/>
  <c r="G28" i="12"/>
  <c r="H28" i="12"/>
  <c r="I28" i="12"/>
  <c r="J28" i="12"/>
  <c r="K28" i="12"/>
  <c r="L28" i="12"/>
  <c r="M28" i="12"/>
  <c r="N28" i="12"/>
  <c r="P28" i="12" s="1"/>
  <c r="O28" i="12"/>
  <c r="G27" i="12"/>
  <c r="H27" i="12"/>
  <c r="I27" i="12"/>
  <c r="J27" i="12"/>
  <c r="K27" i="12"/>
  <c r="L27" i="12"/>
  <c r="M27" i="12"/>
  <c r="N27" i="12"/>
  <c r="O27" i="12"/>
  <c r="G26" i="12"/>
  <c r="H26" i="12"/>
  <c r="I26" i="12"/>
  <c r="J26" i="12"/>
  <c r="K26" i="12"/>
  <c r="L26" i="12"/>
  <c r="P26" i="12" s="1"/>
  <c r="M26" i="12"/>
  <c r="N26" i="12"/>
  <c r="O26" i="12"/>
  <c r="G25" i="12"/>
  <c r="H25" i="12"/>
  <c r="I25" i="12"/>
  <c r="J25" i="12"/>
  <c r="K25" i="12"/>
  <c r="P25" i="12" s="1"/>
  <c r="L25" i="12"/>
  <c r="M25" i="12"/>
  <c r="N25" i="12"/>
  <c r="O25" i="12"/>
  <c r="G24" i="12"/>
  <c r="H24" i="12"/>
  <c r="I24" i="12"/>
  <c r="J24" i="12"/>
  <c r="P24" i="12" s="1"/>
  <c r="K24" i="12"/>
  <c r="L24" i="12"/>
  <c r="M24" i="12"/>
  <c r="N24" i="12"/>
  <c r="O24" i="12"/>
  <c r="G23" i="12"/>
  <c r="H23" i="12"/>
  <c r="I23" i="12"/>
  <c r="P23" i="12" s="1"/>
  <c r="J23" i="12"/>
  <c r="K23" i="12"/>
  <c r="L23" i="12"/>
  <c r="M23" i="12"/>
  <c r="N23" i="12"/>
  <c r="O23" i="12"/>
  <c r="G22" i="12"/>
  <c r="H22" i="12"/>
  <c r="P22" i="12" s="1"/>
  <c r="I22" i="12"/>
  <c r="J22" i="12"/>
  <c r="K22" i="12"/>
  <c r="L22" i="12"/>
  <c r="M22" i="12"/>
  <c r="N22" i="12"/>
  <c r="O22" i="12"/>
  <c r="G21" i="12"/>
  <c r="P21" i="12" s="1"/>
  <c r="H21" i="12"/>
  <c r="I21" i="12"/>
  <c r="J21" i="12"/>
  <c r="K21" i="12"/>
  <c r="L21" i="12"/>
  <c r="M21" i="12"/>
  <c r="N21" i="12"/>
  <c r="O21" i="12"/>
  <c r="G20" i="12"/>
  <c r="H20" i="12"/>
  <c r="I20" i="12"/>
  <c r="J20" i="12"/>
  <c r="K20" i="12"/>
  <c r="L20" i="12"/>
  <c r="M20" i="12"/>
  <c r="N20" i="12"/>
  <c r="P20" i="12" s="1"/>
  <c r="O20" i="12"/>
  <c r="G19" i="12"/>
  <c r="H19" i="12"/>
  <c r="I19" i="12"/>
  <c r="J19" i="12"/>
  <c r="K19" i="12"/>
  <c r="L19" i="12"/>
  <c r="M19" i="12"/>
  <c r="N19" i="12"/>
  <c r="O19" i="12"/>
  <c r="G18" i="12"/>
  <c r="H18" i="12"/>
  <c r="I18" i="12"/>
  <c r="J18" i="12"/>
  <c r="K18" i="12"/>
  <c r="L18" i="12"/>
  <c r="M18" i="12"/>
  <c r="N18" i="12"/>
  <c r="O18" i="12"/>
  <c r="G17" i="12"/>
  <c r="H17" i="12"/>
  <c r="I17" i="12"/>
  <c r="J17" i="12"/>
  <c r="K17" i="12"/>
  <c r="P17" i="12" s="1"/>
  <c r="L17" i="12"/>
  <c r="M17" i="12"/>
  <c r="N17" i="12"/>
  <c r="O17" i="12"/>
  <c r="G16" i="12"/>
  <c r="H16" i="12"/>
  <c r="I16" i="12"/>
  <c r="J16" i="12"/>
  <c r="P16" i="12" s="1"/>
  <c r="K16" i="12"/>
  <c r="L16" i="12"/>
  <c r="M16" i="12"/>
  <c r="N16" i="12"/>
  <c r="O16" i="12"/>
  <c r="G15" i="12"/>
  <c r="H15" i="12"/>
  <c r="I15" i="12"/>
  <c r="P15" i="12" s="1"/>
  <c r="J15" i="12"/>
  <c r="K15" i="12"/>
  <c r="L15" i="12"/>
  <c r="M15" i="12"/>
  <c r="N15" i="12"/>
  <c r="O15" i="12"/>
  <c r="G14" i="12"/>
  <c r="H14" i="12"/>
  <c r="P14" i="12" s="1"/>
  <c r="I14" i="12"/>
  <c r="J14" i="12"/>
  <c r="K14" i="12"/>
  <c r="L14" i="12"/>
  <c r="M14" i="12"/>
  <c r="N14" i="12"/>
  <c r="O14" i="12"/>
  <c r="G13" i="12"/>
  <c r="P13" i="12" s="1"/>
  <c r="H13" i="12"/>
  <c r="I13" i="12"/>
  <c r="J13" i="12"/>
  <c r="K13" i="12"/>
  <c r="L13" i="12"/>
  <c r="M13" i="12"/>
  <c r="N13" i="12"/>
  <c r="O13" i="12"/>
  <c r="O55" i="12" s="1"/>
  <c r="G12" i="12"/>
  <c r="H12" i="12"/>
  <c r="I12" i="12"/>
  <c r="J12" i="12"/>
  <c r="K12" i="12"/>
  <c r="L12" i="12"/>
  <c r="M12" i="12"/>
  <c r="N12" i="12"/>
  <c r="N55" i="12" s="1"/>
  <c r="O12" i="12"/>
  <c r="G11" i="12"/>
  <c r="H11" i="12"/>
  <c r="I11" i="12"/>
  <c r="J11" i="12"/>
  <c r="K11" i="12"/>
  <c r="L11" i="12"/>
  <c r="M11" i="12"/>
  <c r="N11" i="12"/>
  <c r="O11" i="12"/>
  <c r="G10" i="12"/>
  <c r="H10" i="12"/>
  <c r="I10" i="12"/>
  <c r="J10" i="12"/>
  <c r="K10" i="12"/>
  <c r="L10" i="12"/>
  <c r="P10" i="12" s="1"/>
  <c r="M10" i="12"/>
  <c r="N10" i="12"/>
  <c r="O10" i="12"/>
  <c r="G9" i="12"/>
  <c r="H9" i="12"/>
  <c r="I9" i="12"/>
  <c r="J9" i="12"/>
  <c r="K9" i="12"/>
  <c r="P9" i="12" s="1"/>
  <c r="L9" i="12"/>
  <c r="M9" i="12"/>
  <c r="N9" i="12"/>
  <c r="O9" i="12"/>
  <c r="G8" i="12"/>
  <c r="H8" i="12"/>
  <c r="I8" i="12"/>
  <c r="J8" i="12"/>
  <c r="P8" i="12" s="1"/>
  <c r="K8" i="12"/>
  <c r="L8" i="12"/>
  <c r="M8" i="12"/>
  <c r="N8" i="12"/>
  <c r="O8" i="12"/>
  <c r="G7" i="12"/>
  <c r="H7" i="12"/>
  <c r="I7" i="12"/>
  <c r="I55" i="12" s="1"/>
  <c r="J7" i="12"/>
  <c r="K7" i="12"/>
  <c r="L7" i="12"/>
  <c r="M7" i="12"/>
  <c r="N7" i="12"/>
  <c r="O7" i="12"/>
  <c r="G6" i="12"/>
  <c r="H6" i="12"/>
  <c r="H55" i="12" s="1"/>
  <c r="I6" i="12"/>
  <c r="J6" i="12"/>
  <c r="K6" i="12"/>
  <c r="L6" i="12"/>
  <c r="M6" i="12"/>
  <c r="N6" i="12"/>
  <c r="O6" i="12"/>
  <c r="Q109" i="12"/>
  <c r="Q100" i="12"/>
  <c r="Q91" i="12"/>
  <c r="Q82" i="12"/>
  <c r="Q73" i="12"/>
  <c r="Q63" i="12"/>
  <c r="G110" i="12"/>
  <c r="O110" i="12"/>
  <c r="M110" i="12"/>
  <c r="P54" i="12"/>
  <c r="P45" i="12"/>
  <c r="P36" i="12"/>
  <c r="P27" i="12"/>
  <c r="P18" i="12"/>
  <c r="M55" i="12"/>
  <c r="Q97" i="12"/>
  <c r="P19" i="12"/>
  <c r="B3" i="11"/>
  <c r="D17" i="11"/>
  <c r="C17" i="11"/>
  <c r="B17" i="11"/>
  <c r="I110" i="12"/>
  <c r="B57" i="11"/>
  <c r="D56" i="11"/>
  <c r="C56" i="11"/>
  <c r="B56" i="11"/>
  <c r="D55" i="11"/>
  <c r="C55" i="11"/>
  <c r="B55" i="11"/>
  <c r="D54" i="11"/>
  <c r="D57" i="11" s="1"/>
  <c r="C54" i="11"/>
  <c r="C57" i="11" s="1"/>
  <c r="B54" i="11"/>
  <c r="B52" i="11"/>
  <c r="D51" i="11"/>
  <c r="C51" i="11"/>
  <c r="B51" i="11"/>
  <c r="D50" i="11"/>
  <c r="C50" i="11"/>
  <c r="B50" i="11"/>
  <c r="D49" i="11"/>
  <c r="D52" i="11" s="1"/>
  <c r="C49" i="11"/>
  <c r="C52" i="11" s="1"/>
  <c r="B49" i="11"/>
  <c r="A40" i="11"/>
  <c r="A39" i="11"/>
  <c r="A38" i="11"/>
  <c r="A37" i="11"/>
  <c r="A36" i="11"/>
  <c r="A35" i="11"/>
  <c r="A34" i="11"/>
  <c r="A33" i="11"/>
  <c r="A32" i="11"/>
  <c r="A31" i="11"/>
  <c r="H27" i="11"/>
  <c r="G27" i="11"/>
  <c r="F27" i="11"/>
  <c r="E27" i="11"/>
  <c r="D27" i="11"/>
  <c r="C27" i="11"/>
  <c r="B27" i="11"/>
  <c r="H26" i="11"/>
  <c r="G26" i="11"/>
  <c r="F26" i="11"/>
  <c r="E26" i="11"/>
  <c r="D26" i="11"/>
  <c r="C26" i="11"/>
  <c r="B26" i="11"/>
  <c r="H25" i="11"/>
  <c r="G25" i="11"/>
  <c r="F25" i="11"/>
  <c r="E25" i="11"/>
  <c r="D25" i="11"/>
  <c r="C25" i="11"/>
  <c r="B25" i="11"/>
  <c r="H24" i="11"/>
  <c r="G24" i="11"/>
  <c r="F24" i="11"/>
  <c r="E24" i="11"/>
  <c r="D24" i="11"/>
  <c r="C24" i="11"/>
  <c r="B24" i="11"/>
  <c r="H23" i="11"/>
  <c r="G23" i="11"/>
  <c r="F23" i="11"/>
  <c r="E23" i="11"/>
  <c r="D23" i="11"/>
  <c r="C23" i="11"/>
  <c r="B23" i="11"/>
  <c r="H22" i="11"/>
  <c r="G22" i="11"/>
  <c r="F22" i="11"/>
  <c r="E22" i="11"/>
  <c r="D22" i="11"/>
  <c r="C22" i="11"/>
  <c r="B22" i="11"/>
  <c r="H21" i="11"/>
  <c r="G21" i="11"/>
  <c r="F21" i="11"/>
  <c r="E21" i="11"/>
  <c r="D21" i="11"/>
  <c r="C21" i="11"/>
  <c r="B21" i="11"/>
  <c r="H20" i="11"/>
  <c r="G20" i="11"/>
  <c r="F20" i="11"/>
  <c r="E20" i="11"/>
  <c r="D20" i="11"/>
  <c r="C20" i="11"/>
  <c r="B20" i="11"/>
  <c r="H19" i="11"/>
  <c r="G19" i="11"/>
  <c r="F19" i="11"/>
  <c r="E19" i="11"/>
  <c r="D19" i="11"/>
  <c r="C19" i="11"/>
  <c r="B19" i="11"/>
  <c r="H18" i="11"/>
  <c r="G18" i="11"/>
  <c r="F18" i="11"/>
  <c r="E18" i="11"/>
  <c r="D18" i="11"/>
  <c r="C18" i="11"/>
  <c r="B18" i="11"/>
  <c r="H17" i="11"/>
  <c r="G17" i="11"/>
  <c r="F17" i="11"/>
  <c r="E17" i="11"/>
  <c r="H16" i="11"/>
  <c r="G16" i="11"/>
  <c r="F16" i="11"/>
  <c r="F35" i="11" s="1"/>
  <c r="E16" i="11"/>
  <c r="D16" i="11"/>
  <c r="C16" i="11"/>
  <c r="B16" i="11"/>
  <c r="B35" i="11" s="1"/>
  <c r="H15" i="11"/>
  <c r="G15" i="11"/>
  <c r="F15" i="11"/>
  <c r="E15" i="11"/>
  <c r="E34" i="11" s="1"/>
  <c r="D15" i="11"/>
  <c r="C15" i="11"/>
  <c r="B15" i="11"/>
  <c r="H14" i="11"/>
  <c r="H33" i="11" s="1"/>
  <c r="G14" i="11"/>
  <c r="F14" i="11"/>
  <c r="E14" i="11"/>
  <c r="D14" i="11"/>
  <c r="D33" i="11" s="1"/>
  <c r="C14" i="11"/>
  <c r="B14" i="11"/>
  <c r="H13" i="11"/>
  <c r="G13" i="11"/>
  <c r="G32" i="11" s="1"/>
  <c r="F13" i="11"/>
  <c r="E13" i="11"/>
  <c r="D13" i="11"/>
  <c r="C13" i="11"/>
  <c r="C32" i="11" s="1"/>
  <c r="B13" i="11"/>
  <c r="H12" i="11"/>
  <c r="G12" i="11"/>
  <c r="F12" i="11"/>
  <c r="F31" i="11" s="1"/>
  <c r="E12" i="11"/>
  <c r="E31" i="11" s="1"/>
  <c r="D12" i="11"/>
  <c r="C12" i="11"/>
  <c r="B12" i="11"/>
  <c r="H11" i="11"/>
  <c r="G11" i="11"/>
  <c r="G31" i="11" s="1"/>
  <c r="F11" i="11"/>
  <c r="E11" i="11"/>
  <c r="D11" i="11"/>
  <c r="C11" i="11"/>
  <c r="B11" i="11"/>
  <c r="P12" i="12" l="1"/>
  <c r="J110" i="12"/>
  <c r="J55" i="12"/>
  <c r="K55" i="12"/>
  <c r="L55" i="12"/>
  <c r="K110" i="12"/>
  <c r="P11" i="12"/>
  <c r="Q60" i="12"/>
  <c r="Q110" i="12" s="1"/>
  <c r="Q62" i="12"/>
  <c r="G55" i="12"/>
  <c r="N110" i="12"/>
  <c r="P6" i="12"/>
  <c r="P7" i="12"/>
  <c r="H110" i="12"/>
  <c r="G36" i="11"/>
  <c r="H31" i="11"/>
  <c r="B33" i="11"/>
  <c r="C34" i="11"/>
  <c r="D35" i="11"/>
  <c r="H36" i="11"/>
  <c r="B38" i="11"/>
  <c r="C39" i="11"/>
  <c r="D40" i="11"/>
  <c r="F36" i="11"/>
  <c r="B32" i="11"/>
  <c r="C33" i="11"/>
  <c r="D34" i="11"/>
  <c r="E35" i="11"/>
  <c r="J35" i="11" s="1"/>
  <c r="C38" i="11"/>
  <c r="D39" i="11"/>
  <c r="E40" i="11"/>
  <c r="B31" i="11"/>
  <c r="E38" i="11"/>
  <c r="F39" i="11"/>
  <c r="G40" i="11"/>
  <c r="I31" i="11"/>
  <c r="C35" i="11"/>
  <c r="D38" i="11"/>
  <c r="E39" i="11"/>
  <c r="F40" i="11"/>
  <c r="C31" i="11"/>
  <c r="D31" i="11"/>
  <c r="E32" i="11"/>
  <c r="F33" i="11"/>
  <c r="G34" i="11"/>
  <c r="H35" i="11"/>
  <c r="E37" i="11"/>
  <c r="F38" i="11"/>
  <c r="G39" i="11"/>
  <c r="H40" i="11"/>
  <c r="F32" i="11"/>
  <c r="J32" i="11" s="1"/>
  <c r="G33" i="11"/>
  <c r="H34" i="11"/>
  <c r="E36" i="11"/>
  <c r="F37" i="11"/>
  <c r="G38" i="11"/>
  <c r="H39" i="11"/>
  <c r="G37" i="11"/>
  <c r="H38" i="11"/>
  <c r="B40" i="11"/>
  <c r="J40" i="11" s="1"/>
  <c r="H37" i="11"/>
  <c r="B39" i="11"/>
  <c r="J39" i="11" s="1"/>
  <c r="C40" i="11"/>
  <c r="I38" i="11"/>
  <c r="H32" i="11"/>
  <c r="B34" i="11"/>
  <c r="D32" i="11"/>
  <c r="E33" i="11"/>
  <c r="J33" i="11" s="1"/>
  <c r="F34" i="11"/>
  <c r="G35" i="11"/>
  <c r="J31" i="11"/>
  <c r="B36" i="11"/>
  <c r="J36" i="11" s="1"/>
  <c r="C36" i="11"/>
  <c r="D36" i="11"/>
  <c r="D37" i="11"/>
  <c r="C37" i="11"/>
  <c r="B37" i="11"/>
  <c r="P55" i="12" l="1"/>
  <c r="I35" i="11"/>
  <c r="I32" i="11"/>
  <c r="I39" i="11"/>
  <c r="I40" i="11"/>
  <c r="J38" i="11"/>
  <c r="I36" i="11"/>
  <c r="I33" i="11"/>
  <c r="J34" i="11"/>
  <c r="I34" i="11"/>
  <c r="J37" i="11"/>
  <c r="I37" i="11"/>
</calcChain>
</file>

<file path=xl/sharedStrings.xml><?xml version="1.0" encoding="utf-8"?>
<sst xmlns="http://schemas.openxmlformats.org/spreadsheetml/2006/main" count="2705" uniqueCount="311">
  <si>
    <t>COB</t>
  </si>
  <si>
    <t>global_position_id</t>
  </si>
  <si>
    <t>bu risk_system</t>
  </si>
  <si>
    <t>book</t>
  </si>
  <si>
    <t>ticket</t>
  </si>
  <si>
    <t>asset class</t>
  </si>
  <si>
    <t>measure name</t>
  </si>
  <si>
    <t>measure usd</t>
  </si>
  <si>
    <t>mrd mark</t>
  </si>
  <si>
    <t>measure mark</t>
  </si>
  <si>
    <t>term of measure</t>
  </si>
  <si>
    <t>expiration date</t>
  </si>
  <si>
    <t>ccvar term</t>
  </si>
  <si>
    <t>rf curve name</t>
  </si>
  <si>
    <t>index sector</t>
  </si>
  <si>
    <t>index_region</t>
  </si>
  <si>
    <t>index_family</t>
  </si>
  <si>
    <t>ccvar tenor bucket 4</t>
  </si>
  <si>
    <t>ccvar tenor bucket 2</t>
  </si>
  <si>
    <t>ccc_product line</t>
  </si>
  <si>
    <t>baac_pl_rpt_region</t>
  </si>
  <si>
    <t>pnL</t>
  </si>
  <si>
    <t>index_subsector</t>
  </si>
  <si>
    <t>EQUITY_NY.ADEELQ</t>
  </si>
  <si>
    <t>EXOTICS NAM adeelq</t>
  </si>
  <si>
    <t>[NULL]</t>
  </si>
  <si>
    <t>ir</t>
  </si>
  <si>
    <t>asset_pv01spread</t>
  </si>
  <si>
    <t>ig41v1</t>
  </si>
  <si>
    <t>IG</t>
  </si>
  <si>
    <t>NA</t>
  </si>
  <si>
    <t>CDX</t>
  </si>
  <si>
    <t>3-10</t>
  </si>
  <si>
    <t>0-5</t>
  </si>
  <si>
    <t>EXOTIC PRODUCTS</t>
  </si>
  <si>
    <t>NORTH AMERICA</t>
  </si>
  <si>
    <t>.</t>
  </si>
  <si>
    <t>EQUITY_NY.PAlNEMlC3SO</t>
  </si>
  <si>
    <t>EXOTICS NAM painemic</t>
  </si>
  <si>
    <t>0-1</t>
  </si>
  <si>
    <t>ig40v1</t>
  </si>
  <si>
    <t>EQUITY_LN.ISSAMC</t>
  </si>
  <si>
    <t>EXOTICS EUR issamc</t>
  </si>
  <si>
    <t>itrx36_eur</t>
  </si>
  <si>
    <t>EU</t>
  </si>
  <si>
    <t>ITRAXX-European</t>
  </si>
  <si>
    <t>1-3</t>
  </si>
  <si>
    <t>EUROPE</t>
  </si>
  <si>
    <t>EQUITY_LN.BOUTAOMA</t>
  </si>
  <si>
    <t>EXOTICS EUR boutaoma</t>
  </si>
  <si>
    <t>hy41v2</t>
  </si>
  <si>
    <t>HY</t>
  </si>
  <si>
    <t>EQUITY_LN.ANOUARK</t>
  </si>
  <si>
    <t>EXOTICS EUR anouark</t>
  </si>
  <si>
    <t>507elzc</t>
  </si>
  <si>
    <t>C1_ LN.TRACER</t>
  </si>
  <si>
    <t>EQETC</t>
  </si>
  <si>
    <t>pv01sprd comp</t>
  </si>
  <si>
    <t>itrx36 _xo2</t>
  </si>
  <si>
    <t>CO</t>
  </si>
  <si>
    <t>CONVERTIBLE PRODUCTS</t>
  </si>
  <si>
    <t>54ftedh</t>
  </si>
  <si>
    <t>itrx37 _xo2</t>
  </si>
  <si>
    <t>507epfd</t>
  </si>
  <si>
    <t>ITRAxx-European</t>
  </si>
  <si>
    <t>ig38v1</t>
  </si>
  <si>
    <t>EQUITY_NY.MURMIC</t>
  </si>
  <si>
    <t>CONVERTIBLES NAM murmic</t>
  </si>
  <si>
    <t>hy39v3</t>
  </si>
  <si>
    <t>ig39v1</t>
  </si>
  <si>
    <t>54fx7h8</t>
  </si>
  <si>
    <t>EQCOP</t>
  </si>
  <si>
    <t>itrx40_xo</t>
  </si>
  <si>
    <t>CORPORATE EQUITY PRODUCTS</t>
  </si>
  <si>
    <t>EQUITY NY.ADEELQ_</t>
  </si>
  <si>
    <t>EQUITY LN.ISSAMC_</t>
  </si>
  <si>
    <t>itrx40_eur</t>
  </si>
  <si>
    <t>ig37v1</t>
  </si>
  <si>
    <t>5+</t>
  </si>
  <si>
    <t>[NULLI</t>
  </si>
  <si>
    <t>hy37v4</t>
  </si>
  <si>
    <t>NORTH_AMERICA</t>
  </si>
  <si>
    <t>hy40v2</t>
  </si>
  <si>
    <t>EQUITY_NY.PAlNEMlC.2</t>
  </si>
  <si>
    <t>p65tf</t>
  </si>
  <si>
    <t>C1_LN.TRACER</t>
  </si>
  <si>
    <t>itrx39_eur</t>
  </si>
  <si>
    <t>EQUITY_NY.PAINEMIC3S0</t>
  </si>
  <si>
    <t>itrx34_eur</t>
  </si>
  <si>
    <t>itrx35 _xo2</t>
  </si>
  <si>
    <t>itrx33_x06</t>
  </si>
  <si>
    <t>51rs9k3</t>
  </si>
  <si>
    <t>C1_NY.TRACER2</t>
  </si>
  <si>
    <t>E1EZS</t>
  </si>
  <si>
    <t>itrx38_eur</t>
  </si>
  <si>
    <t>hy38v4</t>
  </si>
  <si>
    <t>index_sector</t>
  </si>
  <si>
    <t>Index</t>
  </si>
  <si>
    <t>Year</t>
  </si>
  <si>
    <t>LH</t>
  </si>
  <si>
    <t>B</t>
  </si>
  <si>
    <t>INDEX_SPREAD_CDX_HY_OTR</t>
  </si>
  <si>
    <t>05Y</t>
  </si>
  <si>
    <t>ITRAXX-LEVX</t>
  </si>
  <si>
    <t>LN</t>
  </si>
  <si>
    <t>CI</t>
  </si>
  <si>
    <t>SUB</t>
  </si>
  <si>
    <t>INDEX_SPREAD_ITRX_XO_OTR</t>
  </si>
  <si>
    <t>TRACX-ASIA</t>
  </si>
  <si>
    <t>JP</t>
  </si>
  <si>
    <t>*</t>
  </si>
  <si>
    <t>INDEX_SPREAD_CDX_IG_OTR</t>
  </si>
  <si>
    <t>BB</t>
  </si>
  <si>
    <t>ITRAXX-ASIAN</t>
  </si>
  <si>
    <t>LCDX</t>
  </si>
  <si>
    <t>ITRAXX-EUROPEAN</t>
  </si>
  <si>
    <t>NONFIN</t>
  </si>
  <si>
    <t>INDEX_SPREAD_ITRX_IG_OTR</t>
  </si>
  <si>
    <t>CONS_CYC</t>
  </si>
  <si>
    <t>SEN</t>
  </si>
  <si>
    <t>KO</t>
  </si>
  <si>
    <t>LL</t>
  </si>
  <si>
    <t>SENIOR</t>
  </si>
  <si>
    <t>XO</t>
  </si>
  <si>
    <t>EM</t>
  </si>
  <si>
    <t>INDEX_SPREAD_CDX_EM_OTR</t>
  </si>
  <si>
    <t>FINSB</t>
  </si>
  <si>
    <t>INDEX_SPREAD_ITRX_IG_FINSB_OTR</t>
  </si>
  <si>
    <t>LI</t>
  </si>
  <si>
    <t>ASEXJP</t>
  </si>
  <si>
    <t>CONS</t>
  </si>
  <si>
    <t>TRACX-EUROPE</t>
  </si>
  <si>
    <t>INDUS</t>
  </si>
  <si>
    <t>FINSN</t>
  </si>
  <si>
    <t>INDEX_SPREAD_ITRX_IG_FINSN_OTR</t>
  </si>
  <si>
    <t>AS</t>
  </si>
  <si>
    <t>TRACX-NA</t>
  </si>
  <si>
    <t>TMT</t>
  </si>
  <si>
    <t>HB</t>
  </si>
  <si>
    <t>CONS-NONCYC</t>
  </si>
  <si>
    <t>DIV</t>
  </si>
  <si>
    <t>FIN</t>
  </si>
  <si>
    <t>TRACKX-EUROPE</t>
  </si>
  <si>
    <t>AU</t>
  </si>
  <si>
    <t>GC</t>
  </si>
  <si>
    <t>CORP</t>
  </si>
  <si>
    <t>HIVOL</t>
  </si>
  <si>
    <t>MCDX</t>
  </si>
  <si>
    <t>ITRAXX SOVX</t>
  </si>
  <si>
    <t>WE</t>
  </si>
  <si>
    <t>timeSeriesld</t>
  </si>
  <si>
    <t>date</t>
  </si>
  <si>
    <t>Index Values</t>
  </si>
  <si>
    <t>TestingPnL</t>
  </si>
  <si>
    <t>Field</t>
  </si>
  <si>
    <t>Description</t>
  </si>
  <si>
    <t>Sample value</t>
  </si>
  <si>
    <t>Close of business date</t>
  </si>
  <si>
    <t>Unique position identifier</t>
  </si>
  <si>
    <t>Business unit risk system</t>
  </si>
  <si>
    <t>business unit trading book</t>
  </si>
  <si>
    <t>position ticket name</t>
  </si>
  <si>
    <t>position asset class</t>
  </si>
  <si>
    <t>name of the risk measure</t>
  </si>
  <si>
    <t>value of the risk measure</t>
  </si>
  <si>
    <t>measure mark / 100</t>
  </si>
  <si>
    <t xml:space="preserve">position benchmark mark for relative return convertion </t>
  </si>
  <si>
    <t>time to maturity in days</t>
  </si>
  <si>
    <t>expiration date for the position</t>
  </si>
  <si>
    <t>name of the risk factor curve</t>
  </si>
  <si>
    <t>economic sector of the position</t>
  </si>
  <si>
    <t>economic region of the position</t>
  </si>
  <si>
    <t>index family of the position</t>
  </si>
  <si>
    <t>bucket for tenor</t>
  </si>
  <si>
    <t>business reporting region</t>
  </si>
  <si>
    <t>PnL value on COB</t>
  </si>
  <si>
    <t>Mapping</t>
  </si>
  <si>
    <t>Sample Value</t>
  </si>
  <si>
    <t>The CDS index family. The family should be CDX or iTraxx</t>
  </si>
  <si>
    <t>The CDS index region. North America, EMEA and asia pacific</t>
  </si>
  <si>
    <t>The CDS index sector, can be HY/IG for NA and XO and something else for iTraxx</t>
  </si>
  <si>
    <t>The CDS index subsector. Not all index have subsector. Most granular level</t>
  </si>
  <si>
    <t>This is the unique identifier of index, combination of all four fields above as applicable</t>
  </si>
  <si>
    <t>The tenor of the index</t>
  </si>
  <si>
    <t>Liquidity horizon. Not relevant for VaR but for FRTB ES</t>
  </si>
  <si>
    <t>TimeSeries</t>
  </si>
  <si>
    <t>The unique identifier of the index</t>
  </si>
  <si>
    <t>The COB date</t>
  </si>
  <si>
    <t>The value of the index on the COB date</t>
  </si>
  <si>
    <t>this is the trading desk</t>
  </si>
  <si>
    <t>CoB Date</t>
  </si>
  <si>
    <t>Scenario Date</t>
  </si>
  <si>
    <t>Index Sector</t>
  </si>
  <si>
    <t>Total PnL ($)</t>
  </si>
  <si>
    <t>CoB Jan 15</t>
  </si>
  <si>
    <t>CoB Jan 16</t>
  </si>
  <si>
    <t>Date</t>
  </si>
  <si>
    <t>CDX_IG_OTR</t>
  </si>
  <si>
    <t>CDX_HY_OTR</t>
  </si>
  <si>
    <t>CDX_EM_OTR</t>
  </si>
  <si>
    <t>ITRX_IG_OTR</t>
  </si>
  <si>
    <t>ITRX_XO_OTR</t>
  </si>
  <si>
    <t>ITRX_FINSB_OTR</t>
  </si>
  <si>
    <t>ITRX_FINSN_OTR</t>
  </si>
  <si>
    <t>Shock_CDX_IG</t>
  </si>
  <si>
    <t>Shock_CDX_HY</t>
  </si>
  <si>
    <t>Shock_CDX_EM</t>
  </si>
  <si>
    <t>Shock_ITRX_IG</t>
  </si>
  <si>
    <t>Shock_ITRX_XO</t>
  </si>
  <si>
    <t>Shock_ITRX_FINSB</t>
  </si>
  <si>
    <t>Shock_ITRX_FINSN</t>
  </si>
  <si>
    <t>Portfolio_PnL_Jan15</t>
  </si>
  <si>
    <t>Portfolio_PnL_Jan16</t>
  </si>
  <si>
    <t>Jan 15 VaR</t>
  </si>
  <si>
    <t>Jan 16 VaR</t>
  </si>
  <si>
    <t>Total Jan 15</t>
  </si>
  <si>
    <t>Total Jan 16</t>
  </si>
  <si>
    <t>CoB: January 15, 2025  |  49 Positions  |  9 Historical Scenarios</t>
  </si>
  <si>
    <t>Position ID</t>
  </si>
  <si>
    <t>Book</t>
  </si>
  <si>
    <t>Sector</t>
  </si>
  <si>
    <t>Region</t>
  </si>
  <si>
    <t>Mapped TS</t>
  </si>
  <si>
    <t>Each PnL cell = PV01 Spread ($/bp) × historical spread shock (bps). Total PnL = sum across all scenarios. Shocks sourced from TimeSeries tab (same as Risk Report).</t>
  </si>
  <si>
    <t>PV01 ($)</t>
  </si>
  <si>
    <t>CDX_IG</t>
  </si>
  <si>
    <t>CONV NAM murmic</t>
  </si>
  <si>
    <t>ITRX_IG</t>
  </si>
  <si>
    <t>CDX_HY</t>
  </si>
  <si>
    <t>ITRX_XO</t>
  </si>
  <si>
    <t>PORTFOLIO TOTAL</t>
  </si>
  <si>
    <t>CoB: January 16, 2025  |  51 Positions  |  10 Historical Scenarios</t>
  </si>
  <si>
    <t>2122287473</t>
  </si>
  <si>
    <t>2117362004</t>
  </si>
  <si>
    <t>2119679880</t>
  </si>
  <si>
    <t>2118770188</t>
  </si>
  <si>
    <t>2122280819</t>
  </si>
  <si>
    <t>2123457722</t>
  </si>
  <si>
    <t>2122891849</t>
  </si>
  <si>
    <t>2122435341</t>
  </si>
  <si>
    <t>2121956220</t>
  </si>
  <si>
    <t>2123457227</t>
  </si>
  <si>
    <t>2116682530</t>
  </si>
  <si>
    <t>2121116022</t>
  </si>
  <si>
    <t>2122287272</t>
  </si>
  <si>
    <t>2118937042</t>
  </si>
  <si>
    <t>2124173755</t>
  </si>
  <si>
    <t>2122542214</t>
  </si>
  <si>
    <t>2122893484</t>
  </si>
  <si>
    <t>2122015535</t>
  </si>
  <si>
    <t>2122542210</t>
  </si>
  <si>
    <t>2114902387</t>
  </si>
  <si>
    <t>2123984227</t>
  </si>
  <si>
    <t>2119096050</t>
  </si>
  <si>
    <t>218726570</t>
  </si>
  <si>
    <t>2122382254</t>
  </si>
  <si>
    <t>2122893482</t>
  </si>
  <si>
    <t>216229993</t>
  </si>
  <si>
    <t>2114902381</t>
  </si>
  <si>
    <t>216229991</t>
  </si>
  <si>
    <t>2119702862</t>
  </si>
  <si>
    <t>2123992158</t>
  </si>
  <si>
    <t>2122219434</t>
  </si>
  <si>
    <t>2122557228</t>
  </si>
  <si>
    <t>218707351</t>
  </si>
  <si>
    <t>219938036</t>
  </si>
  <si>
    <t>2120161046</t>
  </si>
  <si>
    <t>2123595875</t>
  </si>
  <si>
    <t>2119702822</t>
  </si>
  <si>
    <t>219938037</t>
  </si>
  <si>
    <t>2121280815</t>
  </si>
  <si>
    <t>2112287931</t>
  </si>
  <si>
    <t>2124158567</t>
  </si>
  <si>
    <t>2122778355</t>
  </si>
  <si>
    <t>2118287927</t>
  </si>
  <si>
    <t>2120905799</t>
  </si>
  <si>
    <t>2117672604</t>
  </si>
  <si>
    <t>2121280819</t>
  </si>
  <si>
    <t>2123457752</t>
  </si>
  <si>
    <t>2121956620</t>
  </si>
  <si>
    <t>2123457727</t>
  </si>
  <si>
    <t>2121116092</t>
  </si>
  <si>
    <t>2122287472</t>
  </si>
  <si>
    <t>2122549214</t>
  </si>
  <si>
    <t>2122549210</t>
  </si>
  <si>
    <t>2122384254</t>
  </si>
  <si>
    <t>2121219434</t>
  </si>
  <si>
    <t>2122557828</t>
  </si>
  <si>
    <t>2121293645</t>
  </si>
  <si>
    <t>2121280814</t>
  </si>
  <si>
    <t>2118989094</t>
  </si>
  <si>
    <t>2117733961</t>
  </si>
  <si>
    <t>2120214444</t>
  </si>
  <si>
    <t>2121909871</t>
  </si>
  <si>
    <t>2120964546</t>
  </si>
  <si>
    <t>2120561885</t>
  </si>
  <si>
    <t>2120374235</t>
  </si>
  <si>
    <t>2114902391</t>
  </si>
  <si>
    <t>CDS Trading Desk — Daily Risk Report</t>
  </si>
  <si>
    <t>Prepared by: Desk Risk Manager</t>
  </si>
  <si>
    <t>Report Date:</t>
  </si>
  <si>
    <t>Confidential | For Internal Use Only</t>
  </si>
  <si>
    <t>INPUTS</t>
  </si>
  <si>
    <t>TIME SERIES PIVOT  (SUMIFS from TimeSeries tab)</t>
  </si>
  <si>
    <t>SHOCKS  (bps, day-over-day change in index spread)</t>
  </si>
  <si>
    <t>VAR SUMMARY  (99% Confidence, 1-Day, Historical Simulation)</t>
  </si>
  <si>
    <t>SECTOR RISK SUMMARY</t>
  </si>
  <si>
    <t>Total PV01 Spread (USD)</t>
  </si>
  <si>
    <t>Total PnL (USD)</t>
  </si>
  <si>
    <t>99% 1-Day VaR (USD)</t>
  </si>
  <si>
    <t>PER-POSITION PnL VECTORS - HISTORICAL SIMULATION  |  CDS Trading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</si>
</sst>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000"/>
    <numFmt numFmtId="166" formatCode="#,##0.0000_);\(#,##0.0000\)"/>
    <numFmt numFmtId="167" formatCode="mm/dd/yyyy"/>
    <numFmt numFmtId="168" formatCode="mm/dd/yy"/>
    <numFmt numFmtId="169" formatCode="#,##0.00;\(#,##0.00\);&quot;-&quot;"/>
    <numFmt numFmtId="170" formatCode="#,##0.000;\(#,##0.000\);&quot;-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2424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9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3864"/>
      </left>
      <right style="thin">
        <color rgb="FF9DC3E6"/>
      </right>
      <top style="thin">
        <color rgb="FF9DC3E6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 style="thin">
        <color rgb="FF9DC3E6"/>
      </left>
      <right style="medium">
        <color rgb="FF1F3864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medium">
        <color rgb="FF1F3864"/>
      </right>
      <top style="thin">
        <color rgb="FF9DC3E6"/>
      </top>
      <bottom style="medium">
        <color rgb="FF1F38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" fontId="0" fillId="0" borderId="0" xfId="0" quotePrefix="1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49" fontId="3" fillId="0" borderId="0" xfId="0" applyNumberFormat="1" applyFont="1"/>
    <xf numFmtId="0" fontId="3" fillId="0" borderId="0" xfId="0" applyFont="1"/>
    <xf numFmtId="165" fontId="0" fillId="0" borderId="0" xfId="0" applyNumberFormat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2" fontId="0" fillId="0" borderId="0" xfId="0" applyNumberFormat="1"/>
    <xf numFmtId="0" fontId="5" fillId="0" borderId="0" xfId="0" applyFont="1"/>
    <xf numFmtId="166" fontId="0" fillId="0" borderId="0" xfId="1" applyNumberFormat="1" applyFont="1" applyFill="1"/>
    <xf numFmtId="165" fontId="2" fillId="0" borderId="0" xfId="0" applyNumberFormat="1" applyFont="1"/>
    <xf numFmtId="0" fontId="10" fillId="0" borderId="0" xfId="0" applyFont="1"/>
    <xf numFmtId="0" fontId="11" fillId="2" borderId="4" xfId="0" applyFont="1" applyFill="1" applyBorder="1"/>
    <xf numFmtId="0" fontId="11" fillId="2" borderId="5" xfId="0" applyFont="1" applyFill="1" applyBorder="1"/>
    <xf numFmtId="4" fontId="11" fillId="2" borderId="7" xfId="0" applyNumberFormat="1" applyFont="1" applyFill="1" applyBorder="1"/>
    <xf numFmtId="4" fontId="11" fillId="2" borderId="8" xfId="0" applyNumberFormat="1" applyFont="1" applyFill="1" applyBorder="1"/>
    <xf numFmtId="0" fontId="6" fillId="4" borderId="0" xfId="0" applyFont="1" applyFill="1"/>
    <xf numFmtId="0" fontId="7" fillId="4" borderId="0" xfId="0" applyFont="1" applyFill="1"/>
    <xf numFmtId="0" fontId="7" fillId="5" borderId="0" xfId="0" applyFont="1" applyFill="1"/>
    <xf numFmtId="0" fontId="12" fillId="6" borderId="1" xfId="0" applyFont="1" applyFill="1" applyBorder="1"/>
    <xf numFmtId="168" fontId="12" fillId="6" borderId="1" xfId="0" applyNumberFormat="1" applyFont="1" applyFill="1" applyBorder="1" applyAlignment="1">
      <alignment horizontal="center"/>
    </xf>
    <xf numFmtId="0" fontId="12" fillId="6" borderId="0" xfId="0" applyFont="1" applyFill="1"/>
    <xf numFmtId="49" fontId="0" fillId="3" borderId="1" xfId="0" applyNumberFormat="1" applyFill="1" applyBorder="1"/>
    <xf numFmtId="0" fontId="0" fillId="3" borderId="1" xfId="0" applyFill="1" applyBorder="1"/>
    <xf numFmtId="170" fontId="0" fillId="3" borderId="1" xfId="0" applyNumberFormat="1" applyFill="1" applyBorder="1"/>
    <xf numFmtId="169" fontId="0" fillId="3" borderId="1" xfId="0" applyNumberFormat="1" applyFill="1" applyBorder="1"/>
    <xf numFmtId="0" fontId="0" fillId="3" borderId="0" xfId="0" applyFill="1"/>
    <xf numFmtId="0" fontId="12" fillId="7" borderId="1" xfId="0" applyFont="1" applyFill="1" applyBorder="1"/>
    <xf numFmtId="169" fontId="12" fillId="7" borderId="1" xfId="0" applyNumberFormat="1" applyFont="1" applyFill="1" applyBorder="1"/>
    <xf numFmtId="0" fontId="12" fillId="7" borderId="0" xfId="0" applyFont="1" applyFill="1"/>
    <xf numFmtId="0" fontId="13" fillId="0" borderId="0" xfId="0" applyFont="1"/>
    <xf numFmtId="0" fontId="9" fillId="4" borderId="0" xfId="0" applyFont="1" applyFill="1"/>
    <xf numFmtId="0" fontId="8" fillId="5" borderId="0" xfId="0" applyFont="1" applyFill="1"/>
    <xf numFmtId="167" fontId="8" fillId="5" borderId="0" xfId="0" applyNumberFormat="1" applyFont="1" applyFill="1"/>
    <xf numFmtId="0" fontId="14" fillId="6" borderId="0" xfId="0" applyFont="1" applyFill="1"/>
    <xf numFmtId="0" fontId="15" fillId="3" borderId="0" xfId="0" applyFont="1" applyFill="1"/>
    <xf numFmtId="167" fontId="15" fillId="3" borderId="0" xfId="0" applyNumberFormat="1" applyFont="1" applyFill="1"/>
    <xf numFmtId="0" fontId="9" fillId="5" borderId="2" xfId="0" applyFont="1" applyFill="1" applyBorder="1"/>
    <xf numFmtId="167" fontId="15" fillId="3" borderId="2" xfId="0" applyNumberFormat="1" applyFont="1" applyFill="1" applyBorder="1"/>
    <xf numFmtId="0" fontId="15" fillId="3" borderId="2" xfId="0" applyFont="1" applyFill="1" applyBorder="1"/>
    <xf numFmtId="167" fontId="15" fillId="7" borderId="2" xfId="0" applyNumberFormat="1" applyFont="1" applyFill="1" applyBorder="1"/>
    <xf numFmtId="0" fontId="15" fillId="7" borderId="2" xfId="0" applyFont="1" applyFill="1" applyBorder="1"/>
    <xf numFmtId="0" fontId="15" fillId="7" borderId="0" xfId="0" applyFont="1" applyFill="1"/>
    <xf numFmtId="2" fontId="15" fillId="3" borderId="2" xfId="0" applyNumberFormat="1" applyFont="1" applyFill="1" applyBorder="1"/>
    <xf numFmtId="4" fontId="15" fillId="3" borderId="2" xfId="0" applyNumberFormat="1" applyFont="1" applyFill="1" applyBorder="1"/>
    <xf numFmtId="2" fontId="15" fillId="7" borderId="2" xfId="0" applyNumberFormat="1" applyFont="1" applyFill="1" applyBorder="1"/>
    <xf numFmtId="4" fontId="15" fillId="7" borderId="2" xfId="0" applyNumberFormat="1" applyFont="1" applyFill="1" applyBorder="1"/>
    <xf numFmtId="0" fontId="9" fillId="4" borderId="3" xfId="0" applyFont="1" applyFill="1" applyBorder="1"/>
    <xf numFmtId="0" fontId="9" fillId="4" borderId="6" xfId="0" applyFont="1" applyFill="1" applyBorder="1"/>
    <xf numFmtId="0" fontId="9" fillId="5" borderId="4" xfId="0" applyFont="1" applyFill="1" applyBorder="1"/>
    <xf numFmtId="0" fontId="9" fillId="5" borderId="7" xfId="0" applyFont="1" applyFill="1" applyBorder="1"/>
    <xf numFmtId="0" fontId="16" fillId="6" borderId="2" xfId="0" applyFont="1" applyFill="1" applyBorder="1"/>
    <xf numFmtId="167" fontId="16" fillId="6" borderId="2" xfId="0" applyNumberFormat="1" applyFont="1" applyFill="1" applyBorder="1"/>
    <xf numFmtId="4" fontId="16" fillId="6" borderId="2" xfId="0" applyNumberFormat="1" applyFont="1" applyFill="1" applyBorder="1"/>
    <xf numFmtId="0" fontId="15" fillId="6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193467-BC74-40A8-936D-2F3AF9A1180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df6cbd2-afeb-4b2a-8178-43976c8656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2492-0FC2-4D44-BD36-7927F259C1DC}">
  <dimension ref="A1:W101"/>
  <sheetViews>
    <sheetView topLeftCell="K1" workbookViewId="0">
      <selection activeCell="B2" sqref="B2"/>
    </sheetView>
  </sheetViews>
  <sheetFormatPr defaultColWidth="10.5234375" defaultRowHeight="14.4" x14ac:dyDescent="0.55000000000000004"/>
  <cols>
    <col min="1" max="1" width="9.1015625" bestFit="1" customWidth="1"/>
    <col min="2" max="2" width="15.26171875" bestFit="1" customWidth="1"/>
    <col min="3" max="3" width="22.15625" bestFit="1" customWidth="1"/>
    <col min="4" max="4" width="24.26171875" bestFit="1" customWidth="1"/>
    <col min="5" max="5" width="7.3671875" bestFit="1" customWidth="1"/>
    <col min="6" max="6" width="9.89453125" bestFit="1" customWidth="1"/>
    <col min="7" max="7" width="15.5234375" bestFit="1" customWidth="1"/>
    <col min="8" max="8" width="11.47265625" bestFit="1" customWidth="1"/>
    <col min="9" max="9" width="10.7890625" bestFit="1" customWidth="1"/>
    <col min="10" max="10" width="12.3671875" bestFit="1" customWidth="1"/>
    <col min="11" max="11" width="14.1015625" bestFit="1" customWidth="1"/>
    <col min="12" max="12" width="12.89453125" bestFit="1" customWidth="1"/>
    <col min="13" max="13" width="9.47265625" bestFit="1" customWidth="1"/>
    <col min="14" max="14" width="11.734375" bestFit="1" customWidth="1"/>
    <col min="15" max="15" width="10.62890625" bestFit="1" customWidth="1"/>
    <col min="16" max="16" width="10.89453125" bestFit="1" customWidth="1"/>
    <col min="17" max="17" width="14.734375" bestFit="1" customWidth="1"/>
    <col min="18" max="19" width="17.3671875" bestFit="1" customWidth="1"/>
    <col min="20" max="20" width="27.47265625" bestFit="1" customWidth="1"/>
    <col min="21" max="21" width="16.1015625" bestFit="1" customWidth="1"/>
    <col min="22" max="22" width="9.62890625" bestFit="1" customWidth="1"/>
    <col min="23" max="23" width="14.1015625" bestFit="1" customWidth="1"/>
    <col min="24" max="24" width="40.5234375" bestFit="1" customWidth="1"/>
  </cols>
  <sheetData>
    <row r="1" spans="1:23" x14ac:dyDescent="0.5500000000000000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s="1">
        <v>45306</v>
      </c>
      <c r="B2" s="2">
        <v>2122287473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-146.503198</v>
      </c>
      <c r="I2" t="s">
        <v>25</v>
      </c>
      <c r="J2" t="s">
        <v>25</v>
      </c>
      <c r="K2">
        <v>1792</v>
      </c>
      <c r="L2">
        <v>1</v>
      </c>
      <c r="M2">
        <v>1792</v>
      </c>
      <c r="N2" t="s">
        <v>28</v>
      </c>
      <c r="O2" t="s">
        <v>29</v>
      </c>
      <c r="P2" t="s">
        <v>30</v>
      </c>
      <c r="Q2" t="s">
        <v>31</v>
      </c>
      <c r="R2" s="3" t="s">
        <v>32</v>
      </c>
      <c r="S2" t="s">
        <v>33</v>
      </c>
      <c r="T2" t="s">
        <v>34</v>
      </c>
      <c r="U2" t="s">
        <v>35</v>
      </c>
      <c r="V2" s="18">
        <v>0</v>
      </c>
      <c r="W2" t="s">
        <v>36</v>
      </c>
    </row>
    <row r="3" spans="1:23" x14ac:dyDescent="0.55000000000000004">
      <c r="A3" s="1">
        <v>45306</v>
      </c>
      <c r="B3" s="2">
        <v>2117362004</v>
      </c>
      <c r="C3" t="s">
        <v>37</v>
      </c>
      <c r="D3" t="s">
        <v>38</v>
      </c>
      <c r="E3" t="s">
        <v>25</v>
      </c>
      <c r="F3" t="s">
        <v>26</v>
      </c>
      <c r="G3" t="s">
        <v>27</v>
      </c>
      <c r="H3">
        <v>-109.101208</v>
      </c>
      <c r="I3" t="s">
        <v>25</v>
      </c>
      <c r="J3" t="s">
        <v>25</v>
      </c>
      <c r="K3">
        <v>0</v>
      </c>
      <c r="L3">
        <v>1</v>
      </c>
      <c r="M3">
        <v>0</v>
      </c>
      <c r="N3" t="s">
        <v>28</v>
      </c>
      <c r="O3" t="s">
        <v>29</v>
      </c>
      <c r="P3" t="s">
        <v>30</v>
      </c>
      <c r="Q3" t="s">
        <v>31</v>
      </c>
      <c r="R3" t="s">
        <v>39</v>
      </c>
      <c r="S3" t="s">
        <v>33</v>
      </c>
      <c r="T3" t="s">
        <v>34</v>
      </c>
      <c r="U3" t="s">
        <v>35</v>
      </c>
      <c r="V3" s="18">
        <v>0</v>
      </c>
      <c r="W3" t="s">
        <v>36</v>
      </c>
    </row>
    <row r="4" spans="1:23" x14ac:dyDescent="0.55000000000000004">
      <c r="A4" s="1">
        <v>45306</v>
      </c>
      <c r="B4" s="2">
        <v>2119679880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-43.367567999999999</v>
      </c>
      <c r="I4" t="s">
        <v>25</v>
      </c>
      <c r="J4" t="s">
        <v>25</v>
      </c>
      <c r="K4">
        <v>1609</v>
      </c>
      <c r="L4">
        <v>1</v>
      </c>
      <c r="M4">
        <v>1609</v>
      </c>
      <c r="N4" t="s">
        <v>40</v>
      </c>
      <c r="O4" t="s">
        <v>29</v>
      </c>
      <c r="P4" t="s">
        <v>30</v>
      </c>
      <c r="Q4" t="s">
        <v>31</v>
      </c>
      <c r="R4" s="3" t="s">
        <v>32</v>
      </c>
      <c r="S4" t="s">
        <v>33</v>
      </c>
      <c r="T4" t="s">
        <v>34</v>
      </c>
      <c r="U4" t="s">
        <v>35</v>
      </c>
      <c r="V4" s="18">
        <v>0</v>
      </c>
      <c r="W4" t="s">
        <v>36</v>
      </c>
    </row>
    <row r="5" spans="1:23" x14ac:dyDescent="0.55000000000000004">
      <c r="A5" s="1">
        <v>45306</v>
      </c>
      <c r="B5" s="2">
        <v>2118770188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-43.007359999999998</v>
      </c>
      <c r="I5" t="s">
        <v>25</v>
      </c>
      <c r="J5" t="s">
        <v>25</v>
      </c>
      <c r="K5">
        <v>0</v>
      </c>
      <c r="L5">
        <v>1</v>
      </c>
      <c r="M5">
        <v>0</v>
      </c>
      <c r="N5" t="s">
        <v>28</v>
      </c>
      <c r="O5" t="s">
        <v>29</v>
      </c>
      <c r="P5" t="s">
        <v>30</v>
      </c>
      <c r="Q5" t="s">
        <v>31</v>
      </c>
      <c r="R5" t="s">
        <v>39</v>
      </c>
      <c r="S5" t="s">
        <v>33</v>
      </c>
      <c r="T5" t="s">
        <v>34</v>
      </c>
      <c r="U5" t="s">
        <v>35</v>
      </c>
      <c r="V5" s="18">
        <v>0</v>
      </c>
      <c r="W5" t="s">
        <v>36</v>
      </c>
    </row>
    <row r="6" spans="1:23" x14ac:dyDescent="0.55000000000000004">
      <c r="A6" s="1">
        <v>45306</v>
      </c>
      <c r="B6" s="2">
        <v>2122280819</v>
      </c>
      <c r="C6" t="s">
        <v>41</v>
      </c>
      <c r="D6" t="s">
        <v>67</v>
      </c>
      <c r="E6" t="s">
        <v>25</v>
      </c>
      <c r="F6" t="s">
        <v>26</v>
      </c>
      <c r="G6" t="s">
        <v>27</v>
      </c>
      <c r="H6">
        <v>-36.458520999999998</v>
      </c>
      <c r="I6" t="s">
        <v>25</v>
      </c>
      <c r="J6" t="s">
        <v>25</v>
      </c>
      <c r="K6">
        <v>1061</v>
      </c>
      <c r="L6">
        <v>1</v>
      </c>
      <c r="M6">
        <v>1061</v>
      </c>
      <c r="N6" t="s">
        <v>43</v>
      </c>
      <c r="O6" t="s">
        <v>29</v>
      </c>
      <c r="P6" t="s">
        <v>44</v>
      </c>
      <c r="Q6" t="s">
        <v>45</v>
      </c>
      <c r="R6" s="3" t="s">
        <v>46</v>
      </c>
      <c r="S6" t="s">
        <v>33</v>
      </c>
      <c r="T6" t="s">
        <v>60</v>
      </c>
      <c r="U6" t="s">
        <v>35</v>
      </c>
      <c r="V6" s="18">
        <v>-30.625157640000122</v>
      </c>
      <c r="W6" t="s">
        <v>36</v>
      </c>
    </row>
    <row r="7" spans="1:23" x14ac:dyDescent="0.55000000000000004">
      <c r="A7" s="1">
        <v>45306</v>
      </c>
      <c r="B7" s="2">
        <v>2123457722</v>
      </c>
      <c r="C7" t="s">
        <v>48</v>
      </c>
      <c r="D7" t="s">
        <v>49</v>
      </c>
      <c r="E7" t="s">
        <v>25</v>
      </c>
      <c r="F7" t="s">
        <v>26</v>
      </c>
      <c r="G7" t="s">
        <v>27</v>
      </c>
      <c r="H7">
        <v>-31.673076999999999</v>
      </c>
      <c r="I7" t="s">
        <v>25</v>
      </c>
      <c r="J7" t="s">
        <v>25</v>
      </c>
      <c r="K7">
        <v>1778</v>
      </c>
      <c r="L7">
        <v>1</v>
      </c>
      <c r="M7">
        <v>1778</v>
      </c>
      <c r="N7" t="s">
        <v>50</v>
      </c>
      <c r="O7" t="s">
        <v>51</v>
      </c>
      <c r="P7" t="s">
        <v>30</v>
      </c>
      <c r="Q7" t="s">
        <v>31</v>
      </c>
      <c r="R7" s="3" t="s">
        <v>32</v>
      </c>
      <c r="S7" t="s">
        <v>33</v>
      </c>
      <c r="T7" t="s">
        <v>34</v>
      </c>
      <c r="U7" t="s">
        <v>47</v>
      </c>
      <c r="V7" s="18">
        <v>0</v>
      </c>
      <c r="W7" t="s">
        <v>36</v>
      </c>
    </row>
    <row r="8" spans="1:23" x14ac:dyDescent="0.55000000000000004">
      <c r="A8" s="1">
        <v>45306</v>
      </c>
      <c r="B8" s="2">
        <v>2122891849</v>
      </c>
      <c r="C8" t="s">
        <v>52</v>
      </c>
      <c r="D8" t="s">
        <v>53</v>
      </c>
      <c r="E8" t="s">
        <v>25</v>
      </c>
      <c r="F8" t="s">
        <v>26</v>
      </c>
      <c r="G8" t="s">
        <v>27</v>
      </c>
      <c r="H8">
        <v>-25.953275000000001</v>
      </c>
      <c r="I8" t="s">
        <v>25</v>
      </c>
      <c r="J8" t="s">
        <v>25</v>
      </c>
      <c r="K8">
        <v>625</v>
      </c>
      <c r="L8">
        <v>1</v>
      </c>
      <c r="M8">
        <v>625</v>
      </c>
      <c r="N8" t="s">
        <v>50</v>
      </c>
      <c r="O8" t="s">
        <v>51</v>
      </c>
      <c r="P8" t="s">
        <v>30</v>
      </c>
      <c r="Q8" t="s">
        <v>31</v>
      </c>
      <c r="R8" s="3" t="s">
        <v>46</v>
      </c>
      <c r="S8" t="s">
        <v>33</v>
      </c>
      <c r="T8" t="s">
        <v>34</v>
      </c>
      <c r="U8" t="s">
        <v>47</v>
      </c>
      <c r="V8" s="18">
        <v>0</v>
      </c>
      <c r="W8" t="s">
        <v>36</v>
      </c>
    </row>
    <row r="9" spans="1:23" x14ac:dyDescent="0.55000000000000004">
      <c r="A9" s="1">
        <v>45306</v>
      </c>
      <c r="B9" s="2" t="s">
        <v>54</v>
      </c>
      <c r="C9" t="s">
        <v>55</v>
      </c>
      <c r="D9" t="s">
        <v>56</v>
      </c>
      <c r="E9" t="s">
        <v>54</v>
      </c>
      <c r="F9" t="s">
        <v>26</v>
      </c>
      <c r="G9" t="s">
        <v>57</v>
      </c>
      <c r="H9">
        <v>-23.716066999999999</v>
      </c>
      <c r="I9">
        <v>181.12960799999999</v>
      </c>
      <c r="J9">
        <v>181.12960799999999</v>
      </c>
      <c r="K9">
        <v>1059</v>
      </c>
      <c r="L9">
        <v>1</v>
      </c>
      <c r="M9">
        <v>1059</v>
      </c>
      <c r="N9" t="s">
        <v>58</v>
      </c>
      <c r="O9" t="s">
        <v>59</v>
      </c>
      <c r="P9" t="s">
        <v>44</v>
      </c>
      <c r="Q9" t="s">
        <v>45</v>
      </c>
      <c r="R9" s="3" t="s">
        <v>46</v>
      </c>
      <c r="S9" t="s">
        <v>33</v>
      </c>
      <c r="T9" t="s">
        <v>60</v>
      </c>
      <c r="U9" t="s">
        <v>47</v>
      </c>
      <c r="V9" s="18">
        <v>-190.67717867999912</v>
      </c>
      <c r="W9" t="s">
        <v>36</v>
      </c>
    </row>
    <row r="10" spans="1:23" x14ac:dyDescent="0.55000000000000004">
      <c r="A10" s="1">
        <v>45306</v>
      </c>
      <c r="B10" s="2" t="s">
        <v>61</v>
      </c>
      <c r="C10" t="s">
        <v>55</v>
      </c>
      <c r="D10" t="s">
        <v>56</v>
      </c>
      <c r="E10" t="s">
        <v>61</v>
      </c>
      <c r="F10" t="s">
        <v>26</v>
      </c>
      <c r="G10" t="s">
        <v>57</v>
      </c>
      <c r="H10">
        <v>-21.958534</v>
      </c>
      <c r="I10">
        <v>203.662522</v>
      </c>
      <c r="J10">
        <v>203.62258199999999</v>
      </c>
      <c r="K10">
        <v>1240</v>
      </c>
      <c r="L10">
        <v>1</v>
      </c>
      <c r="M10">
        <v>1240</v>
      </c>
      <c r="N10" t="s">
        <v>62</v>
      </c>
      <c r="O10" t="s">
        <v>59</v>
      </c>
      <c r="P10" t="s">
        <v>44</v>
      </c>
      <c r="Q10" t="s">
        <v>45</v>
      </c>
      <c r="R10" s="3" t="s">
        <v>32</v>
      </c>
      <c r="S10" t="s">
        <v>33</v>
      </c>
      <c r="T10" t="s">
        <v>60</v>
      </c>
      <c r="U10" t="s">
        <v>47</v>
      </c>
      <c r="V10" s="18">
        <v>-176.54661335999921</v>
      </c>
      <c r="W10" t="s">
        <v>36</v>
      </c>
    </row>
    <row r="11" spans="1:23" x14ac:dyDescent="0.55000000000000004">
      <c r="A11" s="1">
        <v>45306</v>
      </c>
      <c r="B11" s="2" t="s">
        <v>63</v>
      </c>
      <c r="C11" t="s">
        <v>55</v>
      </c>
      <c r="D11" t="s">
        <v>56</v>
      </c>
      <c r="E11" t="s">
        <v>63</v>
      </c>
      <c r="F11" t="s">
        <v>26</v>
      </c>
      <c r="G11" t="s">
        <v>57</v>
      </c>
      <c r="H11">
        <v>-20.553923999999999</v>
      </c>
      <c r="I11">
        <v>181.12960799999999</v>
      </c>
      <c r="J11">
        <v>181.12960799999999</v>
      </c>
      <c r="K11">
        <v>1059</v>
      </c>
      <c r="L11">
        <v>1</v>
      </c>
      <c r="M11">
        <v>1059</v>
      </c>
      <c r="N11" t="s">
        <v>58</v>
      </c>
      <c r="O11" t="s">
        <v>59</v>
      </c>
      <c r="P11" t="s">
        <v>44</v>
      </c>
      <c r="Q11" t="s">
        <v>64</v>
      </c>
      <c r="R11" s="3" t="s">
        <v>46</v>
      </c>
      <c r="S11" t="s">
        <v>33</v>
      </c>
      <c r="T11" t="s">
        <v>60</v>
      </c>
      <c r="U11" t="s">
        <v>47</v>
      </c>
      <c r="V11" s="18">
        <v>-165.25354895999925</v>
      </c>
      <c r="W11" t="s">
        <v>36</v>
      </c>
    </row>
    <row r="12" spans="1:23" x14ac:dyDescent="0.55000000000000004">
      <c r="A12" s="1">
        <v>45306</v>
      </c>
      <c r="B12" s="2">
        <v>2122435341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>
        <v>-20.523548000000002</v>
      </c>
      <c r="I12" t="s">
        <v>25</v>
      </c>
      <c r="J12" t="s">
        <v>25</v>
      </c>
      <c r="K12">
        <v>1792</v>
      </c>
      <c r="L12">
        <v>1</v>
      </c>
      <c r="M12">
        <v>1792</v>
      </c>
      <c r="N12" t="s">
        <v>28</v>
      </c>
      <c r="O12" t="s">
        <v>29</v>
      </c>
      <c r="P12" t="s">
        <v>30</v>
      </c>
      <c r="Q12" t="s">
        <v>31</v>
      </c>
      <c r="R12" s="3" t="s">
        <v>32</v>
      </c>
      <c r="S12" t="s">
        <v>33</v>
      </c>
      <c r="T12" t="s">
        <v>34</v>
      </c>
      <c r="U12" t="s">
        <v>35</v>
      </c>
      <c r="V12" s="18">
        <v>0</v>
      </c>
      <c r="W12" t="s">
        <v>36</v>
      </c>
    </row>
    <row r="13" spans="1:23" x14ac:dyDescent="0.55000000000000004">
      <c r="A13" s="1">
        <v>45306</v>
      </c>
      <c r="B13" s="2">
        <v>2121956220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>
        <v>-19.893380000000001</v>
      </c>
      <c r="I13" t="s">
        <v>25</v>
      </c>
      <c r="J13" t="s">
        <v>25</v>
      </c>
      <c r="K13">
        <v>1609</v>
      </c>
      <c r="L13">
        <v>1</v>
      </c>
      <c r="M13">
        <v>1609</v>
      </c>
      <c r="N13" t="s">
        <v>40</v>
      </c>
      <c r="O13" t="s">
        <v>29</v>
      </c>
      <c r="P13" t="s">
        <v>30</v>
      </c>
      <c r="Q13" t="s">
        <v>31</v>
      </c>
      <c r="R13" s="3" t="s">
        <v>32</v>
      </c>
      <c r="S13" t="s">
        <v>33</v>
      </c>
      <c r="T13" t="s">
        <v>34</v>
      </c>
      <c r="U13" t="s">
        <v>35</v>
      </c>
      <c r="V13" s="18">
        <v>0</v>
      </c>
      <c r="W13" t="s">
        <v>36</v>
      </c>
    </row>
    <row r="14" spans="1:23" x14ac:dyDescent="0.55000000000000004">
      <c r="A14" s="1">
        <v>45306</v>
      </c>
      <c r="B14" s="2">
        <v>2123457227</v>
      </c>
      <c r="C14" t="s">
        <v>41</v>
      </c>
      <c r="D14" t="s">
        <v>42</v>
      </c>
      <c r="E14" t="s">
        <v>25</v>
      </c>
      <c r="F14" t="s">
        <v>26</v>
      </c>
      <c r="G14" t="s">
        <v>27</v>
      </c>
      <c r="H14">
        <v>-19.631408</v>
      </c>
      <c r="I14" t="s">
        <v>25</v>
      </c>
      <c r="J14" t="s">
        <v>25</v>
      </c>
      <c r="K14">
        <v>625</v>
      </c>
      <c r="L14">
        <v>1</v>
      </c>
      <c r="M14">
        <v>625</v>
      </c>
      <c r="N14" t="s">
        <v>50</v>
      </c>
      <c r="O14" t="s">
        <v>51</v>
      </c>
      <c r="P14" t="s">
        <v>30</v>
      </c>
      <c r="Q14" t="s">
        <v>31</v>
      </c>
      <c r="R14" s="3" t="s">
        <v>46</v>
      </c>
      <c r="S14" t="s">
        <v>33</v>
      </c>
      <c r="T14" t="s">
        <v>34</v>
      </c>
      <c r="U14" t="s">
        <v>47</v>
      </c>
      <c r="V14" s="18">
        <v>0</v>
      </c>
      <c r="W14" t="s">
        <v>36</v>
      </c>
    </row>
    <row r="15" spans="1:23" x14ac:dyDescent="0.55000000000000004">
      <c r="A15" s="1">
        <v>45306</v>
      </c>
      <c r="B15" s="2">
        <v>2116682530</v>
      </c>
      <c r="C15" t="s">
        <v>41</v>
      </c>
      <c r="D15" t="s">
        <v>42</v>
      </c>
      <c r="E15" t="s">
        <v>25</v>
      </c>
      <c r="F15" t="s">
        <v>26</v>
      </c>
      <c r="G15" t="s">
        <v>27</v>
      </c>
      <c r="H15">
        <v>-19.559163000000002</v>
      </c>
      <c r="I15" t="s">
        <v>25</v>
      </c>
      <c r="J15" t="s">
        <v>25</v>
      </c>
      <c r="K15">
        <v>1243</v>
      </c>
      <c r="L15">
        <v>1</v>
      </c>
      <c r="M15">
        <v>1243</v>
      </c>
      <c r="N15" t="s">
        <v>65</v>
      </c>
      <c r="O15" t="s">
        <v>29</v>
      </c>
      <c r="P15" t="s">
        <v>30</v>
      </c>
      <c r="Q15" t="s">
        <v>31</v>
      </c>
      <c r="R15" s="3" t="s">
        <v>32</v>
      </c>
      <c r="S15" t="s">
        <v>33</v>
      </c>
      <c r="T15" t="s">
        <v>34</v>
      </c>
      <c r="U15" t="s">
        <v>47</v>
      </c>
      <c r="V15" s="18">
        <v>0</v>
      </c>
      <c r="W15" t="s">
        <v>36</v>
      </c>
    </row>
    <row r="16" spans="1:23" x14ac:dyDescent="0.55000000000000004">
      <c r="A16" s="1">
        <v>45306</v>
      </c>
      <c r="B16" s="2">
        <v>2121116022</v>
      </c>
      <c r="C16" t="s">
        <v>66</v>
      </c>
      <c r="D16" t="s">
        <v>67</v>
      </c>
      <c r="E16" t="s">
        <v>25</v>
      </c>
      <c r="F16" t="s">
        <v>26</v>
      </c>
      <c r="G16" t="s">
        <v>27</v>
      </c>
      <c r="H16">
        <v>-16.069766000000001</v>
      </c>
      <c r="I16" t="s">
        <v>25</v>
      </c>
      <c r="J16" t="s">
        <v>25</v>
      </c>
      <c r="K16">
        <v>1426</v>
      </c>
      <c r="L16">
        <v>1</v>
      </c>
      <c r="M16">
        <v>1426</v>
      </c>
      <c r="N16" t="s">
        <v>68</v>
      </c>
      <c r="O16" t="s">
        <v>51</v>
      </c>
      <c r="P16" t="s">
        <v>30</v>
      </c>
      <c r="Q16" t="s">
        <v>31</v>
      </c>
      <c r="R16" s="3" t="s">
        <v>32</v>
      </c>
      <c r="S16" t="s">
        <v>33</v>
      </c>
      <c r="T16" t="s">
        <v>60</v>
      </c>
      <c r="U16" t="s">
        <v>35</v>
      </c>
      <c r="V16" s="18">
        <v>0</v>
      </c>
      <c r="W16" t="s">
        <v>36</v>
      </c>
    </row>
    <row r="17" spans="1:23" x14ac:dyDescent="0.55000000000000004">
      <c r="A17" s="1">
        <v>45306</v>
      </c>
      <c r="B17" s="2">
        <v>2122287272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>
        <v>-14.846822</v>
      </c>
      <c r="I17" t="s">
        <v>25</v>
      </c>
      <c r="J17" t="s">
        <v>25</v>
      </c>
      <c r="K17">
        <v>1792</v>
      </c>
      <c r="L17">
        <v>1</v>
      </c>
      <c r="M17">
        <v>1792</v>
      </c>
      <c r="N17" t="s">
        <v>28</v>
      </c>
      <c r="O17" t="s">
        <v>29</v>
      </c>
      <c r="P17" t="s">
        <v>30</v>
      </c>
      <c r="Q17" t="s">
        <v>31</v>
      </c>
      <c r="R17" s="3" t="s">
        <v>32</v>
      </c>
      <c r="S17" t="s">
        <v>33</v>
      </c>
      <c r="T17" t="s">
        <v>34</v>
      </c>
      <c r="U17" t="s">
        <v>35</v>
      </c>
      <c r="V17" s="18">
        <v>0</v>
      </c>
      <c r="W17" t="s">
        <v>36</v>
      </c>
    </row>
    <row r="18" spans="1:23" x14ac:dyDescent="0.55000000000000004">
      <c r="A18" s="1">
        <v>45306</v>
      </c>
      <c r="B18" s="2">
        <v>2118937042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>
        <v>-14.445735000000001</v>
      </c>
      <c r="I18" t="s">
        <v>25</v>
      </c>
      <c r="J18" t="s">
        <v>25</v>
      </c>
      <c r="K18">
        <v>1426</v>
      </c>
      <c r="L18">
        <v>1</v>
      </c>
      <c r="M18">
        <v>1426</v>
      </c>
      <c r="N18" t="s">
        <v>69</v>
      </c>
      <c r="O18" t="s">
        <v>29</v>
      </c>
      <c r="P18" t="s">
        <v>30</v>
      </c>
      <c r="Q18" t="s">
        <v>31</v>
      </c>
      <c r="R18" s="3" t="s">
        <v>32</v>
      </c>
      <c r="S18" t="s">
        <v>33</v>
      </c>
      <c r="T18" t="s">
        <v>34</v>
      </c>
      <c r="U18" t="s">
        <v>35</v>
      </c>
      <c r="V18" s="18">
        <v>0</v>
      </c>
      <c r="W18" t="s">
        <v>36</v>
      </c>
    </row>
    <row r="19" spans="1:23" x14ac:dyDescent="0.55000000000000004">
      <c r="A19" s="1">
        <v>45306</v>
      </c>
      <c r="B19" s="2">
        <v>2124173755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>
        <v>-14.410151000000001</v>
      </c>
      <c r="I19" t="s">
        <v>25</v>
      </c>
      <c r="J19" t="s">
        <v>25</v>
      </c>
      <c r="K19">
        <v>1792</v>
      </c>
      <c r="L19">
        <v>1</v>
      </c>
      <c r="M19">
        <v>1792</v>
      </c>
      <c r="N19" t="s">
        <v>28</v>
      </c>
      <c r="O19" t="s">
        <v>29</v>
      </c>
      <c r="P19" t="s">
        <v>30</v>
      </c>
      <c r="Q19" t="s">
        <v>31</v>
      </c>
      <c r="R19" s="3" t="s">
        <v>32</v>
      </c>
      <c r="S19" t="s">
        <v>33</v>
      </c>
      <c r="T19" t="s">
        <v>34</v>
      </c>
      <c r="U19" t="s">
        <v>35</v>
      </c>
      <c r="V19" s="18">
        <v>0</v>
      </c>
      <c r="W19" t="s">
        <v>36</v>
      </c>
    </row>
    <row r="20" spans="1:23" x14ac:dyDescent="0.55000000000000004">
      <c r="A20" s="1">
        <v>45306</v>
      </c>
      <c r="B20" s="2">
        <v>2122542214</v>
      </c>
      <c r="C20" t="s">
        <v>41</v>
      </c>
      <c r="D20" t="s">
        <v>42</v>
      </c>
      <c r="E20" t="s">
        <v>25</v>
      </c>
      <c r="F20" t="s">
        <v>26</v>
      </c>
      <c r="G20" t="s">
        <v>27</v>
      </c>
      <c r="H20">
        <v>-13.994548</v>
      </c>
      <c r="I20" t="s">
        <v>25</v>
      </c>
      <c r="J20" t="s">
        <v>25</v>
      </c>
      <c r="K20">
        <v>1792</v>
      </c>
      <c r="L20">
        <v>1</v>
      </c>
      <c r="M20">
        <v>1792</v>
      </c>
      <c r="N20" t="s">
        <v>28</v>
      </c>
      <c r="O20" t="s">
        <v>29</v>
      </c>
      <c r="P20" t="s">
        <v>30</v>
      </c>
      <c r="Q20" t="s">
        <v>31</v>
      </c>
      <c r="R20" s="3" t="s">
        <v>32</v>
      </c>
      <c r="S20" t="s">
        <v>33</v>
      </c>
      <c r="T20" t="s">
        <v>34</v>
      </c>
      <c r="U20" t="s">
        <v>47</v>
      </c>
      <c r="V20" s="18">
        <v>0</v>
      </c>
      <c r="W20" t="s">
        <v>36</v>
      </c>
    </row>
    <row r="21" spans="1:23" x14ac:dyDescent="0.55000000000000004">
      <c r="A21" s="1">
        <v>45306</v>
      </c>
      <c r="B21" s="2">
        <v>2122893484</v>
      </c>
      <c r="C21" t="s">
        <v>48</v>
      </c>
      <c r="D21" t="s">
        <v>49</v>
      </c>
      <c r="E21" t="s">
        <v>25</v>
      </c>
      <c r="F21" t="s">
        <v>26</v>
      </c>
      <c r="G21" t="s">
        <v>27</v>
      </c>
      <c r="H21">
        <v>-13.724138</v>
      </c>
      <c r="I21" t="s">
        <v>25</v>
      </c>
      <c r="J21" t="s">
        <v>25</v>
      </c>
      <c r="K21">
        <v>1742</v>
      </c>
      <c r="L21">
        <v>1</v>
      </c>
      <c r="M21">
        <v>0</v>
      </c>
      <c r="N21" t="s">
        <v>28</v>
      </c>
      <c r="O21" t="s">
        <v>29</v>
      </c>
      <c r="P21" t="s">
        <v>30</v>
      </c>
      <c r="Q21" t="s">
        <v>31</v>
      </c>
      <c r="R21" s="3" t="s">
        <v>32</v>
      </c>
      <c r="S21" t="s">
        <v>33</v>
      </c>
      <c r="T21" t="s">
        <v>34</v>
      </c>
      <c r="U21" t="s">
        <v>47</v>
      </c>
      <c r="V21" s="18">
        <v>0</v>
      </c>
      <c r="W21" t="s">
        <v>36</v>
      </c>
    </row>
    <row r="22" spans="1:23" x14ac:dyDescent="0.55000000000000004">
      <c r="A22" s="1">
        <v>45306</v>
      </c>
      <c r="B22" s="2" t="s">
        <v>70</v>
      </c>
      <c r="C22" t="s">
        <v>55</v>
      </c>
      <c r="D22" t="s">
        <v>71</v>
      </c>
      <c r="E22" t="s">
        <v>70</v>
      </c>
      <c r="F22" t="s">
        <v>26</v>
      </c>
      <c r="G22" t="s">
        <v>57</v>
      </c>
      <c r="H22">
        <v>-13.67009</v>
      </c>
      <c r="I22">
        <v>325.32086199999998</v>
      </c>
      <c r="J22">
        <v>325.32082200000002</v>
      </c>
      <c r="K22">
        <v>1787</v>
      </c>
      <c r="L22">
        <v>1</v>
      </c>
      <c r="M22">
        <v>1787</v>
      </c>
      <c r="N22" t="s">
        <v>72</v>
      </c>
      <c r="O22" t="s">
        <v>59</v>
      </c>
      <c r="P22" t="s">
        <v>44</v>
      </c>
      <c r="Q22" t="s">
        <v>45</v>
      </c>
      <c r="R22" s="3" t="s">
        <v>32</v>
      </c>
      <c r="S22" t="s">
        <v>33</v>
      </c>
      <c r="T22" t="s">
        <v>73</v>
      </c>
      <c r="U22" t="s">
        <v>47</v>
      </c>
      <c r="V22" s="18">
        <v>-109.90752359999951</v>
      </c>
      <c r="W22" t="s">
        <v>36</v>
      </c>
    </row>
    <row r="23" spans="1:23" x14ac:dyDescent="0.55000000000000004">
      <c r="A23" s="1">
        <v>45306</v>
      </c>
      <c r="B23" s="2">
        <v>2122015535</v>
      </c>
      <c r="C23" t="s">
        <v>74</v>
      </c>
      <c r="D23" t="s">
        <v>24</v>
      </c>
      <c r="E23" t="s">
        <v>25</v>
      </c>
      <c r="F23" t="s">
        <v>26</v>
      </c>
      <c r="G23" t="s">
        <v>27</v>
      </c>
      <c r="H23">
        <v>-13.527498</v>
      </c>
      <c r="I23" t="s">
        <v>25</v>
      </c>
      <c r="J23" t="s">
        <v>25</v>
      </c>
      <c r="K23">
        <v>1609</v>
      </c>
      <c r="L23">
        <v>1</v>
      </c>
      <c r="M23">
        <v>1609</v>
      </c>
      <c r="N23" t="s">
        <v>40</v>
      </c>
      <c r="O23" t="s">
        <v>29</v>
      </c>
      <c r="P23" t="s">
        <v>30</v>
      </c>
      <c r="Q23" t="s">
        <v>31</v>
      </c>
      <c r="R23" s="3" t="s">
        <v>32</v>
      </c>
      <c r="S23" t="s">
        <v>33</v>
      </c>
      <c r="T23" t="s">
        <v>34</v>
      </c>
      <c r="U23" t="s">
        <v>35</v>
      </c>
      <c r="V23" s="18">
        <v>0</v>
      </c>
      <c r="W23" t="s">
        <v>36</v>
      </c>
    </row>
    <row r="24" spans="1:23" x14ac:dyDescent="0.55000000000000004">
      <c r="A24" s="1">
        <v>45306</v>
      </c>
      <c r="B24" s="2">
        <v>2122542210</v>
      </c>
      <c r="C24" t="s">
        <v>75</v>
      </c>
      <c r="D24" t="s">
        <v>42</v>
      </c>
      <c r="E24" t="s">
        <v>25</v>
      </c>
      <c r="F24" t="s">
        <v>26</v>
      </c>
      <c r="G24" t="s">
        <v>27</v>
      </c>
      <c r="H24">
        <v>-13.300264</v>
      </c>
      <c r="I24" t="s">
        <v>25</v>
      </c>
      <c r="J24" t="s">
        <v>25</v>
      </c>
      <c r="K24">
        <v>1792</v>
      </c>
      <c r="L24">
        <v>1</v>
      </c>
      <c r="M24">
        <v>1792</v>
      </c>
      <c r="N24" t="s">
        <v>76</v>
      </c>
      <c r="O24" t="s">
        <v>29</v>
      </c>
      <c r="P24" t="s">
        <v>44</v>
      </c>
      <c r="Q24" t="s">
        <v>45</v>
      </c>
      <c r="R24" s="3" t="s">
        <v>32</v>
      </c>
      <c r="S24" t="s">
        <v>33</v>
      </c>
      <c r="T24" t="s">
        <v>34</v>
      </c>
      <c r="U24" t="s">
        <v>47</v>
      </c>
      <c r="V24" s="18">
        <v>-11.172221760000046</v>
      </c>
      <c r="W24" t="s">
        <v>36</v>
      </c>
    </row>
    <row r="25" spans="1:23" x14ac:dyDescent="0.55000000000000004">
      <c r="A25" s="1">
        <v>45306</v>
      </c>
      <c r="B25" s="2">
        <v>2114902387</v>
      </c>
      <c r="C25" t="s">
        <v>75</v>
      </c>
      <c r="D25" t="s">
        <v>42</v>
      </c>
      <c r="E25" t="s">
        <v>25</v>
      </c>
      <c r="F25" t="s">
        <v>26</v>
      </c>
      <c r="G25" t="s">
        <v>27</v>
      </c>
      <c r="H25">
        <v>-12.768632999999999</v>
      </c>
      <c r="I25" t="s">
        <v>25</v>
      </c>
      <c r="J25" t="s">
        <v>25</v>
      </c>
      <c r="K25">
        <v>2887</v>
      </c>
      <c r="L25">
        <v>1</v>
      </c>
      <c r="M25">
        <v>2887</v>
      </c>
      <c r="N25" t="s">
        <v>77</v>
      </c>
      <c r="O25" t="s">
        <v>29</v>
      </c>
      <c r="P25" t="s">
        <v>30</v>
      </c>
      <c r="Q25" t="s">
        <v>31</v>
      </c>
      <c r="R25" s="3" t="s">
        <v>32</v>
      </c>
      <c r="S25" t="s">
        <v>78</v>
      </c>
      <c r="T25" t="s">
        <v>34</v>
      </c>
      <c r="U25" t="s">
        <v>47</v>
      </c>
      <c r="V25" s="18">
        <v>0</v>
      </c>
      <c r="W25" t="s">
        <v>36</v>
      </c>
    </row>
    <row r="26" spans="1:23" x14ac:dyDescent="0.55000000000000004">
      <c r="A26" s="1">
        <v>45306</v>
      </c>
      <c r="B26" s="2">
        <v>2123984227</v>
      </c>
      <c r="C26" t="s">
        <v>75</v>
      </c>
      <c r="D26" t="s">
        <v>42</v>
      </c>
      <c r="E26" t="s">
        <v>25</v>
      </c>
      <c r="F26" t="s">
        <v>26</v>
      </c>
      <c r="G26" t="s">
        <v>27</v>
      </c>
      <c r="H26">
        <v>-12.766484</v>
      </c>
      <c r="I26" t="s">
        <v>25</v>
      </c>
      <c r="J26" t="s">
        <v>25</v>
      </c>
      <c r="K26">
        <v>1792</v>
      </c>
      <c r="L26">
        <v>1</v>
      </c>
      <c r="M26">
        <v>1792</v>
      </c>
      <c r="N26" t="s">
        <v>50</v>
      </c>
      <c r="O26" t="s">
        <v>51</v>
      </c>
      <c r="P26" t="s">
        <v>30</v>
      </c>
      <c r="Q26" t="s">
        <v>31</v>
      </c>
      <c r="R26" s="3" t="s">
        <v>32</v>
      </c>
      <c r="S26" t="s">
        <v>33</v>
      </c>
      <c r="T26" t="s">
        <v>34</v>
      </c>
      <c r="U26" t="s">
        <v>47</v>
      </c>
      <c r="V26" s="18">
        <v>0</v>
      </c>
      <c r="W26" t="s">
        <v>36</v>
      </c>
    </row>
    <row r="27" spans="1:23" x14ac:dyDescent="0.55000000000000004">
      <c r="A27" s="1">
        <v>45306</v>
      </c>
      <c r="B27">
        <v>2119096050</v>
      </c>
      <c r="C27" t="s">
        <v>66</v>
      </c>
      <c r="D27" t="s">
        <v>67</v>
      </c>
      <c r="E27" t="s">
        <v>25</v>
      </c>
      <c r="F27" t="s">
        <v>26</v>
      </c>
      <c r="G27" t="s">
        <v>27</v>
      </c>
      <c r="H27">
        <v>-12.727713</v>
      </c>
      <c r="I27" t="s">
        <v>79</v>
      </c>
      <c r="J27" t="s">
        <v>25</v>
      </c>
      <c r="K27">
        <v>1061</v>
      </c>
      <c r="L27">
        <v>1</v>
      </c>
      <c r="M27">
        <v>1061</v>
      </c>
      <c r="N27" t="s">
        <v>80</v>
      </c>
      <c r="O27" t="s">
        <v>51</v>
      </c>
      <c r="P27" t="s">
        <v>30</v>
      </c>
      <c r="Q27" t="s">
        <v>31</v>
      </c>
      <c r="R27" s="4" t="s">
        <v>46</v>
      </c>
      <c r="S27" t="s">
        <v>33</v>
      </c>
      <c r="T27" t="s">
        <v>60</v>
      </c>
      <c r="U27" t="s">
        <v>81</v>
      </c>
      <c r="V27" s="18">
        <v>0</v>
      </c>
      <c r="W27" t="s">
        <v>36</v>
      </c>
    </row>
    <row r="28" spans="1:23" x14ac:dyDescent="0.55000000000000004">
      <c r="A28" s="1">
        <v>45306</v>
      </c>
      <c r="B28">
        <v>218726570</v>
      </c>
      <c r="C28" t="s">
        <v>41</v>
      </c>
      <c r="D28" t="s">
        <v>42</v>
      </c>
      <c r="E28" t="s">
        <v>25</v>
      </c>
      <c r="F28" t="s">
        <v>26</v>
      </c>
      <c r="G28" t="s">
        <v>27</v>
      </c>
      <c r="H28">
        <v>-12.533436</v>
      </c>
      <c r="I28" t="s">
        <v>79</v>
      </c>
      <c r="J28" t="s">
        <v>25</v>
      </c>
      <c r="K28">
        <v>0</v>
      </c>
      <c r="L28">
        <v>1</v>
      </c>
      <c r="M28">
        <v>0</v>
      </c>
      <c r="N28" t="s">
        <v>28</v>
      </c>
      <c r="O28" t="s">
        <v>29</v>
      </c>
      <c r="P28" t="s">
        <v>30</v>
      </c>
      <c r="Q28" t="s">
        <v>31</v>
      </c>
      <c r="R28" t="s">
        <v>39</v>
      </c>
      <c r="S28" t="s">
        <v>33</v>
      </c>
      <c r="T28" t="s">
        <v>34</v>
      </c>
      <c r="U28" t="s">
        <v>47</v>
      </c>
      <c r="V28" s="18">
        <v>0</v>
      </c>
      <c r="W28" t="s">
        <v>36</v>
      </c>
    </row>
    <row r="29" spans="1:23" x14ac:dyDescent="0.55000000000000004">
      <c r="A29" s="1">
        <v>45306</v>
      </c>
      <c r="B29">
        <v>2122382254</v>
      </c>
      <c r="C29" t="s">
        <v>66</v>
      </c>
      <c r="D29" t="s">
        <v>67</v>
      </c>
      <c r="E29" t="s">
        <v>25</v>
      </c>
      <c r="F29" t="s">
        <v>26</v>
      </c>
      <c r="G29" t="s">
        <v>27</v>
      </c>
      <c r="H29">
        <v>-12.480352</v>
      </c>
      <c r="I29" t="s">
        <v>25</v>
      </c>
      <c r="J29" t="s">
        <v>25</v>
      </c>
      <c r="K29">
        <v>1609</v>
      </c>
      <c r="L29">
        <v>1</v>
      </c>
      <c r="M29">
        <v>1609</v>
      </c>
      <c r="N29" t="s">
        <v>82</v>
      </c>
      <c r="O29" t="s">
        <v>51</v>
      </c>
      <c r="P29" t="s">
        <v>30</v>
      </c>
      <c r="Q29" t="s">
        <v>31</v>
      </c>
      <c r="R29" s="4" t="s">
        <v>32</v>
      </c>
      <c r="S29" t="s">
        <v>33</v>
      </c>
      <c r="T29" t="s">
        <v>60</v>
      </c>
      <c r="U29" t="s">
        <v>81</v>
      </c>
      <c r="V29" s="18">
        <v>0</v>
      </c>
      <c r="W29" t="s">
        <v>36</v>
      </c>
    </row>
    <row r="30" spans="1:23" x14ac:dyDescent="0.55000000000000004">
      <c r="A30" s="1">
        <v>45306</v>
      </c>
      <c r="B30">
        <v>2122893482</v>
      </c>
      <c r="C30" t="s">
        <v>48</v>
      </c>
      <c r="D30" t="s">
        <v>49</v>
      </c>
      <c r="E30" t="s">
        <v>25</v>
      </c>
      <c r="F30" t="s">
        <v>26</v>
      </c>
      <c r="G30" t="s">
        <v>27</v>
      </c>
      <c r="H30">
        <v>-12.227057</v>
      </c>
      <c r="I30" t="s">
        <v>79</v>
      </c>
      <c r="J30" t="s">
        <v>25</v>
      </c>
      <c r="K30">
        <v>1742</v>
      </c>
      <c r="L30">
        <v>1</v>
      </c>
      <c r="M30">
        <v>1742</v>
      </c>
      <c r="N30" t="s">
        <v>76</v>
      </c>
      <c r="O30" t="s">
        <v>29</v>
      </c>
      <c r="P30" t="s">
        <v>44</v>
      </c>
      <c r="Q30" t="s">
        <v>45</v>
      </c>
      <c r="R30" s="4" t="s">
        <v>32</v>
      </c>
      <c r="S30" t="s">
        <v>33</v>
      </c>
      <c r="T30" t="s">
        <v>34</v>
      </c>
      <c r="U30" t="s">
        <v>47</v>
      </c>
      <c r="V30" s="18">
        <v>-10.270727880000042</v>
      </c>
      <c r="W30" t="s">
        <v>36</v>
      </c>
    </row>
    <row r="31" spans="1:23" x14ac:dyDescent="0.55000000000000004">
      <c r="A31" s="1">
        <v>45306</v>
      </c>
      <c r="B31">
        <v>216229993</v>
      </c>
      <c r="C31" t="s">
        <v>48</v>
      </c>
      <c r="D31" t="s">
        <v>49</v>
      </c>
      <c r="E31" t="s">
        <v>25</v>
      </c>
      <c r="F31" t="s">
        <v>26</v>
      </c>
      <c r="G31" t="s">
        <v>27</v>
      </c>
      <c r="H31">
        <v>-12.324176</v>
      </c>
      <c r="I31" t="s">
        <v>79</v>
      </c>
      <c r="J31" t="s">
        <v>25</v>
      </c>
      <c r="K31">
        <v>484</v>
      </c>
      <c r="L31">
        <v>1</v>
      </c>
      <c r="M31">
        <v>484</v>
      </c>
      <c r="N31" t="s">
        <v>76</v>
      </c>
      <c r="O31" t="s">
        <v>29</v>
      </c>
      <c r="P31" t="s">
        <v>44</v>
      </c>
      <c r="Q31" t="s">
        <v>45</v>
      </c>
      <c r="R31" s="4" t="s">
        <v>46</v>
      </c>
      <c r="S31" t="s">
        <v>33</v>
      </c>
      <c r="T31" t="s">
        <v>34</v>
      </c>
      <c r="U31" t="s">
        <v>47</v>
      </c>
      <c r="V31" s="18">
        <v>-10.352307840000043</v>
      </c>
      <c r="W31" t="s">
        <v>36</v>
      </c>
    </row>
    <row r="32" spans="1:23" x14ac:dyDescent="0.55000000000000004">
      <c r="A32" s="1">
        <v>45306</v>
      </c>
      <c r="B32">
        <v>2114902381</v>
      </c>
      <c r="C32" t="s">
        <v>41</v>
      </c>
      <c r="D32" t="s">
        <v>42</v>
      </c>
      <c r="E32" t="s">
        <v>25</v>
      </c>
      <c r="F32" t="s">
        <v>26</v>
      </c>
      <c r="G32" t="s">
        <v>27</v>
      </c>
      <c r="H32">
        <v>-12.234235999999999</v>
      </c>
      <c r="I32" t="s">
        <v>79</v>
      </c>
      <c r="J32" t="s">
        <v>25</v>
      </c>
      <c r="K32">
        <v>1061</v>
      </c>
      <c r="L32">
        <v>1</v>
      </c>
      <c r="M32">
        <v>1061</v>
      </c>
      <c r="N32" t="s">
        <v>77</v>
      </c>
      <c r="O32" t="s">
        <v>29</v>
      </c>
      <c r="P32" t="s">
        <v>30</v>
      </c>
      <c r="Q32" t="s">
        <v>31</v>
      </c>
      <c r="R32" s="4" t="s">
        <v>46</v>
      </c>
      <c r="S32" t="s">
        <v>33</v>
      </c>
      <c r="T32" t="s">
        <v>34</v>
      </c>
      <c r="U32" t="s">
        <v>47</v>
      </c>
      <c r="V32" s="18">
        <v>0</v>
      </c>
      <c r="W32" t="s">
        <v>36</v>
      </c>
    </row>
    <row r="33" spans="1:23" x14ac:dyDescent="0.55000000000000004">
      <c r="A33" s="1">
        <v>45306</v>
      </c>
      <c r="B33">
        <v>216229991</v>
      </c>
      <c r="C33" t="s">
        <v>48</v>
      </c>
      <c r="D33" t="s">
        <v>49</v>
      </c>
      <c r="E33" t="s">
        <v>25</v>
      </c>
      <c r="F33" t="s">
        <v>26</v>
      </c>
      <c r="G33" t="s">
        <v>27</v>
      </c>
      <c r="H33">
        <v>-11.956849</v>
      </c>
      <c r="I33" t="s">
        <v>25</v>
      </c>
      <c r="J33" t="s">
        <v>25</v>
      </c>
      <c r="K33">
        <v>484</v>
      </c>
      <c r="L33">
        <v>1</v>
      </c>
      <c r="M33">
        <v>484</v>
      </c>
      <c r="N33" t="s">
        <v>28</v>
      </c>
      <c r="O33" t="s">
        <v>29</v>
      </c>
      <c r="P33" t="s">
        <v>30</v>
      </c>
      <c r="Q33" t="s">
        <v>31</v>
      </c>
      <c r="R33" s="4" t="s">
        <v>46</v>
      </c>
      <c r="S33" t="s">
        <v>33</v>
      </c>
      <c r="T33" t="s">
        <v>34</v>
      </c>
      <c r="U33" t="s">
        <v>47</v>
      </c>
      <c r="V33" s="18">
        <v>0</v>
      </c>
      <c r="W33" t="s">
        <v>36</v>
      </c>
    </row>
    <row r="34" spans="1:23" x14ac:dyDescent="0.55000000000000004">
      <c r="A34" s="1">
        <v>45306</v>
      </c>
      <c r="B34">
        <v>2119702862</v>
      </c>
      <c r="C34" t="s">
        <v>83</v>
      </c>
      <c r="D34" t="s">
        <v>38</v>
      </c>
      <c r="E34" t="s">
        <v>25</v>
      </c>
      <c r="F34" t="s">
        <v>26</v>
      </c>
      <c r="G34" t="s">
        <v>27</v>
      </c>
      <c r="H34">
        <v>-11.558622</v>
      </c>
      <c r="I34" t="s">
        <v>79</v>
      </c>
      <c r="J34" t="s">
        <v>25</v>
      </c>
      <c r="K34">
        <v>0</v>
      </c>
      <c r="L34">
        <v>1</v>
      </c>
      <c r="M34">
        <v>0</v>
      </c>
      <c r="N34" t="s">
        <v>28</v>
      </c>
      <c r="O34" t="s">
        <v>29</v>
      </c>
      <c r="P34" t="s">
        <v>30</v>
      </c>
      <c r="Q34" t="s">
        <v>31</v>
      </c>
      <c r="R34" t="s">
        <v>39</v>
      </c>
      <c r="S34" t="s">
        <v>33</v>
      </c>
      <c r="T34" t="s">
        <v>34</v>
      </c>
      <c r="U34" t="s">
        <v>81</v>
      </c>
      <c r="V34" s="18">
        <v>0</v>
      </c>
      <c r="W34" t="s">
        <v>36</v>
      </c>
    </row>
    <row r="35" spans="1:23" x14ac:dyDescent="0.55000000000000004">
      <c r="A35" s="1">
        <v>45306</v>
      </c>
      <c r="B35">
        <v>2123992158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>
        <v>-11.353452000000001</v>
      </c>
      <c r="I35" t="s">
        <v>79</v>
      </c>
      <c r="J35" t="s">
        <v>25</v>
      </c>
      <c r="K35">
        <v>1792</v>
      </c>
      <c r="L35">
        <v>1</v>
      </c>
      <c r="M35">
        <v>1792</v>
      </c>
      <c r="N35" t="s">
        <v>28</v>
      </c>
      <c r="O35" t="s">
        <v>29</v>
      </c>
      <c r="P35" t="s">
        <v>30</v>
      </c>
      <c r="Q35" t="s">
        <v>31</v>
      </c>
      <c r="R35" s="4" t="s">
        <v>32</v>
      </c>
      <c r="S35" t="s">
        <v>33</v>
      </c>
      <c r="T35" t="s">
        <v>34</v>
      </c>
      <c r="U35" t="s">
        <v>81</v>
      </c>
      <c r="V35" s="18">
        <v>0</v>
      </c>
      <c r="W35" t="s">
        <v>36</v>
      </c>
    </row>
    <row r="36" spans="1:23" x14ac:dyDescent="0.55000000000000004">
      <c r="A36" s="1">
        <v>45306</v>
      </c>
      <c r="B36">
        <v>2122219434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>
        <v>-11.140293</v>
      </c>
      <c r="I36" t="s">
        <v>79</v>
      </c>
      <c r="J36" t="s">
        <v>25</v>
      </c>
      <c r="K36">
        <v>1609</v>
      </c>
      <c r="L36">
        <v>1</v>
      </c>
      <c r="M36">
        <v>1609</v>
      </c>
      <c r="N36" t="s">
        <v>40</v>
      </c>
      <c r="O36" t="s">
        <v>29</v>
      </c>
      <c r="P36" t="s">
        <v>30</v>
      </c>
      <c r="Q36" t="s">
        <v>31</v>
      </c>
      <c r="R36" s="4" t="s">
        <v>32</v>
      </c>
      <c r="S36" t="s">
        <v>33</v>
      </c>
      <c r="T36" t="s">
        <v>34</v>
      </c>
      <c r="U36" t="s">
        <v>81</v>
      </c>
      <c r="V36" s="18">
        <v>0</v>
      </c>
      <c r="W36" t="s">
        <v>36</v>
      </c>
    </row>
    <row r="37" spans="1:23" x14ac:dyDescent="0.55000000000000004">
      <c r="A37" s="1">
        <v>45306</v>
      </c>
      <c r="B37">
        <v>2122557228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>
        <v>-10.916781</v>
      </c>
      <c r="I37" t="s">
        <v>25</v>
      </c>
      <c r="J37" t="s">
        <v>25</v>
      </c>
      <c r="K37">
        <v>1792</v>
      </c>
      <c r="L37">
        <v>1</v>
      </c>
      <c r="M37">
        <v>1792</v>
      </c>
      <c r="N37" t="s">
        <v>28</v>
      </c>
      <c r="O37" t="s">
        <v>29</v>
      </c>
      <c r="P37" t="s">
        <v>30</v>
      </c>
      <c r="Q37" t="s">
        <v>31</v>
      </c>
      <c r="R37" s="4" t="s">
        <v>32</v>
      </c>
      <c r="S37" t="s">
        <v>33</v>
      </c>
      <c r="T37" t="s">
        <v>34</v>
      </c>
      <c r="U37" t="s">
        <v>81</v>
      </c>
      <c r="V37" s="18">
        <v>0</v>
      </c>
      <c r="W37" t="s">
        <v>36</v>
      </c>
    </row>
    <row r="38" spans="1:23" x14ac:dyDescent="0.55000000000000004">
      <c r="A38" s="1">
        <v>45306</v>
      </c>
      <c r="B38" t="s">
        <v>84</v>
      </c>
      <c r="C38" t="s">
        <v>85</v>
      </c>
      <c r="D38" t="s">
        <v>56</v>
      </c>
      <c r="E38" t="s">
        <v>84</v>
      </c>
      <c r="F38" t="s">
        <v>26</v>
      </c>
      <c r="G38" t="s">
        <v>57</v>
      </c>
      <c r="H38">
        <v>-10.852645000000001</v>
      </c>
      <c r="I38">
        <v>32.773440999999998</v>
      </c>
      <c r="J38">
        <v>32.773440999999998</v>
      </c>
      <c r="K38">
        <v>1059</v>
      </c>
      <c r="L38">
        <v>1</v>
      </c>
      <c r="M38">
        <v>1059</v>
      </c>
      <c r="N38" t="s">
        <v>43</v>
      </c>
      <c r="O38" t="s">
        <v>29</v>
      </c>
      <c r="P38" t="s">
        <v>44</v>
      </c>
      <c r="Q38" t="s">
        <v>45</v>
      </c>
      <c r="R38" s="4" t="s">
        <v>46</v>
      </c>
      <c r="S38" t="s">
        <v>33</v>
      </c>
      <c r="T38" t="s">
        <v>60</v>
      </c>
      <c r="U38" t="s">
        <v>47</v>
      </c>
      <c r="V38" s="18">
        <v>-9.1162218000000372</v>
      </c>
      <c r="W38" t="s">
        <v>36</v>
      </c>
    </row>
    <row r="39" spans="1:23" x14ac:dyDescent="0.55000000000000004">
      <c r="A39" s="1">
        <v>45306</v>
      </c>
      <c r="B39">
        <v>218707351</v>
      </c>
      <c r="C39" t="s">
        <v>41</v>
      </c>
      <c r="D39" t="s">
        <v>42</v>
      </c>
      <c r="E39" t="s">
        <v>25</v>
      </c>
      <c r="F39" t="s">
        <v>26</v>
      </c>
      <c r="G39" t="s">
        <v>27</v>
      </c>
      <c r="H39">
        <v>-10.676226</v>
      </c>
      <c r="I39" t="s">
        <v>79</v>
      </c>
      <c r="J39" t="s">
        <v>25</v>
      </c>
      <c r="K39">
        <v>0</v>
      </c>
      <c r="L39">
        <v>1</v>
      </c>
      <c r="M39">
        <v>0</v>
      </c>
      <c r="N39" t="s">
        <v>76</v>
      </c>
      <c r="O39" t="s">
        <v>29</v>
      </c>
      <c r="P39" t="s">
        <v>44</v>
      </c>
      <c r="Q39" t="s">
        <v>45</v>
      </c>
      <c r="R39" t="s">
        <v>39</v>
      </c>
      <c r="S39" t="s">
        <v>33</v>
      </c>
      <c r="T39" t="s">
        <v>34</v>
      </c>
      <c r="U39" t="s">
        <v>47</v>
      </c>
      <c r="V39" s="18">
        <v>-8.9680298400000353</v>
      </c>
      <c r="W39" t="s">
        <v>36</v>
      </c>
    </row>
    <row r="40" spans="1:23" x14ac:dyDescent="0.55000000000000004">
      <c r="A40" s="1">
        <v>45306</v>
      </c>
      <c r="B40">
        <v>219938036</v>
      </c>
      <c r="C40" t="s">
        <v>48</v>
      </c>
      <c r="D40" t="s">
        <v>49</v>
      </c>
      <c r="E40" t="s">
        <v>25</v>
      </c>
      <c r="F40" t="s">
        <v>26</v>
      </c>
      <c r="G40" t="s">
        <v>27</v>
      </c>
      <c r="H40">
        <v>-10.437324</v>
      </c>
      <c r="I40" t="s">
        <v>79</v>
      </c>
      <c r="J40" t="s">
        <v>25</v>
      </c>
      <c r="K40">
        <v>0</v>
      </c>
      <c r="L40">
        <v>1</v>
      </c>
      <c r="M40">
        <v>0</v>
      </c>
      <c r="N40" t="s">
        <v>76</v>
      </c>
      <c r="O40" t="s">
        <v>29</v>
      </c>
      <c r="P40" t="s">
        <v>44</v>
      </c>
      <c r="Q40" t="s">
        <v>45</v>
      </c>
      <c r="R40" t="s">
        <v>39</v>
      </c>
      <c r="S40" t="s">
        <v>33</v>
      </c>
      <c r="T40" t="s">
        <v>34</v>
      </c>
      <c r="U40" t="s">
        <v>47</v>
      </c>
      <c r="V40" s="18">
        <v>-8.7673521600000353</v>
      </c>
      <c r="W40" t="s">
        <v>36</v>
      </c>
    </row>
    <row r="41" spans="1:23" x14ac:dyDescent="0.55000000000000004">
      <c r="A41" s="1">
        <v>45306</v>
      </c>
      <c r="B41">
        <v>2120161046</v>
      </c>
      <c r="C41" t="s">
        <v>41</v>
      </c>
      <c r="D41" t="s">
        <v>42</v>
      </c>
      <c r="E41" t="s">
        <v>25</v>
      </c>
      <c r="F41" t="s">
        <v>26</v>
      </c>
      <c r="G41" t="s">
        <v>27</v>
      </c>
      <c r="H41">
        <v>-10.417903000000001</v>
      </c>
      <c r="I41" t="s">
        <v>25</v>
      </c>
      <c r="J41" t="s">
        <v>25</v>
      </c>
      <c r="K41">
        <v>3253</v>
      </c>
      <c r="L41">
        <v>1</v>
      </c>
      <c r="M41">
        <v>3253</v>
      </c>
      <c r="N41" t="s">
        <v>69</v>
      </c>
      <c r="O41" t="s">
        <v>29</v>
      </c>
      <c r="P41" t="s">
        <v>30</v>
      </c>
      <c r="Q41" t="s">
        <v>31</v>
      </c>
      <c r="R41" s="4" t="s">
        <v>32</v>
      </c>
      <c r="S41" t="s">
        <v>78</v>
      </c>
      <c r="T41" t="s">
        <v>34</v>
      </c>
      <c r="U41" t="s">
        <v>47</v>
      </c>
      <c r="V41" s="18">
        <v>0</v>
      </c>
      <c r="W41" t="s">
        <v>36</v>
      </c>
    </row>
    <row r="42" spans="1:23" x14ac:dyDescent="0.55000000000000004">
      <c r="A42" s="1">
        <v>45306</v>
      </c>
      <c r="B42">
        <v>2123595875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>
        <v>-10.261774000000001</v>
      </c>
      <c r="I42" t="s">
        <v>79</v>
      </c>
      <c r="J42" t="s">
        <v>25</v>
      </c>
      <c r="K42">
        <v>1792</v>
      </c>
      <c r="L42">
        <v>1</v>
      </c>
      <c r="M42">
        <v>1792</v>
      </c>
      <c r="N42" t="s">
        <v>28</v>
      </c>
      <c r="O42" t="s">
        <v>29</v>
      </c>
      <c r="P42" t="s">
        <v>30</v>
      </c>
      <c r="Q42" t="s">
        <v>31</v>
      </c>
      <c r="R42" s="4" t="s">
        <v>32</v>
      </c>
      <c r="S42" t="s">
        <v>33</v>
      </c>
      <c r="T42" t="s">
        <v>34</v>
      </c>
      <c r="U42" t="s">
        <v>81</v>
      </c>
      <c r="V42" s="18">
        <v>0</v>
      </c>
      <c r="W42" t="s">
        <v>36</v>
      </c>
    </row>
    <row r="43" spans="1:23" x14ac:dyDescent="0.55000000000000004">
      <c r="A43" s="1">
        <v>45306</v>
      </c>
      <c r="B43">
        <v>2119702822</v>
      </c>
      <c r="C43" t="s">
        <v>83</v>
      </c>
      <c r="D43" t="s">
        <v>38</v>
      </c>
      <c r="E43" t="s">
        <v>25</v>
      </c>
      <c r="F43" t="s">
        <v>26</v>
      </c>
      <c r="G43" t="s">
        <v>27</v>
      </c>
      <c r="H43">
        <v>-10.182200999999999</v>
      </c>
      <c r="I43" t="s">
        <v>79</v>
      </c>
      <c r="J43" t="s">
        <v>25</v>
      </c>
      <c r="K43">
        <v>0</v>
      </c>
      <c r="L43">
        <v>1</v>
      </c>
      <c r="M43">
        <v>0</v>
      </c>
      <c r="N43" t="s">
        <v>76</v>
      </c>
      <c r="O43" t="s">
        <v>29</v>
      </c>
      <c r="P43" t="s">
        <v>44</v>
      </c>
      <c r="Q43" t="s">
        <v>45</v>
      </c>
      <c r="R43" t="s">
        <v>39</v>
      </c>
      <c r="S43" t="s">
        <v>33</v>
      </c>
      <c r="T43" t="s">
        <v>34</v>
      </c>
      <c r="U43" t="s">
        <v>81</v>
      </c>
      <c r="V43" s="18">
        <v>-8.5530488400000344</v>
      </c>
      <c r="W43" t="s">
        <v>36</v>
      </c>
    </row>
    <row r="44" spans="1:23" x14ac:dyDescent="0.55000000000000004">
      <c r="A44" s="1">
        <v>45306</v>
      </c>
      <c r="B44">
        <v>219938037</v>
      </c>
      <c r="C44" t="s">
        <v>48</v>
      </c>
      <c r="D44" t="s">
        <v>49</v>
      </c>
      <c r="E44" t="s">
        <v>25</v>
      </c>
      <c r="F44" t="s">
        <v>26</v>
      </c>
      <c r="G44" t="s">
        <v>27</v>
      </c>
      <c r="H44">
        <v>-10.099816000000001</v>
      </c>
      <c r="I44" t="s">
        <v>79</v>
      </c>
      <c r="J44" t="s">
        <v>25</v>
      </c>
      <c r="K44">
        <v>0</v>
      </c>
      <c r="L44">
        <v>1</v>
      </c>
      <c r="M44">
        <v>0</v>
      </c>
      <c r="N44" t="s">
        <v>28</v>
      </c>
      <c r="O44" t="s">
        <v>29</v>
      </c>
      <c r="P44" t="s">
        <v>30</v>
      </c>
      <c r="Q44" t="s">
        <v>31</v>
      </c>
      <c r="R44" t="s">
        <v>39</v>
      </c>
      <c r="S44" t="s">
        <v>33</v>
      </c>
      <c r="T44" t="s">
        <v>34</v>
      </c>
      <c r="U44" t="s">
        <v>47</v>
      </c>
      <c r="V44" s="18">
        <v>0</v>
      </c>
      <c r="W44" t="s">
        <v>36</v>
      </c>
    </row>
    <row r="45" spans="1:23" x14ac:dyDescent="0.55000000000000004">
      <c r="A45" s="1">
        <v>45306</v>
      </c>
      <c r="B45">
        <v>2121280815</v>
      </c>
      <c r="C45" t="s">
        <v>41</v>
      </c>
      <c r="D45" t="s">
        <v>42</v>
      </c>
      <c r="E45" t="s">
        <v>25</v>
      </c>
      <c r="F45" t="s">
        <v>26</v>
      </c>
      <c r="G45" t="s">
        <v>27</v>
      </c>
      <c r="H45">
        <v>-10.069551000000001</v>
      </c>
      <c r="I45" t="s">
        <v>25</v>
      </c>
      <c r="J45" t="s">
        <v>25</v>
      </c>
      <c r="K45">
        <v>1609</v>
      </c>
      <c r="L45">
        <v>1</v>
      </c>
      <c r="M45">
        <v>1609</v>
      </c>
      <c r="N45" t="s">
        <v>86</v>
      </c>
      <c r="O45" t="s">
        <v>29</v>
      </c>
      <c r="P45" t="s">
        <v>44</v>
      </c>
      <c r="Q45" t="s">
        <v>45</v>
      </c>
      <c r="R45" s="4" t="s">
        <v>32</v>
      </c>
      <c r="S45" t="s">
        <v>33</v>
      </c>
      <c r="T45" t="s">
        <v>34</v>
      </c>
      <c r="U45" t="s">
        <v>47</v>
      </c>
      <c r="V45" s="18">
        <v>-8.4584228400000345</v>
      </c>
      <c r="W45" t="s">
        <v>36</v>
      </c>
    </row>
    <row r="46" spans="1:23" x14ac:dyDescent="0.55000000000000004">
      <c r="A46" s="1">
        <v>45306</v>
      </c>
      <c r="B46">
        <v>2112287931</v>
      </c>
      <c r="C46" t="s">
        <v>41</v>
      </c>
      <c r="D46" t="s">
        <v>42</v>
      </c>
      <c r="E46" t="s">
        <v>25</v>
      </c>
      <c r="F46" t="s">
        <v>26</v>
      </c>
      <c r="G46" t="s">
        <v>27</v>
      </c>
      <c r="H46">
        <v>-10.041492</v>
      </c>
      <c r="I46" t="s">
        <v>79</v>
      </c>
      <c r="J46" t="s">
        <v>25</v>
      </c>
      <c r="K46">
        <v>3070</v>
      </c>
      <c r="L46">
        <v>1</v>
      </c>
      <c r="M46">
        <v>3070</v>
      </c>
      <c r="N46" t="s">
        <v>65</v>
      </c>
      <c r="O46" t="s">
        <v>29</v>
      </c>
      <c r="P46" t="s">
        <v>30</v>
      </c>
      <c r="Q46" t="s">
        <v>31</v>
      </c>
      <c r="R46" s="4" t="s">
        <v>32</v>
      </c>
      <c r="S46" t="s">
        <v>78</v>
      </c>
      <c r="T46" t="s">
        <v>34</v>
      </c>
      <c r="U46" t="s">
        <v>47</v>
      </c>
      <c r="V46" s="18">
        <v>0</v>
      </c>
      <c r="W46" t="s">
        <v>36</v>
      </c>
    </row>
    <row r="47" spans="1:23" x14ac:dyDescent="0.55000000000000004">
      <c r="A47" s="1">
        <v>45306</v>
      </c>
      <c r="B47">
        <v>2124158567</v>
      </c>
      <c r="C47" t="s">
        <v>41</v>
      </c>
      <c r="D47" t="s">
        <v>42</v>
      </c>
      <c r="E47" t="s">
        <v>25</v>
      </c>
      <c r="F47" t="s">
        <v>26</v>
      </c>
      <c r="G47" t="s">
        <v>27</v>
      </c>
      <c r="H47">
        <v>-9.8650110000000009</v>
      </c>
      <c r="I47" t="s">
        <v>79</v>
      </c>
      <c r="J47" t="s">
        <v>25</v>
      </c>
      <c r="K47">
        <v>1792</v>
      </c>
      <c r="L47">
        <v>1</v>
      </c>
      <c r="M47">
        <v>1792</v>
      </c>
      <c r="N47" t="s">
        <v>50</v>
      </c>
      <c r="O47" t="s">
        <v>51</v>
      </c>
      <c r="P47" t="s">
        <v>30</v>
      </c>
      <c r="Q47" t="s">
        <v>31</v>
      </c>
      <c r="R47" s="4" t="s">
        <v>32</v>
      </c>
      <c r="S47" t="s">
        <v>33</v>
      </c>
      <c r="T47" t="s">
        <v>34</v>
      </c>
      <c r="U47" t="s">
        <v>47</v>
      </c>
      <c r="V47" s="18">
        <v>0</v>
      </c>
      <c r="W47" t="s">
        <v>36</v>
      </c>
    </row>
    <row r="48" spans="1:23" x14ac:dyDescent="0.55000000000000004">
      <c r="A48" s="1">
        <v>45306</v>
      </c>
      <c r="B48">
        <v>2122778355</v>
      </c>
      <c r="C48" t="s">
        <v>41</v>
      </c>
      <c r="D48" t="s">
        <v>42</v>
      </c>
      <c r="E48" t="s">
        <v>25</v>
      </c>
      <c r="F48" t="s">
        <v>26</v>
      </c>
      <c r="G48" t="s">
        <v>27</v>
      </c>
      <c r="H48">
        <v>-9.6715789999999995</v>
      </c>
      <c r="I48" t="s">
        <v>79</v>
      </c>
      <c r="J48" t="s">
        <v>25</v>
      </c>
      <c r="K48">
        <v>1792</v>
      </c>
      <c r="L48">
        <v>1</v>
      </c>
      <c r="M48">
        <v>1792</v>
      </c>
      <c r="N48" t="s">
        <v>50</v>
      </c>
      <c r="O48" t="s">
        <v>51</v>
      </c>
      <c r="P48" t="s">
        <v>30</v>
      </c>
      <c r="Q48" t="s">
        <v>31</v>
      </c>
      <c r="R48" s="4" t="s">
        <v>32</v>
      </c>
      <c r="S48" t="s">
        <v>33</v>
      </c>
      <c r="T48" t="s">
        <v>34</v>
      </c>
      <c r="U48" t="s">
        <v>47</v>
      </c>
      <c r="V48" s="18">
        <v>0</v>
      </c>
      <c r="W48" t="s">
        <v>36</v>
      </c>
    </row>
    <row r="49" spans="1:23" x14ac:dyDescent="0.55000000000000004">
      <c r="A49" s="1">
        <v>45306</v>
      </c>
      <c r="B49">
        <v>2118287927</v>
      </c>
      <c r="C49" t="s">
        <v>41</v>
      </c>
      <c r="D49" t="s">
        <v>42</v>
      </c>
      <c r="E49" t="s">
        <v>25</v>
      </c>
      <c r="F49" t="s">
        <v>26</v>
      </c>
      <c r="G49" t="s">
        <v>27</v>
      </c>
      <c r="H49">
        <v>-9.6419239999999995</v>
      </c>
      <c r="I49" t="s">
        <v>25</v>
      </c>
      <c r="J49" t="s">
        <v>25</v>
      </c>
      <c r="K49">
        <v>1426</v>
      </c>
      <c r="L49">
        <v>1</v>
      </c>
      <c r="M49">
        <v>1426</v>
      </c>
      <c r="N49" t="s">
        <v>69</v>
      </c>
      <c r="O49" t="s">
        <v>29</v>
      </c>
      <c r="P49" t="s">
        <v>30</v>
      </c>
      <c r="Q49" t="s">
        <v>31</v>
      </c>
      <c r="R49" s="4" t="s">
        <v>32</v>
      </c>
      <c r="S49" t="s">
        <v>33</v>
      </c>
      <c r="T49" t="s">
        <v>34</v>
      </c>
      <c r="U49" t="s">
        <v>47</v>
      </c>
      <c r="V49" s="18">
        <v>0</v>
      </c>
      <c r="W49" t="s">
        <v>36</v>
      </c>
    </row>
    <row r="50" spans="1:23" x14ac:dyDescent="0.55000000000000004">
      <c r="A50" s="1">
        <v>45306</v>
      </c>
      <c r="B50">
        <v>2120905799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>
        <v>-9.5488219999999995</v>
      </c>
      <c r="I50" t="s">
        <v>79</v>
      </c>
      <c r="J50" t="s">
        <v>25</v>
      </c>
      <c r="K50">
        <v>1609</v>
      </c>
      <c r="L50">
        <v>1</v>
      </c>
      <c r="M50">
        <v>1609</v>
      </c>
      <c r="N50" t="s">
        <v>40</v>
      </c>
      <c r="O50" t="s">
        <v>29</v>
      </c>
      <c r="P50" t="s">
        <v>30</v>
      </c>
      <c r="Q50" t="s">
        <v>31</v>
      </c>
      <c r="R50" s="4" t="s">
        <v>32</v>
      </c>
      <c r="S50" t="s">
        <v>33</v>
      </c>
      <c r="T50" t="s">
        <v>34</v>
      </c>
      <c r="U50" t="s">
        <v>81</v>
      </c>
      <c r="V50" s="18">
        <v>0</v>
      </c>
      <c r="W50" t="s">
        <v>36</v>
      </c>
    </row>
    <row r="51" spans="1:23" x14ac:dyDescent="0.55000000000000004">
      <c r="A51" s="1">
        <v>45307</v>
      </c>
      <c r="B51">
        <v>2122287473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>
        <v>-9.5155169999999991</v>
      </c>
      <c r="I51" t="s">
        <v>79</v>
      </c>
      <c r="J51" t="s">
        <v>25</v>
      </c>
      <c r="K51">
        <v>1792</v>
      </c>
      <c r="L51">
        <v>1</v>
      </c>
      <c r="M51">
        <v>1792</v>
      </c>
      <c r="N51" t="s">
        <v>28</v>
      </c>
      <c r="O51" t="s">
        <v>29</v>
      </c>
      <c r="P51" t="s">
        <v>30</v>
      </c>
      <c r="Q51" t="s">
        <v>31</v>
      </c>
      <c r="R51" s="3" t="s">
        <v>32</v>
      </c>
      <c r="S51" t="s">
        <v>33</v>
      </c>
      <c r="T51" t="s">
        <v>34</v>
      </c>
      <c r="U51" t="s">
        <v>35</v>
      </c>
      <c r="V51" s="18">
        <v>-10.94284455</v>
      </c>
      <c r="W51" t="s">
        <v>36</v>
      </c>
    </row>
    <row r="52" spans="1:23" x14ac:dyDescent="0.55000000000000004">
      <c r="A52" s="1">
        <v>45307</v>
      </c>
      <c r="B52" s="6">
        <v>2117672604</v>
      </c>
      <c r="C52" s="6" t="s">
        <v>87</v>
      </c>
      <c r="D52" s="6" t="s">
        <v>38</v>
      </c>
      <c r="E52" s="6" t="s">
        <v>25</v>
      </c>
      <c r="F52" s="6" t="s">
        <v>26</v>
      </c>
      <c r="G52" s="6" t="s">
        <v>27</v>
      </c>
      <c r="H52" s="6">
        <v>-9.1700959999999991</v>
      </c>
      <c r="I52" s="6" t="s">
        <v>25</v>
      </c>
      <c r="J52" s="6" t="s">
        <v>25</v>
      </c>
      <c r="K52" s="6">
        <v>1792</v>
      </c>
      <c r="L52" s="6">
        <v>1</v>
      </c>
      <c r="M52" s="6">
        <v>1792</v>
      </c>
      <c r="N52" s="5" t="s">
        <v>28</v>
      </c>
      <c r="O52" s="6" t="s">
        <v>29</v>
      </c>
      <c r="P52" s="6" t="s">
        <v>30</v>
      </c>
      <c r="Q52" s="6" t="s">
        <v>31</v>
      </c>
      <c r="R52" s="8" t="s">
        <v>32</v>
      </c>
      <c r="S52" s="8" t="s">
        <v>33</v>
      </c>
      <c r="T52" s="5" t="s">
        <v>34</v>
      </c>
      <c r="U52" s="5" t="s">
        <v>81</v>
      </c>
      <c r="V52" s="18">
        <v>-10.545610399999987</v>
      </c>
      <c r="W52" t="s">
        <v>36</v>
      </c>
    </row>
    <row r="53" spans="1:23" x14ac:dyDescent="0.55000000000000004">
      <c r="A53" s="1">
        <v>45307</v>
      </c>
      <c r="B53" s="6">
        <v>2119679880</v>
      </c>
      <c r="C53" s="6" t="s">
        <v>23</v>
      </c>
      <c r="D53" s="6" t="s">
        <v>24</v>
      </c>
      <c r="E53" s="6" t="s">
        <v>25</v>
      </c>
      <c r="F53" s="6" t="s">
        <v>26</v>
      </c>
      <c r="G53" s="6" t="s">
        <v>27</v>
      </c>
      <c r="H53" s="19">
        <v>-9.1700959999999991</v>
      </c>
      <c r="I53" s="6" t="s">
        <v>25</v>
      </c>
      <c r="J53" s="6" t="s">
        <v>25</v>
      </c>
      <c r="K53">
        <v>1609</v>
      </c>
      <c r="L53">
        <v>1</v>
      </c>
      <c r="M53">
        <v>1609</v>
      </c>
      <c r="N53" t="s">
        <v>40</v>
      </c>
      <c r="O53" t="s">
        <v>29</v>
      </c>
      <c r="P53" t="s">
        <v>30</v>
      </c>
      <c r="Q53" t="s">
        <v>31</v>
      </c>
      <c r="R53" s="3" t="s">
        <v>32</v>
      </c>
      <c r="S53" t="s">
        <v>33</v>
      </c>
      <c r="T53" t="s">
        <v>34</v>
      </c>
      <c r="U53" t="s">
        <v>35</v>
      </c>
      <c r="V53" s="18">
        <v>-10.545610399999987</v>
      </c>
      <c r="W53" t="s">
        <v>36</v>
      </c>
    </row>
    <row r="54" spans="1:23" x14ac:dyDescent="0.55000000000000004">
      <c r="A54" s="1">
        <v>45307</v>
      </c>
      <c r="B54" s="6">
        <v>2118770188</v>
      </c>
      <c r="C54" s="6" t="s">
        <v>23</v>
      </c>
      <c r="D54" s="6" t="s">
        <v>24</v>
      </c>
      <c r="E54" s="6" t="s">
        <v>25</v>
      </c>
      <c r="F54" s="6" t="s">
        <v>26</v>
      </c>
      <c r="G54" s="6" t="s">
        <v>27</v>
      </c>
      <c r="H54" s="6">
        <v>-8.9639740000000003</v>
      </c>
      <c r="I54" s="6" t="s">
        <v>25</v>
      </c>
      <c r="J54" s="6" t="s">
        <v>25</v>
      </c>
      <c r="K54">
        <v>0</v>
      </c>
      <c r="L54">
        <v>1</v>
      </c>
      <c r="M54">
        <v>0</v>
      </c>
      <c r="N54" t="s">
        <v>28</v>
      </c>
      <c r="O54" t="s">
        <v>29</v>
      </c>
      <c r="P54" t="s">
        <v>30</v>
      </c>
      <c r="Q54" t="s">
        <v>31</v>
      </c>
      <c r="R54" t="s">
        <v>39</v>
      </c>
      <c r="S54" t="s">
        <v>33</v>
      </c>
      <c r="T54" t="s">
        <v>34</v>
      </c>
      <c r="U54" t="s">
        <v>35</v>
      </c>
      <c r="V54" s="18">
        <v>-10.308570099999988</v>
      </c>
      <c r="W54" t="s">
        <v>36</v>
      </c>
    </row>
    <row r="55" spans="1:23" x14ac:dyDescent="0.55000000000000004">
      <c r="A55" s="1">
        <v>45307</v>
      </c>
      <c r="B55" s="6">
        <v>2121280819</v>
      </c>
      <c r="C55" s="6" t="s">
        <v>41</v>
      </c>
      <c r="D55" s="6" t="s">
        <v>42</v>
      </c>
      <c r="E55" s="6" t="s">
        <v>25</v>
      </c>
      <c r="F55" s="6" t="s">
        <v>26</v>
      </c>
      <c r="G55" s="6" t="s">
        <v>27</v>
      </c>
      <c r="H55" s="6">
        <v>-8.9171200000000006</v>
      </c>
      <c r="I55" s="6" t="s">
        <v>25</v>
      </c>
      <c r="J55" s="6" t="s">
        <v>25</v>
      </c>
      <c r="K55" s="6">
        <v>1426</v>
      </c>
      <c r="L55" s="6">
        <v>1</v>
      </c>
      <c r="M55" s="6">
        <v>1426</v>
      </c>
      <c r="N55" s="5" t="s">
        <v>69</v>
      </c>
      <c r="O55" s="6" t="s">
        <v>29</v>
      </c>
      <c r="P55" s="6" t="s">
        <v>30</v>
      </c>
      <c r="Q55" s="6" t="s">
        <v>31</v>
      </c>
      <c r="R55" s="8" t="s">
        <v>32</v>
      </c>
      <c r="S55" s="8" t="s">
        <v>33</v>
      </c>
      <c r="T55" s="5" t="s">
        <v>34</v>
      </c>
      <c r="U55" t="s">
        <v>47</v>
      </c>
      <c r="V55" s="18">
        <v>-10.254687999999987</v>
      </c>
      <c r="W55" t="s">
        <v>36</v>
      </c>
    </row>
    <row r="56" spans="1:23" x14ac:dyDescent="0.55000000000000004">
      <c r="A56" s="1">
        <v>45307</v>
      </c>
      <c r="B56" s="6">
        <v>2123457752</v>
      </c>
      <c r="C56" s="6" t="s">
        <v>48</v>
      </c>
      <c r="D56" s="6" t="s">
        <v>49</v>
      </c>
      <c r="E56" s="6" t="s">
        <v>25</v>
      </c>
      <c r="F56" s="6" t="s">
        <v>26</v>
      </c>
      <c r="G56" s="6" t="s">
        <v>27</v>
      </c>
      <c r="H56" s="6">
        <v>-8.9171200000000006</v>
      </c>
      <c r="I56" s="6" t="s">
        <v>25</v>
      </c>
      <c r="J56" s="6" t="s">
        <v>25</v>
      </c>
      <c r="K56" s="6">
        <v>1426</v>
      </c>
      <c r="L56" s="6">
        <v>1</v>
      </c>
      <c r="M56" s="6">
        <v>1426</v>
      </c>
      <c r="N56" s="5" t="s">
        <v>69</v>
      </c>
      <c r="O56" s="6" t="s">
        <v>29</v>
      </c>
      <c r="P56" s="6" t="s">
        <v>30</v>
      </c>
      <c r="Q56" s="6" t="s">
        <v>31</v>
      </c>
      <c r="R56" s="8" t="s">
        <v>32</v>
      </c>
      <c r="S56" s="8" t="s">
        <v>33</v>
      </c>
      <c r="T56" s="5" t="s">
        <v>34</v>
      </c>
      <c r="U56" s="5" t="s">
        <v>81</v>
      </c>
      <c r="V56" s="18">
        <v>-10.254687999999987</v>
      </c>
      <c r="W56" t="s">
        <v>36</v>
      </c>
    </row>
    <row r="57" spans="1:23" x14ac:dyDescent="0.55000000000000004">
      <c r="A57" s="1">
        <v>45307</v>
      </c>
      <c r="B57" s="6">
        <v>2122891849</v>
      </c>
      <c r="C57" s="6" t="s">
        <v>52</v>
      </c>
      <c r="D57" s="6" t="s">
        <v>53</v>
      </c>
      <c r="E57" s="6" t="s">
        <v>25</v>
      </c>
      <c r="F57" s="6" t="s">
        <v>26</v>
      </c>
      <c r="G57" s="6" t="s">
        <v>27</v>
      </c>
      <c r="H57" s="6">
        <v>-8.9171200000000006</v>
      </c>
      <c r="I57" s="6" t="s">
        <v>25</v>
      </c>
      <c r="J57" s="6" t="s">
        <v>25</v>
      </c>
      <c r="K57">
        <v>625</v>
      </c>
      <c r="L57">
        <v>1</v>
      </c>
      <c r="M57">
        <v>625</v>
      </c>
      <c r="N57" t="s">
        <v>50</v>
      </c>
      <c r="O57" t="s">
        <v>51</v>
      </c>
      <c r="P57" t="s">
        <v>30</v>
      </c>
      <c r="Q57" t="s">
        <v>31</v>
      </c>
      <c r="R57" s="3" t="s">
        <v>46</v>
      </c>
      <c r="S57" t="s">
        <v>33</v>
      </c>
      <c r="T57" t="s">
        <v>34</v>
      </c>
      <c r="U57" t="s">
        <v>47</v>
      </c>
      <c r="V57" s="18">
        <v>-62.419840000000008</v>
      </c>
      <c r="W57" t="s">
        <v>36</v>
      </c>
    </row>
    <row r="58" spans="1:23" x14ac:dyDescent="0.55000000000000004">
      <c r="A58" s="1">
        <v>45307</v>
      </c>
      <c r="B58" s="7" t="s">
        <v>54</v>
      </c>
      <c r="C58" s="5" t="s">
        <v>55</v>
      </c>
      <c r="D58" s="5" t="s">
        <v>56</v>
      </c>
      <c r="E58" s="5" t="s">
        <v>54</v>
      </c>
      <c r="F58" s="5" t="s">
        <v>26</v>
      </c>
      <c r="G58" s="5" t="s">
        <v>57</v>
      </c>
      <c r="H58" s="6">
        <v>-8.7334250000000004</v>
      </c>
      <c r="I58" s="5">
        <v>181.12960799999999</v>
      </c>
      <c r="J58" s="5">
        <v>181.12960799999999</v>
      </c>
      <c r="K58">
        <v>1059</v>
      </c>
      <c r="L58">
        <v>1</v>
      </c>
      <c r="M58">
        <v>1059</v>
      </c>
      <c r="N58" t="s">
        <v>58</v>
      </c>
      <c r="O58" t="s">
        <v>59</v>
      </c>
      <c r="P58" t="s">
        <v>44</v>
      </c>
      <c r="Q58" t="s">
        <v>45</v>
      </c>
      <c r="R58" s="3" t="s">
        <v>46</v>
      </c>
      <c r="S58" t="s">
        <v>33</v>
      </c>
      <c r="T58" t="s">
        <v>60</v>
      </c>
      <c r="U58" t="s">
        <v>47</v>
      </c>
      <c r="V58" s="18">
        <v>-14.410151250000299</v>
      </c>
      <c r="W58" t="s">
        <v>36</v>
      </c>
    </row>
    <row r="59" spans="1:23" x14ac:dyDescent="0.55000000000000004">
      <c r="A59" s="1">
        <v>45307</v>
      </c>
      <c r="B59" s="7" t="s">
        <v>61</v>
      </c>
      <c r="C59" s="5" t="s">
        <v>55</v>
      </c>
      <c r="D59" s="5" t="s">
        <v>56</v>
      </c>
      <c r="E59" s="5" t="s">
        <v>61</v>
      </c>
      <c r="F59" s="5" t="s">
        <v>26</v>
      </c>
      <c r="G59" s="5" t="s">
        <v>57</v>
      </c>
      <c r="H59" s="6">
        <v>-8.7334250000000004</v>
      </c>
      <c r="I59" s="5">
        <v>203.66258199999999</v>
      </c>
      <c r="J59" s="5">
        <v>203.66258199999999</v>
      </c>
      <c r="K59">
        <v>1240</v>
      </c>
      <c r="L59">
        <v>1</v>
      </c>
      <c r="M59">
        <v>1240</v>
      </c>
      <c r="N59" t="s">
        <v>62</v>
      </c>
      <c r="O59" t="s">
        <v>59</v>
      </c>
      <c r="P59" t="s">
        <v>44</v>
      </c>
      <c r="Q59" t="s">
        <v>45</v>
      </c>
      <c r="R59" s="3" t="s">
        <v>32</v>
      </c>
      <c r="S59" t="s">
        <v>33</v>
      </c>
      <c r="T59" t="s">
        <v>60</v>
      </c>
      <c r="U59" t="s">
        <v>47</v>
      </c>
      <c r="V59" s="18">
        <v>-14.410151250000299</v>
      </c>
      <c r="W59" t="s">
        <v>36</v>
      </c>
    </row>
    <row r="60" spans="1:23" x14ac:dyDescent="0.55000000000000004">
      <c r="A60" s="1">
        <v>45307</v>
      </c>
      <c r="B60" s="7" t="s">
        <v>63</v>
      </c>
      <c r="C60" s="5" t="s">
        <v>55</v>
      </c>
      <c r="D60" s="5" t="s">
        <v>56</v>
      </c>
      <c r="E60" s="5" t="s">
        <v>63</v>
      </c>
      <c r="F60" s="5" t="s">
        <v>26</v>
      </c>
      <c r="G60" s="5" t="s">
        <v>57</v>
      </c>
      <c r="H60" s="6">
        <v>-8.7334250000000004</v>
      </c>
      <c r="I60" s="5">
        <v>181.12960799999999</v>
      </c>
      <c r="J60" s="5">
        <v>181.12960799999999</v>
      </c>
      <c r="K60">
        <v>1059</v>
      </c>
      <c r="L60">
        <v>1</v>
      </c>
      <c r="M60">
        <v>1059</v>
      </c>
      <c r="N60" t="s">
        <v>58</v>
      </c>
      <c r="O60" t="s">
        <v>59</v>
      </c>
      <c r="P60" t="s">
        <v>44</v>
      </c>
      <c r="Q60" t="s">
        <v>64</v>
      </c>
      <c r="R60" s="3" t="s">
        <v>46</v>
      </c>
      <c r="S60" t="s">
        <v>33</v>
      </c>
      <c r="T60" t="s">
        <v>60</v>
      </c>
      <c r="U60" t="s">
        <v>47</v>
      </c>
      <c r="V60" s="18">
        <v>-14.410151250000299</v>
      </c>
      <c r="W60" t="s">
        <v>36</v>
      </c>
    </row>
    <row r="61" spans="1:23" x14ac:dyDescent="0.55000000000000004">
      <c r="A61" s="1">
        <v>45307</v>
      </c>
      <c r="B61" s="6">
        <v>2122435341</v>
      </c>
      <c r="C61" s="6" t="s">
        <v>23</v>
      </c>
      <c r="D61" s="6" t="s">
        <v>24</v>
      </c>
      <c r="E61" s="6" t="s">
        <v>25</v>
      </c>
      <c r="F61" s="6" t="s">
        <v>26</v>
      </c>
      <c r="G61" s="6" t="s">
        <v>27</v>
      </c>
      <c r="H61" s="6">
        <v>-8.4971599999999992</v>
      </c>
      <c r="I61" s="6" t="s">
        <v>25</v>
      </c>
      <c r="J61" s="6" t="s">
        <v>25</v>
      </c>
      <c r="K61">
        <v>1792</v>
      </c>
      <c r="L61">
        <v>1</v>
      </c>
      <c r="M61">
        <v>1792</v>
      </c>
      <c r="N61" t="s">
        <v>28</v>
      </c>
      <c r="O61" t="s">
        <v>29</v>
      </c>
      <c r="P61" t="s">
        <v>30</v>
      </c>
      <c r="Q61" t="s">
        <v>31</v>
      </c>
      <c r="R61" s="3" t="s">
        <v>32</v>
      </c>
      <c r="S61" t="s">
        <v>33</v>
      </c>
      <c r="T61" t="s">
        <v>34</v>
      </c>
      <c r="U61" t="s">
        <v>35</v>
      </c>
      <c r="V61" s="18">
        <v>-9.7717339999999862</v>
      </c>
      <c r="W61" t="s">
        <v>36</v>
      </c>
    </row>
    <row r="62" spans="1:23" x14ac:dyDescent="0.55000000000000004">
      <c r="A62" s="1">
        <v>45307</v>
      </c>
      <c r="B62" s="6">
        <v>2121956620</v>
      </c>
      <c r="C62" s="6" t="s">
        <v>23</v>
      </c>
      <c r="D62" s="6" t="s">
        <v>24</v>
      </c>
      <c r="E62" s="6" t="s">
        <v>25</v>
      </c>
      <c r="F62" s="6" t="s">
        <v>26</v>
      </c>
      <c r="G62" s="6" t="s">
        <v>27</v>
      </c>
      <c r="H62" s="6">
        <v>-8.2769049999999993</v>
      </c>
      <c r="I62" s="6" t="s">
        <v>25</v>
      </c>
      <c r="J62" s="6" t="s">
        <v>25</v>
      </c>
      <c r="K62" s="6">
        <v>1609</v>
      </c>
      <c r="L62" s="6">
        <v>1</v>
      </c>
      <c r="M62" s="6">
        <v>1609</v>
      </c>
      <c r="N62" s="5" t="s">
        <v>86</v>
      </c>
      <c r="O62" s="6" t="s">
        <v>29</v>
      </c>
      <c r="P62" s="5" t="s">
        <v>44</v>
      </c>
      <c r="Q62" s="5" t="s">
        <v>45</v>
      </c>
      <c r="R62" s="8" t="s">
        <v>32</v>
      </c>
      <c r="S62" s="8" t="s">
        <v>33</v>
      </c>
      <c r="T62" s="5" t="s">
        <v>34</v>
      </c>
      <c r="U62" s="5" t="s">
        <v>81</v>
      </c>
      <c r="V62" s="18">
        <v>0.66215240000004461</v>
      </c>
      <c r="W62" t="s">
        <v>36</v>
      </c>
    </row>
    <row r="63" spans="1:23" x14ac:dyDescent="0.55000000000000004">
      <c r="A63" s="1">
        <v>45307</v>
      </c>
      <c r="B63" s="6">
        <v>2123457727</v>
      </c>
      <c r="C63" s="6" t="s">
        <v>41</v>
      </c>
      <c r="D63" s="6" t="s">
        <v>42</v>
      </c>
      <c r="E63" s="6" t="s">
        <v>25</v>
      </c>
      <c r="F63" s="6" t="s">
        <v>26</v>
      </c>
      <c r="G63" s="6" t="s">
        <v>27</v>
      </c>
      <c r="H63" s="6">
        <v>-8.2210479999999997</v>
      </c>
      <c r="I63" s="6" t="s">
        <v>25</v>
      </c>
      <c r="J63" s="6" t="s">
        <v>25</v>
      </c>
      <c r="K63" s="6">
        <v>695</v>
      </c>
      <c r="L63" s="6">
        <v>1</v>
      </c>
      <c r="M63" s="6">
        <v>695</v>
      </c>
      <c r="N63" s="5" t="s">
        <v>88</v>
      </c>
      <c r="O63" s="6" t="s">
        <v>29</v>
      </c>
      <c r="P63" s="5" t="s">
        <v>44</v>
      </c>
      <c r="Q63" s="5" t="s">
        <v>45</v>
      </c>
      <c r="R63" s="8" t="s">
        <v>46</v>
      </c>
      <c r="S63" s="8" t="s">
        <v>33</v>
      </c>
      <c r="T63" s="5" t="s">
        <v>34</v>
      </c>
      <c r="U63" s="5" t="s">
        <v>47</v>
      </c>
      <c r="V63" s="18">
        <v>0.65768384000004432</v>
      </c>
      <c r="W63" t="s">
        <v>36</v>
      </c>
    </row>
    <row r="64" spans="1:23" x14ac:dyDescent="0.55000000000000004">
      <c r="A64" s="1">
        <v>45307</v>
      </c>
      <c r="B64" s="6">
        <v>2116682530</v>
      </c>
      <c r="C64" s="6" t="s">
        <v>41</v>
      </c>
      <c r="D64" s="6" t="s">
        <v>42</v>
      </c>
      <c r="E64" s="6" t="s">
        <v>25</v>
      </c>
      <c r="F64" s="6" t="s">
        <v>26</v>
      </c>
      <c r="G64" s="6" t="s">
        <v>27</v>
      </c>
      <c r="H64" s="6">
        <v>-7.9573520000000002</v>
      </c>
      <c r="I64" s="6" t="s">
        <v>25</v>
      </c>
      <c r="J64" s="6" t="s">
        <v>25</v>
      </c>
      <c r="K64">
        <v>1243</v>
      </c>
      <c r="L64">
        <v>1</v>
      </c>
      <c r="M64">
        <v>1243</v>
      </c>
      <c r="N64" t="s">
        <v>65</v>
      </c>
      <c r="O64" t="s">
        <v>29</v>
      </c>
      <c r="P64" t="s">
        <v>30</v>
      </c>
      <c r="Q64" t="s">
        <v>31</v>
      </c>
      <c r="R64" s="3" t="s">
        <v>32</v>
      </c>
      <c r="S64" t="s">
        <v>33</v>
      </c>
      <c r="T64" t="s">
        <v>34</v>
      </c>
      <c r="U64" t="s">
        <v>47</v>
      </c>
      <c r="V64" s="18">
        <v>-9.1509547999999885</v>
      </c>
      <c r="W64" t="s">
        <v>36</v>
      </c>
    </row>
    <row r="65" spans="1:23" x14ac:dyDescent="0.55000000000000004">
      <c r="A65" s="1">
        <v>45307</v>
      </c>
      <c r="B65" s="6">
        <v>2121116092</v>
      </c>
      <c r="C65" s="6" t="s">
        <v>66</v>
      </c>
      <c r="D65" s="5" t="s">
        <v>67</v>
      </c>
      <c r="E65" s="5" t="s">
        <v>25</v>
      </c>
      <c r="F65" s="5" t="s">
        <v>26</v>
      </c>
      <c r="G65" s="5" t="s">
        <v>27</v>
      </c>
      <c r="H65" s="6">
        <v>-7.9573520000000002</v>
      </c>
      <c r="I65" s="6" t="s">
        <v>25</v>
      </c>
      <c r="J65" s="6" t="s">
        <v>25</v>
      </c>
      <c r="K65" s="6">
        <v>1609</v>
      </c>
      <c r="L65" s="6">
        <v>1</v>
      </c>
      <c r="M65" s="6">
        <v>1609</v>
      </c>
      <c r="N65" s="5" t="s">
        <v>40</v>
      </c>
      <c r="O65" s="6" t="s">
        <v>29</v>
      </c>
      <c r="P65" s="6" t="s">
        <v>30</v>
      </c>
      <c r="Q65" s="6" t="s">
        <v>31</v>
      </c>
      <c r="R65" s="8" t="s">
        <v>32</v>
      </c>
      <c r="S65" s="8" t="s">
        <v>33</v>
      </c>
      <c r="T65" t="s">
        <v>60</v>
      </c>
      <c r="U65" s="5" t="s">
        <v>81</v>
      </c>
      <c r="V65" s="18">
        <v>-9.1509547999999885</v>
      </c>
      <c r="W65" t="s">
        <v>36</v>
      </c>
    </row>
    <row r="66" spans="1:23" x14ac:dyDescent="0.55000000000000004">
      <c r="A66" s="1">
        <v>45307</v>
      </c>
      <c r="B66" s="6">
        <v>2122287472</v>
      </c>
      <c r="C66" s="6" t="s">
        <v>23</v>
      </c>
      <c r="D66" s="6" t="s">
        <v>24</v>
      </c>
      <c r="E66" s="5" t="s">
        <v>25</v>
      </c>
      <c r="F66" s="5" t="s">
        <v>26</v>
      </c>
      <c r="G66" s="5" t="s">
        <v>27</v>
      </c>
      <c r="H66" s="6">
        <v>-7.9573520000000002</v>
      </c>
      <c r="I66" s="6" t="s">
        <v>25</v>
      </c>
      <c r="J66" s="6" t="s">
        <v>25</v>
      </c>
      <c r="K66" s="6">
        <v>1609</v>
      </c>
      <c r="L66" s="6">
        <v>1</v>
      </c>
      <c r="M66" s="6">
        <v>1609</v>
      </c>
      <c r="N66" s="5" t="s">
        <v>40</v>
      </c>
      <c r="O66" s="6" t="s">
        <v>29</v>
      </c>
      <c r="P66" s="6" t="s">
        <v>30</v>
      </c>
      <c r="Q66" s="6" t="s">
        <v>31</v>
      </c>
      <c r="R66" s="8" t="s">
        <v>32</v>
      </c>
      <c r="S66" s="8" t="s">
        <v>33</v>
      </c>
      <c r="T66" s="5" t="s">
        <v>34</v>
      </c>
      <c r="U66" s="5" t="s">
        <v>81</v>
      </c>
      <c r="V66" s="18">
        <v>-9.1509547999999885</v>
      </c>
      <c r="W66" t="s">
        <v>36</v>
      </c>
    </row>
    <row r="67" spans="1:23" x14ac:dyDescent="0.55000000000000004">
      <c r="A67" s="1">
        <v>45307</v>
      </c>
      <c r="B67" s="6">
        <v>2118937042</v>
      </c>
      <c r="C67" s="6" t="s">
        <v>23</v>
      </c>
      <c r="D67" s="6" t="s">
        <v>24</v>
      </c>
      <c r="E67" s="5" t="s">
        <v>25</v>
      </c>
      <c r="F67" s="5" t="s">
        <v>26</v>
      </c>
      <c r="G67" s="5" t="s">
        <v>27</v>
      </c>
      <c r="H67" s="6">
        <v>-7.9573520000000002</v>
      </c>
      <c r="I67" s="6" t="s">
        <v>25</v>
      </c>
      <c r="J67" s="6" t="s">
        <v>25</v>
      </c>
      <c r="K67">
        <v>1426</v>
      </c>
      <c r="L67">
        <v>1</v>
      </c>
      <c r="M67">
        <v>1426</v>
      </c>
      <c r="N67" t="s">
        <v>69</v>
      </c>
      <c r="O67" t="s">
        <v>29</v>
      </c>
      <c r="P67" t="s">
        <v>30</v>
      </c>
      <c r="Q67" t="s">
        <v>31</v>
      </c>
      <c r="R67" s="3" t="s">
        <v>32</v>
      </c>
      <c r="S67" t="s">
        <v>33</v>
      </c>
      <c r="T67" t="s">
        <v>34</v>
      </c>
      <c r="U67" t="s">
        <v>35</v>
      </c>
      <c r="V67" s="18">
        <v>-9.1509547999999885</v>
      </c>
      <c r="W67" t="s">
        <v>36</v>
      </c>
    </row>
    <row r="68" spans="1:23" x14ac:dyDescent="0.55000000000000004">
      <c r="A68" s="1">
        <v>45307</v>
      </c>
      <c r="B68" s="6">
        <v>2124173755</v>
      </c>
      <c r="C68" s="6" t="s">
        <v>23</v>
      </c>
      <c r="D68" s="6" t="s">
        <v>24</v>
      </c>
      <c r="E68" s="5" t="s">
        <v>25</v>
      </c>
      <c r="F68" s="5" t="s">
        <v>26</v>
      </c>
      <c r="G68" s="5" t="s">
        <v>27</v>
      </c>
      <c r="H68" s="6">
        <v>-7.9573520000000002</v>
      </c>
      <c r="I68" s="6" t="s">
        <v>25</v>
      </c>
      <c r="J68" s="6" t="s">
        <v>25</v>
      </c>
      <c r="K68">
        <v>1792</v>
      </c>
      <c r="L68">
        <v>1</v>
      </c>
      <c r="M68">
        <v>1792</v>
      </c>
      <c r="N68" t="s">
        <v>28</v>
      </c>
      <c r="O68" t="s">
        <v>29</v>
      </c>
      <c r="P68" t="s">
        <v>30</v>
      </c>
      <c r="Q68" t="s">
        <v>31</v>
      </c>
      <c r="R68" s="3" t="s">
        <v>32</v>
      </c>
      <c r="S68" t="s">
        <v>33</v>
      </c>
      <c r="T68" t="s">
        <v>34</v>
      </c>
      <c r="U68" t="s">
        <v>35</v>
      </c>
      <c r="V68" s="18">
        <v>-9.1509547999999903</v>
      </c>
      <c r="W68" t="s">
        <v>36</v>
      </c>
    </row>
    <row r="69" spans="1:23" x14ac:dyDescent="0.55000000000000004">
      <c r="A69" s="1">
        <v>45307</v>
      </c>
      <c r="B69" s="6">
        <v>2122549214</v>
      </c>
      <c r="C69" s="6" t="s">
        <v>41</v>
      </c>
      <c r="D69" s="6" t="s">
        <v>42</v>
      </c>
      <c r="E69" s="5" t="s">
        <v>25</v>
      </c>
      <c r="F69" s="5" t="s">
        <v>26</v>
      </c>
      <c r="G69" s="5" t="s">
        <v>27</v>
      </c>
      <c r="H69" s="6">
        <v>-7.9161169999999998</v>
      </c>
      <c r="I69" s="6" t="s">
        <v>25</v>
      </c>
      <c r="J69" s="6" t="s">
        <v>25</v>
      </c>
      <c r="K69" s="6">
        <v>876</v>
      </c>
      <c r="L69" s="6">
        <v>1</v>
      </c>
      <c r="M69" s="6">
        <v>876</v>
      </c>
      <c r="N69" s="5" t="s">
        <v>89</v>
      </c>
      <c r="O69" s="5" t="s">
        <v>59</v>
      </c>
      <c r="P69" s="5" t="s">
        <v>44</v>
      </c>
      <c r="Q69" s="5" t="s">
        <v>45</v>
      </c>
      <c r="R69" s="8" t="s">
        <v>46</v>
      </c>
      <c r="S69" s="8" t="s">
        <v>33</v>
      </c>
      <c r="T69" s="5" t="s">
        <v>34</v>
      </c>
      <c r="U69" s="5" t="s">
        <v>47</v>
      </c>
      <c r="V69" s="18">
        <v>-13.061593050000269</v>
      </c>
      <c r="W69" t="s">
        <v>36</v>
      </c>
    </row>
    <row r="70" spans="1:23" x14ac:dyDescent="0.55000000000000004">
      <c r="A70" s="1">
        <v>45307</v>
      </c>
      <c r="B70" s="6">
        <v>2122893484</v>
      </c>
      <c r="C70" s="6" t="s">
        <v>48</v>
      </c>
      <c r="D70" s="6" t="s">
        <v>49</v>
      </c>
      <c r="E70" s="6" t="s">
        <v>25</v>
      </c>
      <c r="F70" s="6" t="s">
        <v>26</v>
      </c>
      <c r="G70" s="6" t="s">
        <v>27</v>
      </c>
      <c r="H70" s="6">
        <v>-7.8600820000000002</v>
      </c>
      <c r="I70" s="6" t="s">
        <v>25</v>
      </c>
      <c r="J70" s="6" t="s">
        <v>25</v>
      </c>
      <c r="K70">
        <v>1742</v>
      </c>
      <c r="L70">
        <v>1</v>
      </c>
      <c r="M70">
        <v>1742</v>
      </c>
      <c r="N70" t="s">
        <v>28</v>
      </c>
      <c r="O70" t="s">
        <v>29</v>
      </c>
      <c r="P70" t="s">
        <v>30</v>
      </c>
      <c r="Q70" t="s">
        <v>31</v>
      </c>
      <c r="R70" s="3" t="s">
        <v>32</v>
      </c>
      <c r="S70" t="s">
        <v>33</v>
      </c>
      <c r="T70" t="s">
        <v>34</v>
      </c>
      <c r="U70" t="s">
        <v>47</v>
      </c>
      <c r="V70" s="18">
        <v>-9.0390942999999897</v>
      </c>
      <c r="W70" t="s">
        <v>36</v>
      </c>
    </row>
    <row r="71" spans="1:23" x14ac:dyDescent="0.55000000000000004">
      <c r="A71" s="1">
        <v>45307</v>
      </c>
      <c r="B71" s="7" t="s">
        <v>70</v>
      </c>
      <c r="C71" s="5" t="s">
        <v>55</v>
      </c>
      <c r="D71" s="5" t="s">
        <v>71</v>
      </c>
      <c r="E71" s="5" t="s">
        <v>70</v>
      </c>
      <c r="F71" s="5" t="s">
        <v>26</v>
      </c>
      <c r="G71" s="5" t="s">
        <v>57</v>
      </c>
      <c r="H71" s="6">
        <v>-7.7473910000000004</v>
      </c>
      <c r="I71" s="5">
        <v>325.32086199999998</v>
      </c>
      <c r="J71" s="5">
        <v>325.32086199999998</v>
      </c>
      <c r="K71">
        <v>1787</v>
      </c>
      <c r="L71">
        <v>1</v>
      </c>
      <c r="M71">
        <v>1787</v>
      </c>
      <c r="N71" t="s">
        <v>72</v>
      </c>
      <c r="O71" t="s">
        <v>59</v>
      </c>
      <c r="P71" t="s">
        <v>44</v>
      </c>
      <c r="Q71" t="s">
        <v>45</v>
      </c>
      <c r="R71" s="3" t="s">
        <v>32</v>
      </c>
      <c r="S71" t="s">
        <v>33</v>
      </c>
      <c r="T71" t="s">
        <v>73</v>
      </c>
      <c r="U71" t="s">
        <v>47</v>
      </c>
      <c r="V71" s="18">
        <v>-12.783195150000266</v>
      </c>
      <c r="W71" t="s">
        <v>36</v>
      </c>
    </row>
    <row r="72" spans="1:23" x14ac:dyDescent="0.55000000000000004">
      <c r="A72" s="1">
        <v>45307</v>
      </c>
      <c r="B72" s="6">
        <v>2122015535</v>
      </c>
      <c r="C72" s="6" t="s">
        <v>23</v>
      </c>
      <c r="D72" s="6" t="s">
        <v>24</v>
      </c>
      <c r="E72" s="5" t="s">
        <v>25</v>
      </c>
      <c r="F72" s="5" t="s">
        <v>26</v>
      </c>
      <c r="G72" s="5" t="s">
        <v>27</v>
      </c>
      <c r="H72" s="6">
        <v>-7.7372629999999996</v>
      </c>
      <c r="I72" s="6" t="s">
        <v>25</v>
      </c>
      <c r="J72" s="6" t="s">
        <v>25</v>
      </c>
      <c r="K72">
        <v>1609</v>
      </c>
      <c r="L72">
        <v>1</v>
      </c>
      <c r="M72">
        <v>1609</v>
      </c>
      <c r="N72" t="s">
        <v>40</v>
      </c>
      <c r="O72" t="s">
        <v>29</v>
      </c>
      <c r="P72" t="s">
        <v>30</v>
      </c>
      <c r="Q72" t="s">
        <v>31</v>
      </c>
      <c r="R72" s="3" t="s">
        <v>32</v>
      </c>
      <c r="S72" t="s">
        <v>33</v>
      </c>
      <c r="T72" t="s">
        <v>34</v>
      </c>
      <c r="U72" t="s">
        <v>35</v>
      </c>
      <c r="V72" s="18">
        <v>-8.8978524499999896</v>
      </c>
      <c r="W72" t="s">
        <v>36</v>
      </c>
    </row>
    <row r="73" spans="1:23" x14ac:dyDescent="0.55000000000000004">
      <c r="A73" s="1">
        <v>45307</v>
      </c>
      <c r="B73" s="6">
        <v>2122549210</v>
      </c>
      <c r="C73" s="6" t="s">
        <v>41</v>
      </c>
      <c r="D73" s="6" t="s">
        <v>42</v>
      </c>
      <c r="E73" s="6" t="s">
        <v>25</v>
      </c>
      <c r="F73" s="6" t="s">
        <v>26</v>
      </c>
      <c r="G73" s="6" t="s">
        <v>27</v>
      </c>
      <c r="H73" s="6">
        <v>-7.2390939999999997</v>
      </c>
      <c r="I73" s="6" t="s">
        <v>25</v>
      </c>
      <c r="J73" s="6" t="s">
        <v>25</v>
      </c>
      <c r="K73" s="6">
        <v>1792</v>
      </c>
      <c r="L73" s="6">
        <v>1</v>
      </c>
      <c r="M73" s="6">
        <v>1792</v>
      </c>
      <c r="N73" s="5" t="s">
        <v>76</v>
      </c>
      <c r="O73" s="6" t="s">
        <v>29</v>
      </c>
      <c r="P73" s="5" t="s">
        <v>44</v>
      </c>
      <c r="Q73" s="5" t="s">
        <v>45</v>
      </c>
      <c r="R73" s="9" t="s">
        <v>32</v>
      </c>
      <c r="S73" s="9" t="s">
        <v>33</v>
      </c>
      <c r="T73" s="10" t="s">
        <v>34</v>
      </c>
      <c r="U73" t="s">
        <v>47</v>
      </c>
      <c r="V73" s="18">
        <v>0.57912752000003898</v>
      </c>
      <c r="W73" t="s">
        <v>36</v>
      </c>
    </row>
    <row r="74" spans="1:23" x14ac:dyDescent="0.55000000000000004">
      <c r="A74" s="1">
        <v>45307</v>
      </c>
      <c r="B74" s="6">
        <v>2114902387</v>
      </c>
      <c r="C74" s="6" t="s">
        <v>41</v>
      </c>
      <c r="D74" s="6" t="s">
        <v>42</v>
      </c>
      <c r="E74" s="6" t="s">
        <v>25</v>
      </c>
      <c r="F74" s="6" t="s">
        <v>26</v>
      </c>
      <c r="G74" s="6" t="s">
        <v>27</v>
      </c>
      <c r="H74" s="6">
        <v>-7.1616169999999997</v>
      </c>
      <c r="I74" s="6" t="s">
        <v>25</v>
      </c>
      <c r="J74" s="6" t="s">
        <v>25</v>
      </c>
      <c r="K74">
        <v>2887</v>
      </c>
      <c r="L74">
        <v>1</v>
      </c>
      <c r="M74">
        <v>2887</v>
      </c>
      <c r="N74" t="s">
        <v>77</v>
      </c>
      <c r="O74" t="s">
        <v>29</v>
      </c>
      <c r="P74" t="s">
        <v>30</v>
      </c>
      <c r="Q74" t="s">
        <v>31</v>
      </c>
      <c r="R74" s="3" t="s">
        <v>32</v>
      </c>
      <c r="S74" t="s">
        <v>78</v>
      </c>
      <c r="T74" t="s">
        <v>34</v>
      </c>
      <c r="U74" t="s">
        <v>47</v>
      </c>
      <c r="V74" s="18">
        <v>-8.23585954999999</v>
      </c>
      <c r="W74" t="s">
        <v>36</v>
      </c>
    </row>
    <row r="75" spans="1:23" x14ac:dyDescent="0.55000000000000004">
      <c r="A75" s="1">
        <v>45307</v>
      </c>
      <c r="B75" s="6">
        <v>2123984227</v>
      </c>
      <c r="C75" s="6" t="s">
        <v>41</v>
      </c>
      <c r="D75" s="6" t="s">
        <v>42</v>
      </c>
      <c r="E75" s="6" t="s">
        <v>25</v>
      </c>
      <c r="F75" s="6" t="s">
        <v>26</v>
      </c>
      <c r="G75" s="6" t="s">
        <v>27</v>
      </c>
      <c r="H75" s="6">
        <v>-7.1616169999999997</v>
      </c>
      <c r="I75" s="6" t="s">
        <v>25</v>
      </c>
      <c r="J75" s="6" t="s">
        <v>25</v>
      </c>
      <c r="K75">
        <v>1792</v>
      </c>
      <c r="L75">
        <v>1</v>
      </c>
      <c r="M75">
        <v>1792</v>
      </c>
      <c r="N75" t="s">
        <v>50</v>
      </c>
      <c r="O75" t="s">
        <v>51</v>
      </c>
      <c r="P75" t="s">
        <v>30</v>
      </c>
      <c r="Q75" t="s">
        <v>31</v>
      </c>
      <c r="R75" s="3" t="s">
        <v>32</v>
      </c>
      <c r="S75" t="s">
        <v>33</v>
      </c>
      <c r="T75" t="s">
        <v>34</v>
      </c>
      <c r="U75" t="s">
        <v>47</v>
      </c>
      <c r="V75" s="18">
        <v>-50.131318999999998</v>
      </c>
      <c r="W75" t="s">
        <v>36</v>
      </c>
    </row>
    <row r="76" spans="1:23" x14ac:dyDescent="0.55000000000000004">
      <c r="A76" s="1">
        <v>45307</v>
      </c>
      <c r="B76" s="6">
        <v>2119096050</v>
      </c>
      <c r="C76" s="6" t="s">
        <v>66</v>
      </c>
      <c r="D76" s="5" t="s">
        <v>67</v>
      </c>
      <c r="E76" s="6" t="s">
        <v>25</v>
      </c>
      <c r="F76" s="6" t="s">
        <v>26</v>
      </c>
      <c r="G76" s="6" t="s">
        <v>27</v>
      </c>
      <c r="H76" s="6">
        <v>-7.1616169999999997</v>
      </c>
      <c r="I76" s="6" t="s">
        <v>25</v>
      </c>
      <c r="J76" s="6" t="s">
        <v>25</v>
      </c>
      <c r="K76">
        <v>1061</v>
      </c>
      <c r="L76">
        <v>1</v>
      </c>
      <c r="M76">
        <v>1061</v>
      </c>
      <c r="N76" t="s">
        <v>80</v>
      </c>
      <c r="O76" t="s">
        <v>51</v>
      </c>
      <c r="P76" t="s">
        <v>30</v>
      </c>
      <c r="Q76" t="s">
        <v>31</v>
      </c>
      <c r="R76" s="4" t="s">
        <v>46</v>
      </c>
      <c r="S76" t="s">
        <v>33</v>
      </c>
      <c r="T76" t="s">
        <v>60</v>
      </c>
      <c r="U76" t="s">
        <v>81</v>
      </c>
      <c r="V76" s="18">
        <v>-50.131318999999998</v>
      </c>
      <c r="W76" t="s">
        <v>36</v>
      </c>
    </row>
    <row r="77" spans="1:23" x14ac:dyDescent="0.55000000000000004">
      <c r="A77" s="1">
        <v>45307</v>
      </c>
      <c r="B77">
        <v>218726570</v>
      </c>
      <c r="C77" t="s">
        <v>41</v>
      </c>
      <c r="D77" t="s">
        <v>42</v>
      </c>
      <c r="E77" t="s">
        <v>25</v>
      </c>
      <c r="F77" s="6" t="s">
        <v>26</v>
      </c>
      <c r="G77" t="s">
        <v>27</v>
      </c>
      <c r="H77">
        <v>-7.1616169999999997</v>
      </c>
      <c r="I77" t="s">
        <v>25</v>
      </c>
      <c r="J77" t="s">
        <v>25</v>
      </c>
      <c r="K77">
        <v>0</v>
      </c>
      <c r="L77">
        <v>1</v>
      </c>
      <c r="M77">
        <v>0</v>
      </c>
      <c r="N77" t="s">
        <v>28</v>
      </c>
      <c r="O77" t="s">
        <v>29</v>
      </c>
      <c r="P77" t="s">
        <v>30</v>
      </c>
      <c r="Q77" t="s">
        <v>31</v>
      </c>
      <c r="R77" t="s">
        <v>39</v>
      </c>
      <c r="S77" t="s">
        <v>33</v>
      </c>
      <c r="T77" t="s">
        <v>34</v>
      </c>
      <c r="U77" t="s">
        <v>47</v>
      </c>
      <c r="V77" s="18">
        <v>-8.23585954999999</v>
      </c>
      <c r="W77" t="s">
        <v>36</v>
      </c>
    </row>
    <row r="78" spans="1:23" x14ac:dyDescent="0.55000000000000004">
      <c r="A78" s="1">
        <v>45307</v>
      </c>
      <c r="B78">
        <v>2122384254</v>
      </c>
      <c r="C78" t="s">
        <v>66</v>
      </c>
      <c r="D78" t="s">
        <v>67</v>
      </c>
      <c r="E78" t="s">
        <v>25</v>
      </c>
      <c r="F78" s="6" t="s">
        <v>26</v>
      </c>
      <c r="G78" t="s">
        <v>27</v>
      </c>
      <c r="H78">
        <v>-7.1616169999999997</v>
      </c>
      <c r="I78" t="s">
        <v>25</v>
      </c>
      <c r="J78" t="s">
        <v>25</v>
      </c>
      <c r="K78">
        <v>1609</v>
      </c>
      <c r="L78">
        <v>1</v>
      </c>
      <c r="M78">
        <v>1609</v>
      </c>
      <c r="N78" t="s">
        <v>40</v>
      </c>
      <c r="O78" t="s">
        <v>29</v>
      </c>
      <c r="P78" t="s">
        <v>30</v>
      </c>
      <c r="Q78" t="s">
        <v>31</v>
      </c>
      <c r="R78" s="4" t="s">
        <v>32</v>
      </c>
      <c r="S78" t="s">
        <v>33</v>
      </c>
      <c r="T78" t="s">
        <v>60</v>
      </c>
      <c r="U78" t="s">
        <v>81</v>
      </c>
      <c r="V78" s="18">
        <v>-8.23585954999999</v>
      </c>
      <c r="W78" t="s">
        <v>36</v>
      </c>
    </row>
    <row r="79" spans="1:23" x14ac:dyDescent="0.55000000000000004">
      <c r="A79" s="1">
        <v>45307</v>
      </c>
      <c r="B79">
        <v>2122893482</v>
      </c>
      <c r="C79" t="s">
        <v>48</v>
      </c>
      <c r="D79" t="s">
        <v>49</v>
      </c>
      <c r="E79" t="s">
        <v>25</v>
      </c>
      <c r="F79" s="6" t="s">
        <v>26</v>
      </c>
      <c r="G79" t="s">
        <v>27</v>
      </c>
      <c r="H79">
        <v>-7.1421659999999996</v>
      </c>
      <c r="I79" t="s">
        <v>25</v>
      </c>
      <c r="J79" t="s">
        <v>25</v>
      </c>
      <c r="K79">
        <v>1742</v>
      </c>
      <c r="L79">
        <v>1</v>
      </c>
      <c r="M79">
        <v>1742</v>
      </c>
      <c r="N79" t="s">
        <v>76</v>
      </c>
      <c r="O79" t="s">
        <v>29</v>
      </c>
      <c r="P79" t="s">
        <v>44</v>
      </c>
      <c r="Q79" t="s">
        <v>45</v>
      </c>
      <c r="R79" s="4" t="s">
        <v>32</v>
      </c>
      <c r="S79" t="s">
        <v>33</v>
      </c>
      <c r="T79" t="s">
        <v>34</v>
      </c>
      <c r="U79" t="s">
        <v>47</v>
      </c>
      <c r="V79" s="18">
        <v>0.57137328000003851</v>
      </c>
      <c r="W79" t="s">
        <v>36</v>
      </c>
    </row>
    <row r="80" spans="1:23" x14ac:dyDescent="0.55000000000000004">
      <c r="A80" s="1">
        <v>45307</v>
      </c>
      <c r="B80">
        <v>216229993</v>
      </c>
      <c r="C80" t="s">
        <v>48</v>
      </c>
      <c r="D80" t="s">
        <v>49</v>
      </c>
      <c r="E80" t="s">
        <v>25</v>
      </c>
      <c r="F80" s="6" t="s">
        <v>26</v>
      </c>
      <c r="G80" t="s">
        <v>27</v>
      </c>
      <c r="H80">
        <v>-6.9867400000000002</v>
      </c>
      <c r="I80" t="s">
        <v>25</v>
      </c>
      <c r="J80" t="s">
        <v>25</v>
      </c>
      <c r="K80">
        <v>484</v>
      </c>
      <c r="L80">
        <v>1</v>
      </c>
      <c r="M80">
        <v>484</v>
      </c>
      <c r="N80" t="s">
        <v>76</v>
      </c>
      <c r="O80" t="s">
        <v>29</v>
      </c>
      <c r="P80" t="s">
        <v>44</v>
      </c>
      <c r="Q80" t="s">
        <v>45</v>
      </c>
      <c r="R80" s="4" t="s">
        <v>46</v>
      </c>
      <c r="S80" t="s">
        <v>33</v>
      </c>
      <c r="T80" t="s">
        <v>34</v>
      </c>
      <c r="U80" t="s">
        <v>47</v>
      </c>
      <c r="V80" s="18">
        <v>0.55893920000003772</v>
      </c>
      <c r="W80" t="s">
        <v>36</v>
      </c>
    </row>
    <row r="81" spans="1:23" x14ac:dyDescent="0.55000000000000004">
      <c r="A81" s="1">
        <v>45307</v>
      </c>
      <c r="B81">
        <v>2114902381</v>
      </c>
      <c r="C81" t="s">
        <v>41</v>
      </c>
      <c r="D81" t="s">
        <v>42</v>
      </c>
      <c r="E81" t="s">
        <v>25</v>
      </c>
      <c r="F81" s="6" t="s">
        <v>26</v>
      </c>
      <c r="G81" t="s">
        <v>27</v>
      </c>
      <c r="H81">
        <v>-6.8906999999999998</v>
      </c>
      <c r="I81" t="s">
        <v>25</v>
      </c>
      <c r="J81" t="s">
        <v>25</v>
      </c>
      <c r="K81">
        <v>1061</v>
      </c>
      <c r="L81">
        <v>1</v>
      </c>
      <c r="M81">
        <v>1061</v>
      </c>
      <c r="N81" t="s">
        <v>77</v>
      </c>
      <c r="O81" t="s">
        <v>29</v>
      </c>
      <c r="P81" t="s">
        <v>30</v>
      </c>
      <c r="Q81" t="s">
        <v>31</v>
      </c>
      <c r="R81" s="4" t="s">
        <v>46</v>
      </c>
      <c r="S81" t="s">
        <v>33</v>
      </c>
      <c r="T81" t="s">
        <v>34</v>
      </c>
      <c r="U81" t="s">
        <v>47</v>
      </c>
      <c r="V81" s="18">
        <v>-7.9243049999999897</v>
      </c>
      <c r="W81" t="s">
        <v>36</v>
      </c>
    </row>
    <row r="82" spans="1:23" x14ac:dyDescent="0.55000000000000004">
      <c r="A82" s="1">
        <v>45307</v>
      </c>
      <c r="B82">
        <v>216229991</v>
      </c>
      <c r="C82" t="s">
        <v>48</v>
      </c>
      <c r="D82" t="s">
        <v>49</v>
      </c>
      <c r="E82" t="s">
        <v>25</v>
      </c>
      <c r="F82" s="6" t="s">
        <v>26</v>
      </c>
      <c r="G82" t="s">
        <v>27</v>
      </c>
      <c r="H82">
        <v>-6.8845169999999998</v>
      </c>
      <c r="I82" t="s">
        <v>25</v>
      </c>
      <c r="J82" t="s">
        <v>25</v>
      </c>
      <c r="K82">
        <v>484</v>
      </c>
      <c r="L82">
        <v>1</v>
      </c>
      <c r="M82">
        <v>484</v>
      </c>
      <c r="N82" t="s">
        <v>28</v>
      </c>
      <c r="O82" t="s">
        <v>29</v>
      </c>
      <c r="P82" t="s">
        <v>30</v>
      </c>
      <c r="Q82" t="s">
        <v>31</v>
      </c>
      <c r="R82" s="4" t="s">
        <v>46</v>
      </c>
      <c r="S82" t="s">
        <v>33</v>
      </c>
      <c r="T82" t="s">
        <v>34</v>
      </c>
      <c r="U82" t="s">
        <v>47</v>
      </c>
      <c r="V82" s="18">
        <v>-7.9171945499999898</v>
      </c>
      <c r="W82" t="s">
        <v>36</v>
      </c>
    </row>
    <row r="83" spans="1:23" x14ac:dyDescent="0.55000000000000004">
      <c r="A83" s="1">
        <v>45307</v>
      </c>
      <c r="B83">
        <v>2119702862</v>
      </c>
      <c r="C83" t="s">
        <v>83</v>
      </c>
      <c r="D83" t="s">
        <v>38</v>
      </c>
      <c r="E83" t="s">
        <v>25</v>
      </c>
      <c r="F83" s="6" t="s">
        <v>26</v>
      </c>
      <c r="G83" t="s">
        <v>27</v>
      </c>
      <c r="H83">
        <v>-6.852436</v>
      </c>
      <c r="I83" t="s">
        <v>25</v>
      </c>
      <c r="J83" t="s">
        <v>25</v>
      </c>
      <c r="K83">
        <v>0</v>
      </c>
      <c r="L83">
        <v>1</v>
      </c>
      <c r="M83">
        <v>0</v>
      </c>
      <c r="N83" t="s">
        <v>28</v>
      </c>
      <c r="O83" t="s">
        <v>29</v>
      </c>
      <c r="P83" t="s">
        <v>30</v>
      </c>
      <c r="Q83" t="s">
        <v>31</v>
      </c>
      <c r="R83" t="s">
        <v>39</v>
      </c>
      <c r="S83" t="s">
        <v>33</v>
      </c>
      <c r="T83" t="s">
        <v>34</v>
      </c>
      <c r="U83" t="s">
        <v>81</v>
      </c>
      <c r="V83" s="18">
        <v>-7.8803013999999898</v>
      </c>
      <c r="W83" t="s">
        <v>36</v>
      </c>
    </row>
    <row r="84" spans="1:23" x14ac:dyDescent="0.55000000000000004">
      <c r="A84" s="1">
        <v>45307</v>
      </c>
      <c r="B84">
        <v>2123992158</v>
      </c>
      <c r="C84" t="s">
        <v>23</v>
      </c>
      <c r="D84" t="s">
        <v>24</v>
      </c>
      <c r="E84" t="s">
        <v>25</v>
      </c>
      <c r="F84" s="6" t="s">
        <v>26</v>
      </c>
      <c r="G84" t="s">
        <v>27</v>
      </c>
      <c r="H84">
        <v>-6.8502390000000002</v>
      </c>
      <c r="I84" t="s">
        <v>25</v>
      </c>
      <c r="J84" t="s">
        <v>25</v>
      </c>
      <c r="K84">
        <v>1792</v>
      </c>
      <c r="L84">
        <v>1</v>
      </c>
      <c r="M84">
        <v>1792</v>
      </c>
      <c r="N84" t="s">
        <v>28</v>
      </c>
      <c r="O84" t="s">
        <v>29</v>
      </c>
      <c r="P84" t="s">
        <v>30</v>
      </c>
      <c r="Q84" t="s">
        <v>31</v>
      </c>
      <c r="R84" s="4" t="s">
        <v>32</v>
      </c>
      <c r="S84" t="s">
        <v>33</v>
      </c>
      <c r="T84" t="s">
        <v>34</v>
      </c>
      <c r="U84" t="s">
        <v>81</v>
      </c>
      <c r="V84" s="18">
        <v>-7.8777748499999909</v>
      </c>
      <c r="W84" t="s">
        <v>36</v>
      </c>
    </row>
    <row r="85" spans="1:23" x14ac:dyDescent="0.55000000000000004">
      <c r="A85" s="1">
        <v>45307</v>
      </c>
      <c r="B85">
        <v>2121219434</v>
      </c>
      <c r="C85" t="s">
        <v>23</v>
      </c>
      <c r="D85" t="s">
        <v>24</v>
      </c>
      <c r="E85" t="s">
        <v>25</v>
      </c>
      <c r="F85" s="6" t="s">
        <v>26</v>
      </c>
      <c r="G85" t="s">
        <v>27</v>
      </c>
      <c r="H85">
        <v>-6.5502779999999996</v>
      </c>
      <c r="I85" t="s">
        <v>25</v>
      </c>
      <c r="J85" t="s">
        <v>25</v>
      </c>
      <c r="K85">
        <v>512</v>
      </c>
      <c r="L85">
        <v>1</v>
      </c>
      <c r="M85">
        <v>512</v>
      </c>
      <c r="N85" t="s">
        <v>90</v>
      </c>
      <c r="O85" t="s">
        <v>59</v>
      </c>
      <c r="P85" t="s">
        <v>44</v>
      </c>
      <c r="Q85" t="s">
        <v>45</v>
      </c>
      <c r="R85" s="4" t="s">
        <v>46</v>
      </c>
      <c r="S85" t="s">
        <v>33</v>
      </c>
      <c r="T85" t="s">
        <v>34</v>
      </c>
      <c r="U85" t="s">
        <v>81</v>
      </c>
      <c r="V85" s="18">
        <v>-10.807958700000222</v>
      </c>
      <c r="W85" t="s">
        <v>36</v>
      </c>
    </row>
    <row r="86" spans="1:23" x14ac:dyDescent="0.55000000000000004">
      <c r="A86" s="1">
        <v>45307</v>
      </c>
      <c r="B86">
        <v>2122557828</v>
      </c>
      <c r="C86" t="s">
        <v>23</v>
      </c>
      <c r="D86" t="s">
        <v>24</v>
      </c>
      <c r="E86" t="s">
        <v>25</v>
      </c>
      <c r="F86" s="6" t="s">
        <v>26</v>
      </c>
      <c r="G86" t="s">
        <v>27</v>
      </c>
      <c r="H86">
        <v>-6.5500679999999996</v>
      </c>
      <c r="I86" t="s">
        <v>25</v>
      </c>
      <c r="J86" t="s">
        <v>25</v>
      </c>
      <c r="K86">
        <v>1792</v>
      </c>
      <c r="L86">
        <v>1</v>
      </c>
      <c r="M86">
        <v>1792</v>
      </c>
      <c r="N86" t="s">
        <v>28</v>
      </c>
      <c r="O86" t="s">
        <v>29</v>
      </c>
      <c r="P86" t="s">
        <v>30</v>
      </c>
      <c r="Q86" t="s">
        <v>31</v>
      </c>
      <c r="R86" s="4" t="s">
        <v>32</v>
      </c>
      <c r="S86" t="s">
        <v>33</v>
      </c>
      <c r="T86" t="s">
        <v>34</v>
      </c>
      <c r="U86" t="s">
        <v>81</v>
      </c>
      <c r="V86" s="18">
        <v>-7.5325781999999899</v>
      </c>
      <c r="W86" t="s">
        <v>36</v>
      </c>
    </row>
    <row r="87" spans="1:23" x14ac:dyDescent="0.55000000000000004">
      <c r="A87" s="1">
        <v>45307</v>
      </c>
      <c r="B87" t="s">
        <v>84</v>
      </c>
      <c r="C87" t="s">
        <v>85</v>
      </c>
      <c r="D87" t="s">
        <v>56</v>
      </c>
      <c r="E87" t="s">
        <v>84</v>
      </c>
      <c r="F87" s="6" t="s">
        <v>26</v>
      </c>
      <c r="G87" t="s">
        <v>57</v>
      </c>
      <c r="H87">
        <v>-6.5500679999999996</v>
      </c>
      <c r="I87">
        <v>32.773440999999998</v>
      </c>
      <c r="J87">
        <v>32.773440999999998</v>
      </c>
      <c r="K87">
        <v>1059</v>
      </c>
      <c r="L87">
        <v>1</v>
      </c>
      <c r="M87">
        <v>1059</v>
      </c>
      <c r="N87" t="s">
        <v>43</v>
      </c>
      <c r="O87" t="s">
        <v>29</v>
      </c>
      <c r="P87" t="s">
        <v>44</v>
      </c>
      <c r="Q87" t="s">
        <v>45</v>
      </c>
      <c r="R87" s="4" t="s">
        <v>46</v>
      </c>
      <c r="S87" t="s">
        <v>33</v>
      </c>
      <c r="T87" t="s">
        <v>60</v>
      </c>
      <c r="U87" t="s">
        <v>47</v>
      </c>
      <c r="V87" s="18">
        <v>0.52400544000003535</v>
      </c>
      <c r="W87" t="s">
        <v>36</v>
      </c>
    </row>
    <row r="88" spans="1:23" x14ac:dyDescent="0.55000000000000004">
      <c r="A88" s="1">
        <v>45307</v>
      </c>
      <c r="B88">
        <v>218707351</v>
      </c>
      <c r="C88" t="s">
        <v>41</v>
      </c>
      <c r="D88" t="s">
        <v>42</v>
      </c>
      <c r="E88" t="s">
        <v>25</v>
      </c>
      <c r="F88" s="6" t="s">
        <v>26</v>
      </c>
      <c r="G88" t="s">
        <v>27</v>
      </c>
      <c r="H88">
        <v>-6.5500679999999996</v>
      </c>
      <c r="I88" t="s">
        <v>25</v>
      </c>
      <c r="J88" t="s">
        <v>25</v>
      </c>
      <c r="K88">
        <v>0</v>
      </c>
      <c r="L88">
        <v>1</v>
      </c>
      <c r="M88">
        <v>0</v>
      </c>
      <c r="N88" t="s">
        <v>76</v>
      </c>
      <c r="O88" t="s">
        <v>29</v>
      </c>
      <c r="P88" t="s">
        <v>44</v>
      </c>
      <c r="Q88" t="s">
        <v>45</v>
      </c>
      <c r="R88" t="s">
        <v>39</v>
      </c>
      <c r="S88" t="s">
        <v>33</v>
      </c>
      <c r="T88" t="s">
        <v>34</v>
      </c>
      <c r="U88" t="s">
        <v>47</v>
      </c>
      <c r="V88" s="18">
        <v>0.52400544000003535</v>
      </c>
      <c r="W88" t="s">
        <v>36</v>
      </c>
    </row>
    <row r="89" spans="1:23" x14ac:dyDescent="0.55000000000000004">
      <c r="A89" s="1">
        <v>45307</v>
      </c>
      <c r="B89">
        <v>219938036</v>
      </c>
      <c r="C89" t="s">
        <v>48</v>
      </c>
      <c r="D89" t="s">
        <v>49</v>
      </c>
      <c r="E89" t="s">
        <v>25</v>
      </c>
      <c r="F89" s="6" t="s">
        <v>26</v>
      </c>
      <c r="G89" t="s">
        <v>27</v>
      </c>
      <c r="H89">
        <v>-6.4960930000000001</v>
      </c>
      <c r="I89" t="s">
        <v>25</v>
      </c>
      <c r="J89" t="s">
        <v>25</v>
      </c>
      <c r="K89">
        <v>0</v>
      </c>
      <c r="L89">
        <v>1</v>
      </c>
      <c r="M89">
        <v>0</v>
      </c>
      <c r="N89" t="s">
        <v>76</v>
      </c>
      <c r="O89" t="s">
        <v>29</v>
      </c>
      <c r="P89" t="s">
        <v>44</v>
      </c>
      <c r="Q89" t="s">
        <v>45</v>
      </c>
      <c r="R89" t="s">
        <v>39</v>
      </c>
      <c r="S89" t="s">
        <v>33</v>
      </c>
      <c r="T89" t="s">
        <v>34</v>
      </c>
      <c r="U89" t="s">
        <v>47</v>
      </c>
      <c r="V89" s="18">
        <v>0.51968744000003508</v>
      </c>
      <c r="W89" t="s">
        <v>36</v>
      </c>
    </row>
    <row r="90" spans="1:23" x14ac:dyDescent="0.55000000000000004">
      <c r="A90" s="1">
        <v>45307</v>
      </c>
      <c r="B90">
        <v>2120161046</v>
      </c>
      <c r="C90" t="s">
        <v>41</v>
      </c>
      <c r="D90" t="s">
        <v>42</v>
      </c>
      <c r="E90" t="s">
        <v>25</v>
      </c>
      <c r="F90" s="6" t="s">
        <v>26</v>
      </c>
      <c r="G90" t="s">
        <v>27</v>
      </c>
      <c r="H90">
        <v>-6.365882</v>
      </c>
      <c r="I90" t="s">
        <v>25</v>
      </c>
      <c r="J90" t="s">
        <v>25</v>
      </c>
      <c r="K90">
        <v>3253</v>
      </c>
      <c r="L90">
        <v>1</v>
      </c>
      <c r="M90">
        <v>3253</v>
      </c>
      <c r="N90" t="s">
        <v>69</v>
      </c>
      <c r="O90" t="s">
        <v>29</v>
      </c>
      <c r="P90" t="s">
        <v>30</v>
      </c>
      <c r="Q90" t="s">
        <v>31</v>
      </c>
      <c r="R90" s="4" t="s">
        <v>32</v>
      </c>
      <c r="S90" t="s">
        <v>78</v>
      </c>
      <c r="T90" t="s">
        <v>34</v>
      </c>
      <c r="U90" t="s">
        <v>47</v>
      </c>
      <c r="V90" s="18">
        <v>-7.3207642999999907</v>
      </c>
      <c r="W90" t="s">
        <v>36</v>
      </c>
    </row>
    <row r="91" spans="1:23" x14ac:dyDescent="0.55000000000000004">
      <c r="A91" s="1">
        <v>45307</v>
      </c>
      <c r="B91">
        <v>2121293645</v>
      </c>
      <c r="C91" t="s">
        <v>23</v>
      </c>
      <c r="D91" t="s">
        <v>24</v>
      </c>
      <c r="E91" t="s">
        <v>25</v>
      </c>
      <c r="F91" s="6" t="s">
        <v>26</v>
      </c>
      <c r="G91" t="s">
        <v>27</v>
      </c>
      <c r="H91">
        <v>-6.365882</v>
      </c>
      <c r="I91" t="s">
        <v>25</v>
      </c>
      <c r="J91" t="s">
        <v>25</v>
      </c>
      <c r="K91">
        <v>1609</v>
      </c>
      <c r="L91">
        <v>1</v>
      </c>
      <c r="M91">
        <v>1609</v>
      </c>
      <c r="N91" t="s">
        <v>40</v>
      </c>
      <c r="O91" t="s">
        <v>29</v>
      </c>
      <c r="P91" t="s">
        <v>30</v>
      </c>
      <c r="Q91" t="s">
        <v>31</v>
      </c>
      <c r="R91" s="4" t="s">
        <v>32</v>
      </c>
      <c r="S91" t="s">
        <v>33</v>
      </c>
      <c r="T91" t="s">
        <v>34</v>
      </c>
      <c r="U91" t="s">
        <v>81</v>
      </c>
      <c r="V91" s="18">
        <v>-7.3207642999999907</v>
      </c>
      <c r="W91" t="s">
        <v>36</v>
      </c>
    </row>
    <row r="92" spans="1:23" x14ac:dyDescent="0.55000000000000004">
      <c r="A92" s="1">
        <v>45307</v>
      </c>
      <c r="B92">
        <v>2121280814</v>
      </c>
      <c r="C92" t="s">
        <v>41</v>
      </c>
      <c r="D92" t="s">
        <v>42</v>
      </c>
      <c r="E92" t="s">
        <v>25</v>
      </c>
      <c r="F92" s="6" t="s">
        <v>26</v>
      </c>
      <c r="G92" t="s">
        <v>27</v>
      </c>
      <c r="H92">
        <v>-6.3094070000000002</v>
      </c>
      <c r="I92" t="s">
        <v>25</v>
      </c>
      <c r="J92" t="s">
        <v>25</v>
      </c>
      <c r="K92">
        <v>1243</v>
      </c>
      <c r="L92">
        <v>1</v>
      </c>
      <c r="M92">
        <v>1243</v>
      </c>
      <c r="N92" t="s">
        <v>65</v>
      </c>
      <c r="O92" t="s">
        <v>29</v>
      </c>
      <c r="P92" t="s">
        <v>30</v>
      </c>
      <c r="Q92" t="s">
        <v>31</v>
      </c>
      <c r="R92" s="4" t="s">
        <v>32</v>
      </c>
      <c r="S92" t="s">
        <v>33</v>
      </c>
      <c r="T92" t="s">
        <v>34</v>
      </c>
      <c r="U92" t="s">
        <v>47</v>
      </c>
      <c r="V92" s="18">
        <v>-7.2558180499999914</v>
      </c>
      <c r="W92" t="s">
        <v>36</v>
      </c>
    </row>
    <row r="93" spans="1:23" x14ac:dyDescent="0.55000000000000004">
      <c r="A93" s="1">
        <v>45307</v>
      </c>
      <c r="B93" t="s">
        <v>91</v>
      </c>
      <c r="C93" t="s">
        <v>92</v>
      </c>
      <c r="D93" t="s">
        <v>93</v>
      </c>
      <c r="E93" t="s">
        <v>91</v>
      </c>
      <c r="F93" s="6" t="s">
        <v>26</v>
      </c>
      <c r="G93" t="s">
        <v>57</v>
      </c>
      <c r="H93">
        <v>-6.232164</v>
      </c>
      <c r="I93">
        <v>46.902476999999998</v>
      </c>
      <c r="J93">
        <v>46.902476999999998</v>
      </c>
      <c r="K93">
        <v>1423</v>
      </c>
      <c r="L93">
        <v>1</v>
      </c>
      <c r="M93">
        <v>1423</v>
      </c>
      <c r="N93" t="s">
        <v>69</v>
      </c>
      <c r="O93" t="s">
        <v>29</v>
      </c>
      <c r="P93" t="s">
        <v>30</v>
      </c>
      <c r="Q93" t="s">
        <v>31</v>
      </c>
      <c r="R93" s="4" t="s">
        <v>32</v>
      </c>
      <c r="S93" t="s">
        <v>33</v>
      </c>
      <c r="T93" t="s">
        <v>34</v>
      </c>
      <c r="U93" t="s">
        <v>81</v>
      </c>
      <c r="V93" s="18">
        <v>-7.1669885999999909</v>
      </c>
      <c r="W93" t="s">
        <v>36</v>
      </c>
    </row>
    <row r="94" spans="1:23" x14ac:dyDescent="0.55000000000000004">
      <c r="A94" s="1">
        <v>45307</v>
      </c>
      <c r="B94">
        <v>2118989094</v>
      </c>
      <c r="C94" t="s">
        <v>23</v>
      </c>
      <c r="D94" t="s">
        <v>24</v>
      </c>
      <c r="E94" t="s">
        <v>25</v>
      </c>
      <c r="F94" s="6" t="s">
        <v>26</v>
      </c>
      <c r="G94" t="s">
        <v>27</v>
      </c>
      <c r="H94">
        <v>-6.0636419999999998</v>
      </c>
      <c r="I94" t="s">
        <v>25</v>
      </c>
      <c r="J94" t="s">
        <v>25</v>
      </c>
      <c r="K94">
        <v>1426</v>
      </c>
      <c r="L94">
        <v>1</v>
      </c>
      <c r="M94">
        <v>1426</v>
      </c>
      <c r="N94" t="s">
        <v>69</v>
      </c>
      <c r="O94" t="s">
        <v>29</v>
      </c>
      <c r="P94" t="s">
        <v>30</v>
      </c>
      <c r="Q94" t="s">
        <v>31</v>
      </c>
      <c r="R94" s="4" t="s">
        <v>32</v>
      </c>
      <c r="S94" t="s">
        <v>33</v>
      </c>
      <c r="T94" t="s">
        <v>34</v>
      </c>
      <c r="U94" t="s">
        <v>81</v>
      </c>
      <c r="V94" s="18">
        <v>-6.9731882999999915</v>
      </c>
      <c r="W94" t="s">
        <v>36</v>
      </c>
    </row>
    <row r="95" spans="1:23" x14ac:dyDescent="0.55000000000000004">
      <c r="A95" s="1">
        <v>45307</v>
      </c>
      <c r="B95">
        <v>2117733961</v>
      </c>
      <c r="C95" t="s">
        <v>41</v>
      </c>
      <c r="D95" t="s">
        <v>42</v>
      </c>
      <c r="E95" t="s">
        <v>25</v>
      </c>
      <c r="F95" s="6" t="s">
        <v>26</v>
      </c>
      <c r="G95" t="s">
        <v>27</v>
      </c>
      <c r="H95">
        <v>-6.0142049999999996</v>
      </c>
      <c r="I95" t="s">
        <v>25</v>
      </c>
      <c r="J95" t="s">
        <v>25</v>
      </c>
      <c r="K95">
        <v>1426</v>
      </c>
      <c r="L95">
        <v>1</v>
      </c>
      <c r="M95">
        <v>1426</v>
      </c>
      <c r="N95" t="s">
        <v>94</v>
      </c>
      <c r="O95" t="s">
        <v>29</v>
      </c>
      <c r="P95" t="s">
        <v>44</v>
      </c>
      <c r="Q95" t="s">
        <v>45</v>
      </c>
      <c r="R95" s="4" t="s">
        <v>32</v>
      </c>
      <c r="S95" t="s">
        <v>33</v>
      </c>
      <c r="T95" t="s">
        <v>34</v>
      </c>
      <c r="U95" t="s">
        <v>47</v>
      </c>
      <c r="V95" s="18">
        <v>0.48113640000003244</v>
      </c>
      <c r="W95" t="s">
        <v>36</v>
      </c>
    </row>
    <row r="96" spans="1:23" x14ac:dyDescent="0.55000000000000004">
      <c r="A96" s="1">
        <v>45307</v>
      </c>
      <c r="B96">
        <v>2120214444</v>
      </c>
      <c r="C96" t="s">
        <v>23</v>
      </c>
      <c r="D96" t="s">
        <v>24</v>
      </c>
      <c r="E96" t="s">
        <v>25</v>
      </c>
      <c r="F96" s="6" t="s">
        <v>26</v>
      </c>
      <c r="G96" t="s">
        <v>27</v>
      </c>
      <c r="H96">
        <v>-5.9680140000000002</v>
      </c>
      <c r="I96" t="s">
        <v>25</v>
      </c>
      <c r="J96" t="s">
        <v>25</v>
      </c>
      <c r="K96">
        <v>1609</v>
      </c>
      <c r="L96">
        <v>1</v>
      </c>
      <c r="M96">
        <v>1609</v>
      </c>
      <c r="N96" t="s">
        <v>40</v>
      </c>
      <c r="O96" t="s">
        <v>29</v>
      </c>
      <c r="P96" t="s">
        <v>30</v>
      </c>
      <c r="Q96" t="s">
        <v>31</v>
      </c>
      <c r="R96" s="4" t="s">
        <v>32</v>
      </c>
      <c r="S96" t="s">
        <v>33</v>
      </c>
      <c r="T96" t="s">
        <v>34</v>
      </c>
      <c r="U96" t="s">
        <v>81</v>
      </c>
      <c r="V96" s="18">
        <v>-6.8632160999999918</v>
      </c>
      <c r="W96" t="s">
        <v>36</v>
      </c>
    </row>
    <row r="97" spans="1:23" x14ac:dyDescent="0.55000000000000004">
      <c r="A97" s="1">
        <v>45307</v>
      </c>
      <c r="B97">
        <v>2121909871</v>
      </c>
      <c r="C97" t="s">
        <v>23</v>
      </c>
      <c r="D97" t="s">
        <v>24</v>
      </c>
      <c r="E97" t="s">
        <v>25</v>
      </c>
      <c r="F97" s="6" t="s">
        <v>26</v>
      </c>
      <c r="G97" t="s">
        <v>27</v>
      </c>
      <c r="H97">
        <v>-5.9680140000000002</v>
      </c>
      <c r="I97" t="s">
        <v>25</v>
      </c>
      <c r="J97" t="s">
        <v>25</v>
      </c>
      <c r="K97">
        <v>1609</v>
      </c>
      <c r="L97">
        <v>1</v>
      </c>
      <c r="M97">
        <v>1609</v>
      </c>
      <c r="N97" t="s">
        <v>40</v>
      </c>
      <c r="O97" t="s">
        <v>29</v>
      </c>
      <c r="P97" t="s">
        <v>30</v>
      </c>
      <c r="Q97" t="s">
        <v>31</v>
      </c>
      <c r="R97" s="4" t="s">
        <v>32</v>
      </c>
      <c r="S97" t="s">
        <v>33</v>
      </c>
      <c r="T97" t="s">
        <v>34</v>
      </c>
      <c r="U97" t="s">
        <v>81</v>
      </c>
      <c r="V97" s="18">
        <v>-6.8632160999999918</v>
      </c>
      <c r="W97" t="s">
        <v>36</v>
      </c>
    </row>
    <row r="98" spans="1:23" x14ac:dyDescent="0.55000000000000004">
      <c r="A98" s="1">
        <v>45307</v>
      </c>
      <c r="B98">
        <v>2120964546</v>
      </c>
      <c r="C98" t="s">
        <v>23</v>
      </c>
      <c r="D98" t="s">
        <v>24</v>
      </c>
      <c r="E98" t="s">
        <v>25</v>
      </c>
      <c r="F98" s="6" t="s">
        <v>26</v>
      </c>
      <c r="G98" t="s">
        <v>27</v>
      </c>
      <c r="H98">
        <v>-5.9680140000000002</v>
      </c>
      <c r="I98" t="s">
        <v>25</v>
      </c>
      <c r="J98" t="s">
        <v>25</v>
      </c>
      <c r="K98">
        <v>1609</v>
      </c>
      <c r="L98">
        <v>1</v>
      </c>
      <c r="M98">
        <v>1609</v>
      </c>
      <c r="N98" t="s">
        <v>40</v>
      </c>
      <c r="O98" t="s">
        <v>29</v>
      </c>
      <c r="P98" t="s">
        <v>30</v>
      </c>
      <c r="Q98" t="s">
        <v>31</v>
      </c>
      <c r="R98" s="4" t="s">
        <v>32</v>
      </c>
      <c r="S98" t="s">
        <v>33</v>
      </c>
      <c r="T98" t="s">
        <v>34</v>
      </c>
      <c r="U98" t="s">
        <v>81</v>
      </c>
      <c r="V98" s="18">
        <v>-6.8632160999999918</v>
      </c>
      <c r="W98" t="s">
        <v>36</v>
      </c>
    </row>
    <row r="99" spans="1:23" x14ac:dyDescent="0.55000000000000004">
      <c r="A99" s="1">
        <v>45307</v>
      </c>
      <c r="B99">
        <v>2120561885</v>
      </c>
      <c r="C99" t="s">
        <v>23</v>
      </c>
      <c r="D99" t="s">
        <v>24</v>
      </c>
      <c r="E99" t="s">
        <v>25</v>
      </c>
      <c r="F99" s="6" t="s">
        <v>26</v>
      </c>
      <c r="G99" t="s">
        <v>27</v>
      </c>
      <c r="H99">
        <v>-5.9680140000000002</v>
      </c>
      <c r="I99" t="s">
        <v>25</v>
      </c>
      <c r="J99" t="s">
        <v>25</v>
      </c>
      <c r="K99">
        <v>1609</v>
      </c>
      <c r="L99">
        <v>1</v>
      </c>
      <c r="M99">
        <v>1609</v>
      </c>
      <c r="N99" t="s">
        <v>40</v>
      </c>
      <c r="O99" t="s">
        <v>29</v>
      </c>
      <c r="P99" t="s">
        <v>30</v>
      </c>
      <c r="Q99" t="s">
        <v>31</v>
      </c>
      <c r="R99" s="4" t="s">
        <v>32</v>
      </c>
      <c r="S99" t="s">
        <v>33</v>
      </c>
      <c r="T99" t="s">
        <v>34</v>
      </c>
      <c r="U99" t="s">
        <v>81</v>
      </c>
      <c r="V99" s="18">
        <v>-6.8632160999999918</v>
      </c>
      <c r="W99" t="s">
        <v>36</v>
      </c>
    </row>
    <row r="100" spans="1:23" x14ac:dyDescent="0.55000000000000004">
      <c r="A100" s="1">
        <v>45307</v>
      </c>
      <c r="B100">
        <v>2120374235</v>
      </c>
      <c r="C100" t="s">
        <v>23</v>
      </c>
      <c r="D100" t="s">
        <v>24</v>
      </c>
      <c r="E100" t="s">
        <v>25</v>
      </c>
      <c r="F100" s="6" t="s">
        <v>26</v>
      </c>
      <c r="G100" t="s">
        <v>27</v>
      </c>
      <c r="H100">
        <v>-5.9680140000000002</v>
      </c>
      <c r="I100" t="s">
        <v>25</v>
      </c>
      <c r="J100" t="s">
        <v>25</v>
      </c>
      <c r="K100">
        <v>1609</v>
      </c>
      <c r="L100">
        <v>1</v>
      </c>
      <c r="M100">
        <v>1609</v>
      </c>
      <c r="N100" t="s">
        <v>40</v>
      </c>
      <c r="O100" t="s">
        <v>29</v>
      </c>
      <c r="P100" t="s">
        <v>30</v>
      </c>
      <c r="Q100" t="s">
        <v>31</v>
      </c>
      <c r="R100" s="4" t="s">
        <v>32</v>
      </c>
      <c r="S100" t="s">
        <v>33</v>
      </c>
      <c r="T100" t="s">
        <v>34</v>
      </c>
      <c r="U100" t="s">
        <v>81</v>
      </c>
      <c r="V100" s="18">
        <v>-6.8632160999999918</v>
      </c>
      <c r="W100" t="s">
        <v>36</v>
      </c>
    </row>
    <row r="101" spans="1:23" x14ac:dyDescent="0.55000000000000004">
      <c r="A101" s="1">
        <v>45307</v>
      </c>
      <c r="B101">
        <v>2114902391</v>
      </c>
      <c r="C101" t="s">
        <v>41</v>
      </c>
      <c r="D101" t="s">
        <v>42</v>
      </c>
      <c r="E101" t="s">
        <v>25</v>
      </c>
      <c r="F101" s="6" t="s">
        <v>26</v>
      </c>
      <c r="G101" t="s">
        <v>27</v>
      </c>
      <c r="H101">
        <v>-5.7850729999999997</v>
      </c>
      <c r="I101" t="s">
        <v>25</v>
      </c>
      <c r="J101" t="s">
        <v>25</v>
      </c>
      <c r="K101">
        <v>1243</v>
      </c>
      <c r="L101">
        <v>1</v>
      </c>
      <c r="M101">
        <v>1243</v>
      </c>
      <c r="N101" t="s">
        <v>95</v>
      </c>
      <c r="O101" t="s">
        <v>59</v>
      </c>
      <c r="P101" t="s">
        <v>30</v>
      </c>
      <c r="Q101" t="s">
        <v>31</v>
      </c>
      <c r="R101" s="4" t="s">
        <v>32</v>
      </c>
      <c r="S101" t="s">
        <v>33</v>
      </c>
      <c r="T101" t="s">
        <v>34</v>
      </c>
      <c r="U101" t="s">
        <v>47</v>
      </c>
      <c r="V101" s="18">
        <v>-40.495511</v>
      </c>
      <c r="W101" t="s">
        <v>36</v>
      </c>
    </row>
  </sheetData>
  <autoFilter ref="A1:W101" xr:uid="{6ABB2492-0FC2-4D44-BD36-7927F259C1D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A6A1-2178-4BB9-B43C-4756FA491663}">
  <sheetPr filterMode="1"/>
  <dimension ref="A1:H52"/>
  <sheetViews>
    <sheetView zoomScale="110" zoomScaleNormal="110" workbookViewId="0">
      <selection activeCell="E15" sqref="E15"/>
    </sheetView>
  </sheetViews>
  <sheetFormatPr defaultColWidth="8.5234375" defaultRowHeight="14.4" x14ac:dyDescent="0.55000000000000004"/>
  <cols>
    <col min="1" max="1" width="16.26171875" bestFit="1" customWidth="1"/>
    <col min="2" max="3" width="13.734375" bestFit="1" customWidth="1"/>
    <col min="4" max="4" width="16.15625" bestFit="1" customWidth="1"/>
    <col min="5" max="5" width="30.47265625" bestFit="1" customWidth="1"/>
    <col min="6" max="6" width="6.7890625" bestFit="1" customWidth="1"/>
    <col min="7" max="7" width="5.26171875" bestFit="1" customWidth="1"/>
  </cols>
  <sheetData>
    <row r="1" spans="1:8" x14ac:dyDescent="0.55000000000000004">
      <c r="A1" s="12" t="s">
        <v>16</v>
      </c>
      <c r="B1" s="12" t="s">
        <v>15</v>
      </c>
      <c r="C1" s="12" t="s">
        <v>96</v>
      </c>
      <c r="D1" s="12" t="s">
        <v>22</v>
      </c>
      <c r="E1" s="12" t="s">
        <v>97</v>
      </c>
      <c r="F1" s="12" t="s">
        <v>98</v>
      </c>
      <c r="G1" s="12" t="s">
        <v>99</v>
      </c>
      <c r="H1" s="13"/>
    </row>
    <row r="2" spans="1:8" x14ac:dyDescent="0.55000000000000004">
      <c r="A2" t="s">
        <v>31</v>
      </c>
      <c r="B2" t="s">
        <v>30</v>
      </c>
      <c r="C2" t="s">
        <v>51</v>
      </c>
      <c r="D2" t="s">
        <v>100</v>
      </c>
      <c r="E2" t="s">
        <v>101</v>
      </c>
      <c r="F2" t="s">
        <v>102</v>
      </c>
      <c r="G2">
        <v>60</v>
      </c>
    </row>
    <row r="3" spans="1:8" hidden="1" x14ac:dyDescent="0.55000000000000004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102</v>
      </c>
      <c r="G3">
        <v>60</v>
      </c>
    </row>
    <row r="4" spans="1:8" hidden="1" x14ac:dyDescent="0.55000000000000004">
      <c r="A4" t="s">
        <v>108</v>
      </c>
      <c r="B4" t="s">
        <v>109</v>
      </c>
      <c r="C4" t="s">
        <v>29</v>
      </c>
      <c r="D4" t="s">
        <v>110</v>
      </c>
      <c r="E4" t="s">
        <v>111</v>
      </c>
      <c r="F4" t="s">
        <v>102</v>
      </c>
      <c r="G4">
        <v>40</v>
      </c>
    </row>
    <row r="5" spans="1:8" x14ac:dyDescent="0.55000000000000004">
      <c r="A5" t="s">
        <v>31</v>
      </c>
      <c r="B5" t="s">
        <v>30</v>
      </c>
      <c r="C5" t="s">
        <v>51</v>
      </c>
      <c r="D5" t="s">
        <v>112</v>
      </c>
      <c r="E5" t="s">
        <v>101</v>
      </c>
      <c r="F5" t="s">
        <v>102</v>
      </c>
      <c r="G5">
        <v>60</v>
      </c>
    </row>
    <row r="6" spans="1:8" ht="16.5" hidden="1" customHeight="1" x14ac:dyDescent="0.55000000000000004">
      <c r="A6" t="s">
        <v>113</v>
      </c>
      <c r="B6" t="s">
        <v>109</v>
      </c>
      <c r="C6" t="s">
        <v>29</v>
      </c>
      <c r="D6" t="s">
        <v>110</v>
      </c>
      <c r="E6" t="s">
        <v>111</v>
      </c>
      <c r="F6" t="s">
        <v>102</v>
      </c>
      <c r="G6">
        <v>40</v>
      </c>
    </row>
    <row r="7" spans="1:8" hidden="1" x14ac:dyDescent="0.55000000000000004">
      <c r="A7" t="s">
        <v>114</v>
      </c>
      <c r="B7" t="s">
        <v>30</v>
      </c>
      <c r="C7" t="s">
        <v>110</v>
      </c>
      <c r="D7" t="s">
        <v>110</v>
      </c>
      <c r="E7" t="s">
        <v>101</v>
      </c>
      <c r="F7" t="s">
        <v>102</v>
      </c>
      <c r="G7">
        <v>60</v>
      </c>
    </row>
    <row r="8" spans="1:8" hidden="1" x14ac:dyDescent="0.55000000000000004">
      <c r="A8" t="s">
        <v>115</v>
      </c>
      <c r="B8" t="s">
        <v>44</v>
      </c>
      <c r="C8" t="s">
        <v>29</v>
      </c>
      <c r="D8" t="s">
        <v>116</v>
      </c>
      <c r="E8" t="s">
        <v>117</v>
      </c>
      <c r="F8" t="s">
        <v>102</v>
      </c>
      <c r="G8">
        <v>40</v>
      </c>
    </row>
    <row r="9" spans="1:8" hidden="1" x14ac:dyDescent="0.55000000000000004">
      <c r="A9" t="s">
        <v>115</v>
      </c>
      <c r="B9" t="s">
        <v>44</v>
      </c>
      <c r="C9" t="s">
        <v>29</v>
      </c>
      <c r="D9" t="s">
        <v>118</v>
      </c>
      <c r="E9" t="s">
        <v>117</v>
      </c>
      <c r="F9" t="s">
        <v>102</v>
      </c>
      <c r="G9">
        <v>40</v>
      </c>
    </row>
    <row r="10" spans="1:8" hidden="1" x14ac:dyDescent="0.55000000000000004">
      <c r="A10" t="s">
        <v>103</v>
      </c>
      <c r="B10" t="s">
        <v>104</v>
      </c>
      <c r="C10" t="s">
        <v>105</v>
      </c>
      <c r="D10" t="s">
        <v>119</v>
      </c>
      <c r="E10" t="s">
        <v>107</v>
      </c>
      <c r="F10" t="s">
        <v>102</v>
      </c>
      <c r="G10">
        <v>60</v>
      </c>
    </row>
    <row r="11" spans="1:8" hidden="1" x14ac:dyDescent="0.55000000000000004">
      <c r="A11" t="s">
        <v>113</v>
      </c>
      <c r="B11" t="s">
        <v>120</v>
      </c>
      <c r="C11" t="s">
        <v>29</v>
      </c>
      <c r="D11" t="s">
        <v>110</v>
      </c>
      <c r="E11" t="s">
        <v>117</v>
      </c>
      <c r="F11" t="s">
        <v>102</v>
      </c>
      <c r="G11">
        <v>40</v>
      </c>
    </row>
    <row r="12" spans="1:8" hidden="1" x14ac:dyDescent="0.55000000000000004">
      <c r="A12" t="s">
        <v>103</v>
      </c>
      <c r="B12" t="s">
        <v>104</v>
      </c>
      <c r="C12" t="s">
        <v>121</v>
      </c>
      <c r="D12" t="s">
        <v>122</v>
      </c>
      <c r="E12" t="s">
        <v>107</v>
      </c>
      <c r="F12" t="s">
        <v>102</v>
      </c>
      <c r="G12">
        <v>60</v>
      </c>
    </row>
    <row r="13" spans="1:8" x14ac:dyDescent="0.55000000000000004">
      <c r="A13" t="s">
        <v>31</v>
      </c>
      <c r="B13" t="s">
        <v>30</v>
      </c>
      <c r="C13" t="s">
        <v>123</v>
      </c>
      <c r="D13" t="s">
        <v>110</v>
      </c>
      <c r="E13" t="s">
        <v>101</v>
      </c>
      <c r="F13" t="s">
        <v>102</v>
      </c>
      <c r="G13">
        <v>60</v>
      </c>
    </row>
    <row r="14" spans="1:8" hidden="1" x14ac:dyDescent="0.55000000000000004">
      <c r="A14" t="s">
        <v>31</v>
      </c>
      <c r="B14" t="s">
        <v>124</v>
      </c>
      <c r="C14" t="s">
        <v>124</v>
      </c>
      <c r="D14" t="s">
        <v>110</v>
      </c>
      <c r="E14" t="s">
        <v>125</v>
      </c>
      <c r="F14" t="s">
        <v>102</v>
      </c>
      <c r="G14">
        <v>60</v>
      </c>
    </row>
    <row r="15" spans="1:8" x14ac:dyDescent="0.55000000000000004">
      <c r="A15" t="s">
        <v>31</v>
      </c>
      <c r="B15" t="s">
        <v>30</v>
      </c>
      <c r="C15" t="s">
        <v>51</v>
      </c>
      <c r="D15" t="s">
        <v>110</v>
      </c>
      <c r="E15" t="s">
        <v>101</v>
      </c>
      <c r="F15" t="s">
        <v>102</v>
      </c>
      <c r="G15">
        <v>60</v>
      </c>
    </row>
    <row r="16" spans="1:8" hidden="1" x14ac:dyDescent="0.55000000000000004">
      <c r="A16" t="s">
        <v>115</v>
      </c>
      <c r="B16" t="s">
        <v>44</v>
      </c>
      <c r="C16" t="s">
        <v>29</v>
      </c>
      <c r="D16" t="s">
        <v>126</v>
      </c>
      <c r="E16" t="s">
        <v>127</v>
      </c>
      <c r="F16" t="s">
        <v>102</v>
      </c>
      <c r="G16">
        <v>40</v>
      </c>
    </row>
    <row r="17" spans="1:7" hidden="1" x14ac:dyDescent="0.55000000000000004">
      <c r="A17" t="s">
        <v>103</v>
      </c>
      <c r="B17" t="s">
        <v>104</v>
      </c>
      <c r="C17" t="s">
        <v>128</v>
      </c>
      <c r="D17" t="s">
        <v>106</v>
      </c>
      <c r="E17" t="s">
        <v>107</v>
      </c>
      <c r="F17" t="s">
        <v>102</v>
      </c>
      <c r="G17">
        <v>60</v>
      </c>
    </row>
    <row r="18" spans="1:7" hidden="1" x14ac:dyDescent="0.55000000000000004">
      <c r="A18" t="s">
        <v>113</v>
      </c>
      <c r="B18" t="s">
        <v>129</v>
      </c>
      <c r="C18" t="s">
        <v>51</v>
      </c>
      <c r="D18" t="s">
        <v>110</v>
      </c>
      <c r="E18" t="s">
        <v>107</v>
      </c>
      <c r="F18" t="s">
        <v>102</v>
      </c>
      <c r="G18">
        <v>60</v>
      </c>
    </row>
    <row r="19" spans="1:7" hidden="1" x14ac:dyDescent="0.55000000000000004">
      <c r="A19" t="s">
        <v>115</v>
      </c>
      <c r="B19" t="s">
        <v>44</v>
      </c>
      <c r="C19" t="s">
        <v>29</v>
      </c>
      <c r="D19" t="s">
        <v>130</v>
      </c>
      <c r="E19" t="s">
        <v>117</v>
      </c>
      <c r="F19" t="s">
        <v>102</v>
      </c>
      <c r="G19">
        <v>40</v>
      </c>
    </row>
    <row r="20" spans="1:7" hidden="1" x14ac:dyDescent="0.55000000000000004">
      <c r="A20" t="s">
        <v>131</v>
      </c>
      <c r="B20" t="s">
        <v>44</v>
      </c>
      <c r="C20" t="s">
        <v>29</v>
      </c>
      <c r="D20" t="s">
        <v>132</v>
      </c>
      <c r="E20" t="s">
        <v>117</v>
      </c>
      <c r="F20" t="s">
        <v>102</v>
      </c>
      <c r="G20">
        <v>40</v>
      </c>
    </row>
    <row r="21" spans="1:7" hidden="1" x14ac:dyDescent="0.55000000000000004">
      <c r="A21" t="s">
        <v>131</v>
      </c>
      <c r="B21" t="s">
        <v>44</v>
      </c>
      <c r="C21" t="s">
        <v>29</v>
      </c>
      <c r="D21" t="s">
        <v>133</v>
      </c>
      <c r="E21" t="s">
        <v>134</v>
      </c>
      <c r="F21" t="s">
        <v>102</v>
      </c>
      <c r="G21">
        <v>40</v>
      </c>
    </row>
    <row r="22" spans="1:7" hidden="1" x14ac:dyDescent="0.55000000000000004">
      <c r="A22" t="s">
        <v>108</v>
      </c>
      <c r="B22" t="s">
        <v>135</v>
      </c>
      <c r="C22" t="s">
        <v>29</v>
      </c>
      <c r="D22" t="s">
        <v>110</v>
      </c>
      <c r="E22" t="s">
        <v>117</v>
      </c>
      <c r="F22" t="s">
        <v>102</v>
      </c>
      <c r="G22">
        <v>40</v>
      </c>
    </row>
    <row r="23" spans="1:7" hidden="1" x14ac:dyDescent="0.55000000000000004">
      <c r="A23" t="s">
        <v>136</v>
      </c>
      <c r="B23" t="s">
        <v>30</v>
      </c>
      <c r="C23" t="s">
        <v>29</v>
      </c>
      <c r="D23" t="s">
        <v>137</v>
      </c>
      <c r="E23" t="s">
        <v>111</v>
      </c>
      <c r="F23" t="s">
        <v>102</v>
      </c>
      <c r="G23">
        <v>40</v>
      </c>
    </row>
    <row r="24" spans="1:7" x14ac:dyDescent="0.55000000000000004">
      <c r="A24" t="s">
        <v>31</v>
      </c>
      <c r="B24" t="s">
        <v>30</v>
      </c>
      <c r="C24" t="s">
        <v>51</v>
      </c>
      <c r="D24" t="s">
        <v>138</v>
      </c>
      <c r="E24" t="s">
        <v>101</v>
      </c>
      <c r="F24" t="s">
        <v>102</v>
      </c>
      <c r="G24">
        <v>60</v>
      </c>
    </row>
    <row r="25" spans="1:7" x14ac:dyDescent="0.55000000000000004">
      <c r="A25" t="s">
        <v>31</v>
      </c>
      <c r="B25" t="s">
        <v>30</v>
      </c>
      <c r="C25" t="s">
        <v>29</v>
      </c>
      <c r="D25" t="s">
        <v>130</v>
      </c>
      <c r="E25" t="s">
        <v>111</v>
      </c>
      <c r="F25" t="s">
        <v>102</v>
      </c>
      <c r="G25">
        <v>40</v>
      </c>
    </row>
    <row r="26" spans="1:7" hidden="1" x14ac:dyDescent="0.55000000000000004">
      <c r="A26" t="s">
        <v>115</v>
      </c>
      <c r="B26" t="s">
        <v>44</v>
      </c>
      <c r="C26" t="s">
        <v>29</v>
      </c>
      <c r="D26" t="s">
        <v>139</v>
      </c>
      <c r="E26" t="s">
        <v>117</v>
      </c>
      <c r="F26" t="s">
        <v>102</v>
      </c>
      <c r="G26">
        <v>40</v>
      </c>
    </row>
    <row r="27" spans="1:7" x14ac:dyDescent="0.55000000000000004">
      <c r="A27" t="s">
        <v>31</v>
      </c>
      <c r="B27" t="s">
        <v>30</v>
      </c>
      <c r="C27" t="s">
        <v>29</v>
      </c>
      <c r="D27" t="s">
        <v>137</v>
      </c>
      <c r="E27" t="s">
        <v>111</v>
      </c>
      <c r="F27" t="s">
        <v>102</v>
      </c>
      <c r="G27">
        <v>40</v>
      </c>
    </row>
    <row r="28" spans="1:7" hidden="1" x14ac:dyDescent="0.55000000000000004">
      <c r="A28" t="s">
        <v>131</v>
      </c>
      <c r="B28" t="s">
        <v>44</v>
      </c>
      <c r="C28" t="s">
        <v>29</v>
      </c>
      <c r="D28" t="s">
        <v>126</v>
      </c>
      <c r="E28" t="s">
        <v>127</v>
      </c>
      <c r="F28" t="s">
        <v>102</v>
      </c>
      <c r="G28">
        <v>40</v>
      </c>
    </row>
    <row r="29" spans="1:7" hidden="1" x14ac:dyDescent="0.55000000000000004">
      <c r="A29" t="s">
        <v>31</v>
      </c>
      <c r="B29" t="s">
        <v>124</v>
      </c>
      <c r="C29" t="s">
        <v>124</v>
      </c>
      <c r="D29" t="s">
        <v>140</v>
      </c>
      <c r="E29" t="s">
        <v>125</v>
      </c>
      <c r="F29" t="s">
        <v>102</v>
      </c>
      <c r="G29">
        <v>60</v>
      </c>
    </row>
    <row r="30" spans="1:7" hidden="1" x14ac:dyDescent="0.55000000000000004">
      <c r="A30" t="s">
        <v>131</v>
      </c>
      <c r="B30" t="s">
        <v>44</v>
      </c>
      <c r="C30" t="s">
        <v>29</v>
      </c>
      <c r="D30" t="s">
        <v>130</v>
      </c>
      <c r="E30" t="s">
        <v>117</v>
      </c>
      <c r="F30" t="s">
        <v>102</v>
      </c>
      <c r="G30">
        <v>40</v>
      </c>
    </row>
    <row r="31" spans="1:7" x14ac:dyDescent="0.55000000000000004">
      <c r="A31" t="s">
        <v>31</v>
      </c>
      <c r="B31" t="s">
        <v>30</v>
      </c>
      <c r="C31" t="s">
        <v>29</v>
      </c>
      <c r="D31" t="s">
        <v>141</v>
      </c>
      <c r="E31" t="s">
        <v>111</v>
      </c>
      <c r="F31" t="s">
        <v>102</v>
      </c>
      <c r="G31">
        <v>40</v>
      </c>
    </row>
    <row r="32" spans="1:7" hidden="1" x14ac:dyDescent="0.55000000000000004">
      <c r="A32" t="s">
        <v>103</v>
      </c>
      <c r="B32" t="s">
        <v>104</v>
      </c>
      <c r="C32" t="s">
        <v>128</v>
      </c>
      <c r="D32" t="s">
        <v>119</v>
      </c>
      <c r="E32" t="s">
        <v>107</v>
      </c>
      <c r="F32" t="s">
        <v>102</v>
      </c>
      <c r="G32">
        <v>60</v>
      </c>
    </row>
    <row r="33" spans="1:7" hidden="1" x14ac:dyDescent="0.55000000000000004">
      <c r="A33" t="s">
        <v>115</v>
      </c>
      <c r="B33" t="s">
        <v>44</v>
      </c>
      <c r="C33" t="s">
        <v>29</v>
      </c>
      <c r="D33" t="s">
        <v>132</v>
      </c>
      <c r="E33" t="s">
        <v>117</v>
      </c>
      <c r="F33" t="s">
        <v>102</v>
      </c>
      <c r="G33">
        <v>40</v>
      </c>
    </row>
    <row r="34" spans="1:7" hidden="1" x14ac:dyDescent="0.55000000000000004">
      <c r="A34" t="s">
        <v>115</v>
      </c>
      <c r="B34" t="s">
        <v>44</v>
      </c>
      <c r="C34" t="s">
        <v>29</v>
      </c>
      <c r="D34" t="s">
        <v>133</v>
      </c>
      <c r="E34" t="s">
        <v>134</v>
      </c>
      <c r="F34" t="s">
        <v>102</v>
      </c>
      <c r="G34">
        <v>40</v>
      </c>
    </row>
    <row r="35" spans="1:7" hidden="1" x14ac:dyDescent="0.55000000000000004">
      <c r="A35" t="s">
        <v>142</v>
      </c>
      <c r="B35" t="s">
        <v>44</v>
      </c>
      <c r="C35" t="s">
        <v>29</v>
      </c>
      <c r="D35" t="s">
        <v>137</v>
      </c>
      <c r="E35" t="s">
        <v>117</v>
      </c>
      <c r="F35" t="s">
        <v>102</v>
      </c>
      <c r="G35">
        <v>40</v>
      </c>
    </row>
    <row r="36" spans="1:7" hidden="1" x14ac:dyDescent="0.55000000000000004">
      <c r="A36" t="s">
        <v>115</v>
      </c>
      <c r="B36" t="s">
        <v>44</v>
      </c>
      <c r="C36" t="s">
        <v>59</v>
      </c>
      <c r="D36" t="s">
        <v>110</v>
      </c>
      <c r="E36" t="s">
        <v>107</v>
      </c>
      <c r="F36" t="s">
        <v>102</v>
      </c>
      <c r="G36">
        <v>60</v>
      </c>
    </row>
    <row r="37" spans="1:7" hidden="1" x14ac:dyDescent="0.55000000000000004">
      <c r="A37" t="s">
        <v>113</v>
      </c>
      <c r="B37" t="s">
        <v>143</v>
      </c>
      <c r="C37" t="s">
        <v>29</v>
      </c>
      <c r="D37" t="s">
        <v>110</v>
      </c>
      <c r="E37" t="s">
        <v>117</v>
      </c>
      <c r="F37" t="s">
        <v>102</v>
      </c>
      <c r="G37">
        <v>40</v>
      </c>
    </row>
    <row r="38" spans="1:7" hidden="1" x14ac:dyDescent="0.55000000000000004">
      <c r="A38" t="s">
        <v>113</v>
      </c>
      <c r="B38" t="s">
        <v>144</v>
      </c>
      <c r="C38" t="s">
        <v>29</v>
      </c>
      <c r="D38" t="s">
        <v>110</v>
      </c>
      <c r="E38" t="s">
        <v>117</v>
      </c>
      <c r="F38" t="s">
        <v>102</v>
      </c>
      <c r="G38">
        <v>40</v>
      </c>
    </row>
    <row r="39" spans="1:7" hidden="1" x14ac:dyDescent="0.55000000000000004">
      <c r="A39" t="s">
        <v>131</v>
      </c>
      <c r="B39" t="s">
        <v>44</v>
      </c>
      <c r="C39" t="s">
        <v>29</v>
      </c>
      <c r="D39" t="s">
        <v>145</v>
      </c>
      <c r="E39" t="s">
        <v>117</v>
      </c>
      <c r="F39" t="s">
        <v>102</v>
      </c>
      <c r="G39">
        <v>40</v>
      </c>
    </row>
    <row r="40" spans="1:7" hidden="1" x14ac:dyDescent="0.55000000000000004">
      <c r="A40" t="s">
        <v>113</v>
      </c>
      <c r="B40" t="s">
        <v>109</v>
      </c>
      <c r="C40" t="s">
        <v>29</v>
      </c>
      <c r="D40" t="s">
        <v>146</v>
      </c>
      <c r="E40" t="s">
        <v>111</v>
      </c>
      <c r="F40" t="s">
        <v>102</v>
      </c>
      <c r="G40">
        <v>40</v>
      </c>
    </row>
    <row r="41" spans="1:7" hidden="1" x14ac:dyDescent="0.55000000000000004">
      <c r="A41" t="s">
        <v>131</v>
      </c>
      <c r="B41" t="s">
        <v>44</v>
      </c>
      <c r="C41" t="s">
        <v>29</v>
      </c>
      <c r="D41" t="s">
        <v>110</v>
      </c>
      <c r="E41" t="s">
        <v>117</v>
      </c>
      <c r="F41" t="s">
        <v>102</v>
      </c>
      <c r="G41">
        <v>40</v>
      </c>
    </row>
    <row r="42" spans="1:7" hidden="1" x14ac:dyDescent="0.55000000000000004">
      <c r="A42" t="s">
        <v>115</v>
      </c>
      <c r="B42" t="s">
        <v>44</v>
      </c>
      <c r="C42" t="s">
        <v>29</v>
      </c>
      <c r="D42" t="s">
        <v>137</v>
      </c>
      <c r="E42" t="s">
        <v>117</v>
      </c>
      <c r="F42" t="s">
        <v>102</v>
      </c>
      <c r="G42">
        <v>40</v>
      </c>
    </row>
    <row r="43" spans="1:7" hidden="1" x14ac:dyDescent="0.55000000000000004">
      <c r="A43" t="s">
        <v>136</v>
      </c>
      <c r="B43" t="s">
        <v>30</v>
      </c>
      <c r="C43" t="s">
        <v>29</v>
      </c>
      <c r="D43" t="s">
        <v>110</v>
      </c>
      <c r="E43" t="s">
        <v>111</v>
      </c>
      <c r="F43" t="s">
        <v>102</v>
      </c>
      <c r="G43">
        <v>40</v>
      </c>
    </row>
    <row r="44" spans="1:7" x14ac:dyDescent="0.55000000000000004">
      <c r="A44" t="s">
        <v>31</v>
      </c>
      <c r="B44" t="s">
        <v>30</v>
      </c>
      <c r="C44" t="s">
        <v>59</v>
      </c>
      <c r="D44" t="s">
        <v>110</v>
      </c>
      <c r="E44" t="s">
        <v>101</v>
      </c>
      <c r="F44" t="s">
        <v>102</v>
      </c>
      <c r="G44">
        <v>60</v>
      </c>
    </row>
    <row r="45" spans="1:7" hidden="1" x14ac:dyDescent="0.55000000000000004">
      <c r="A45" t="s">
        <v>113</v>
      </c>
      <c r="B45" t="s">
        <v>129</v>
      </c>
      <c r="C45" t="s">
        <v>29</v>
      </c>
      <c r="D45" t="s">
        <v>110</v>
      </c>
      <c r="E45" t="s">
        <v>117</v>
      </c>
      <c r="F45" t="s">
        <v>102</v>
      </c>
      <c r="G45">
        <v>40</v>
      </c>
    </row>
    <row r="46" spans="1:7" hidden="1" x14ac:dyDescent="0.55000000000000004">
      <c r="A46" t="s">
        <v>103</v>
      </c>
      <c r="B46" t="s">
        <v>104</v>
      </c>
      <c r="C46" t="s">
        <v>121</v>
      </c>
      <c r="D46" t="s">
        <v>106</v>
      </c>
      <c r="E46" t="s">
        <v>107</v>
      </c>
      <c r="F46" t="s">
        <v>102</v>
      </c>
      <c r="G46">
        <v>60</v>
      </c>
    </row>
    <row r="47" spans="1:7" x14ac:dyDescent="0.55000000000000004">
      <c r="A47" t="s">
        <v>31</v>
      </c>
      <c r="B47" t="s">
        <v>30</v>
      </c>
      <c r="C47" t="s">
        <v>29</v>
      </c>
      <c r="D47" t="s">
        <v>110</v>
      </c>
      <c r="E47" t="s">
        <v>111</v>
      </c>
      <c r="F47" t="s">
        <v>102</v>
      </c>
      <c r="G47">
        <v>40</v>
      </c>
    </row>
    <row r="48" spans="1:7" hidden="1" x14ac:dyDescent="0.55000000000000004">
      <c r="A48" t="s">
        <v>115</v>
      </c>
      <c r="B48" t="s">
        <v>44</v>
      </c>
      <c r="C48" t="s">
        <v>29</v>
      </c>
      <c r="D48" t="s">
        <v>110</v>
      </c>
      <c r="E48" t="s">
        <v>117</v>
      </c>
      <c r="F48" t="s">
        <v>102</v>
      </c>
      <c r="G48">
        <v>40</v>
      </c>
    </row>
    <row r="49" spans="1:7" hidden="1" x14ac:dyDescent="0.55000000000000004">
      <c r="A49" t="s">
        <v>115</v>
      </c>
      <c r="B49" t="s">
        <v>44</v>
      </c>
      <c r="C49" t="s">
        <v>29</v>
      </c>
      <c r="D49" t="s">
        <v>59</v>
      </c>
      <c r="E49" t="s">
        <v>117</v>
      </c>
      <c r="F49" t="s">
        <v>102</v>
      </c>
      <c r="G49">
        <v>40</v>
      </c>
    </row>
    <row r="50" spans="1:7" hidden="1" x14ac:dyDescent="0.55000000000000004">
      <c r="A50" t="s">
        <v>110</v>
      </c>
      <c r="B50" t="s">
        <v>110</v>
      </c>
      <c r="C50" t="s">
        <v>110</v>
      </c>
      <c r="D50" t="s">
        <v>110</v>
      </c>
      <c r="E50" t="s">
        <v>101</v>
      </c>
      <c r="F50" t="s">
        <v>102</v>
      </c>
      <c r="G50">
        <v>60</v>
      </c>
    </row>
    <row r="51" spans="1:7" hidden="1" x14ac:dyDescent="0.55000000000000004">
      <c r="A51" t="s">
        <v>147</v>
      </c>
      <c r="B51" t="s">
        <v>30</v>
      </c>
      <c r="C51" t="s">
        <v>110</v>
      </c>
      <c r="D51" t="s">
        <v>110</v>
      </c>
      <c r="E51" t="s">
        <v>111</v>
      </c>
      <c r="F51" t="s">
        <v>102</v>
      </c>
      <c r="G51">
        <v>40</v>
      </c>
    </row>
    <row r="52" spans="1:7" hidden="1" x14ac:dyDescent="0.55000000000000004">
      <c r="A52" t="s">
        <v>148</v>
      </c>
      <c r="B52" t="s">
        <v>149</v>
      </c>
      <c r="C52" t="s">
        <v>110</v>
      </c>
      <c r="D52" t="s">
        <v>110</v>
      </c>
      <c r="E52" t="s">
        <v>117</v>
      </c>
      <c r="F52" t="s">
        <v>102</v>
      </c>
      <c r="G52">
        <v>40</v>
      </c>
    </row>
  </sheetData>
  <autoFilter ref="A1:H52" xr:uid="{8C80A6A1-2178-4BB9-B43C-4756FA491663}">
    <filterColumn colId="0">
      <filters>
        <filter val="CDX"/>
      </filters>
    </filterColumn>
    <filterColumn colId="1">
      <filters>
        <filter val="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5B7A-09D2-4E7E-ACBC-67307CE0759E}">
  <sheetPr filterMode="1"/>
  <dimension ref="A1:H120"/>
  <sheetViews>
    <sheetView zoomScale="115" zoomScaleNormal="115" workbookViewId="0">
      <selection activeCell="B126" sqref="B126"/>
    </sheetView>
  </sheetViews>
  <sheetFormatPr defaultColWidth="8.5234375" defaultRowHeight="14.4" x14ac:dyDescent="0.55000000000000004"/>
  <cols>
    <col min="1" max="1" width="35" bestFit="1" customWidth="1"/>
    <col min="2" max="2" width="17.47265625" bestFit="1" customWidth="1"/>
    <col min="3" max="3" width="15.5234375" style="11" customWidth="1"/>
    <col min="5" max="5" width="12.7890625" bestFit="1" customWidth="1"/>
    <col min="6" max="6" width="10.47265625" bestFit="1" customWidth="1"/>
    <col min="7" max="15" width="15.7890625" bestFit="1" customWidth="1"/>
    <col min="16" max="16" width="10.47265625" bestFit="1" customWidth="1"/>
  </cols>
  <sheetData>
    <row r="1" spans="1:8" x14ac:dyDescent="0.55000000000000004">
      <c r="A1" t="s">
        <v>150</v>
      </c>
      <c r="B1" t="s">
        <v>151</v>
      </c>
      <c r="C1" s="11" t="s">
        <v>152</v>
      </c>
      <c r="G1" s="17"/>
    </row>
    <row r="2" spans="1:8" hidden="1" x14ac:dyDescent="0.55000000000000004">
      <c r="A2" t="s">
        <v>125</v>
      </c>
      <c r="B2" s="1">
        <v>45292</v>
      </c>
      <c r="C2" s="11">
        <v>166.85439</v>
      </c>
    </row>
    <row r="3" spans="1:8" x14ac:dyDescent="0.55000000000000004">
      <c r="A3" t="s">
        <v>101</v>
      </c>
      <c r="B3" s="1">
        <v>45292</v>
      </c>
      <c r="C3" s="11">
        <v>357</v>
      </c>
      <c r="G3" s="11"/>
    </row>
    <row r="4" spans="1:8" hidden="1" x14ac:dyDescent="0.55000000000000004">
      <c r="A4" t="s">
        <v>111</v>
      </c>
      <c r="B4" s="1">
        <v>45292</v>
      </c>
      <c r="C4" s="11">
        <v>56.75</v>
      </c>
    </row>
    <row r="5" spans="1:8" hidden="1" x14ac:dyDescent="0.55000000000000004">
      <c r="A5" t="s">
        <v>107</v>
      </c>
      <c r="B5" s="1">
        <v>45292</v>
      </c>
      <c r="C5" s="11">
        <v>310.375</v>
      </c>
      <c r="H5" s="11"/>
    </row>
    <row r="6" spans="1:8" hidden="1" x14ac:dyDescent="0.55000000000000004">
      <c r="A6" t="s">
        <v>117</v>
      </c>
      <c r="B6" s="1">
        <v>45292</v>
      </c>
      <c r="C6" s="11">
        <v>58.28</v>
      </c>
      <c r="G6" s="1"/>
      <c r="H6" s="11"/>
    </row>
    <row r="7" spans="1:8" hidden="1" x14ac:dyDescent="0.55000000000000004">
      <c r="A7" t="s">
        <v>127</v>
      </c>
      <c r="B7" s="1">
        <v>45292</v>
      </c>
      <c r="C7" s="11">
        <v>122.65</v>
      </c>
      <c r="G7" s="1"/>
      <c r="H7" s="11"/>
    </row>
    <row r="8" spans="1:8" hidden="1" x14ac:dyDescent="0.55000000000000004">
      <c r="A8" t="s">
        <v>134</v>
      </c>
      <c r="B8" s="1">
        <v>45292</v>
      </c>
      <c r="C8" s="11">
        <v>67.12</v>
      </c>
      <c r="G8" s="1"/>
      <c r="H8" s="11"/>
    </row>
    <row r="9" spans="1:8" hidden="1" x14ac:dyDescent="0.55000000000000004">
      <c r="A9" t="s">
        <v>125</v>
      </c>
      <c r="B9" s="1">
        <v>45293</v>
      </c>
      <c r="C9" s="11">
        <v>175.86861999999999</v>
      </c>
      <c r="G9" s="1"/>
      <c r="H9" s="11"/>
    </row>
    <row r="10" spans="1:8" x14ac:dyDescent="0.55000000000000004">
      <c r="A10" t="s">
        <v>101</v>
      </c>
      <c r="B10" s="1">
        <v>45293</v>
      </c>
      <c r="C10" s="11">
        <v>364.5</v>
      </c>
      <c r="G10" s="11"/>
    </row>
    <row r="11" spans="1:8" hidden="1" x14ac:dyDescent="0.55000000000000004">
      <c r="A11" t="s">
        <v>111</v>
      </c>
      <c r="B11" s="1">
        <v>45293</v>
      </c>
      <c r="C11" s="11">
        <v>58.5</v>
      </c>
      <c r="G11" s="16"/>
      <c r="H11" s="11"/>
    </row>
    <row r="12" spans="1:8" hidden="1" x14ac:dyDescent="0.55000000000000004">
      <c r="A12" t="s">
        <v>107</v>
      </c>
      <c r="B12" s="1">
        <v>45293</v>
      </c>
      <c r="C12" s="11">
        <v>325.24</v>
      </c>
      <c r="G12" s="1"/>
      <c r="H12" s="11"/>
    </row>
    <row r="13" spans="1:8" hidden="1" x14ac:dyDescent="0.55000000000000004">
      <c r="A13" t="s">
        <v>117</v>
      </c>
      <c r="B13" s="1">
        <v>45293</v>
      </c>
      <c r="C13" s="11">
        <v>61</v>
      </c>
      <c r="G13" s="1"/>
      <c r="H13" s="11"/>
    </row>
    <row r="14" spans="1:8" hidden="1" x14ac:dyDescent="0.55000000000000004">
      <c r="A14" t="s">
        <v>127</v>
      </c>
      <c r="B14" s="1">
        <v>45293</v>
      </c>
      <c r="C14" s="11">
        <v>130.72</v>
      </c>
      <c r="G14" s="1"/>
      <c r="H14" s="11"/>
    </row>
    <row r="15" spans="1:8" hidden="1" x14ac:dyDescent="0.55000000000000004">
      <c r="A15" t="s">
        <v>134</v>
      </c>
      <c r="B15" s="1">
        <v>45293</v>
      </c>
      <c r="C15" s="11">
        <v>71.11</v>
      </c>
      <c r="G15" s="1"/>
      <c r="H15" s="11"/>
    </row>
    <row r="16" spans="1:8" hidden="1" x14ac:dyDescent="0.55000000000000004">
      <c r="A16" t="s">
        <v>125</v>
      </c>
      <c r="B16" s="1">
        <v>45294</v>
      </c>
      <c r="C16" s="11">
        <v>181.49359000000001</v>
      </c>
      <c r="G16" s="1"/>
      <c r="H16" s="11"/>
    </row>
    <row r="17" spans="1:8" x14ac:dyDescent="0.55000000000000004">
      <c r="A17" t="s">
        <v>101</v>
      </c>
      <c r="B17" s="1">
        <v>45294</v>
      </c>
      <c r="C17" s="11">
        <v>375</v>
      </c>
      <c r="G17" s="11"/>
    </row>
    <row r="18" spans="1:8" hidden="1" x14ac:dyDescent="0.55000000000000004">
      <c r="A18" t="s">
        <v>111</v>
      </c>
      <c r="B18" s="1">
        <v>45294</v>
      </c>
      <c r="C18" s="11">
        <v>60.5</v>
      </c>
      <c r="G18" s="16"/>
      <c r="H18" s="11"/>
    </row>
    <row r="19" spans="1:8" hidden="1" x14ac:dyDescent="0.55000000000000004">
      <c r="A19" t="s">
        <v>107</v>
      </c>
      <c r="B19" s="1">
        <v>45294</v>
      </c>
      <c r="C19" s="11">
        <v>343.09</v>
      </c>
      <c r="G19" s="1"/>
      <c r="H19" s="11"/>
    </row>
    <row r="20" spans="1:8" hidden="1" x14ac:dyDescent="0.55000000000000004">
      <c r="A20" t="s">
        <v>117</v>
      </c>
      <c r="B20" s="1">
        <v>45294</v>
      </c>
      <c r="C20" s="11">
        <v>64.3</v>
      </c>
      <c r="G20" s="1"/>
      <c r="H20" s="11"/>
    </row>
    <row r="21" spans="1:8" hidden="1" x14ac:dyDescent="0.55000000000000004">
      <c r="A21" t="s">
        <v>127</v>
      </c>
      <c r="B21" s="1">
        <v>45294</v>
      </c>
      <c r="C21" s="11">
        <v>136.75</v>
      </c>
      <c r="G21" s="1"/>
      <c r="H21" s="11"/>
    </row>
    <row r="22" spans="1:8" hidden="1" x14ac:dyDescent="0.55000000000000004">
      <c r="A22" t="s">
        <v>134</v>
      </c>
      <c r="B22" s="1">
        <v>45294</v>
      </c>
      <c r="C22" s="11">
        <v>74.42</v>
      </c>
      <c r="G22" s="1"/>
      <c r="H22" s="11"/>
    </row>
    <row r="23" spans="1:8" hidden="1" x14ac:dyDescent="0.55000000000000004">
      <c r="A23" t="s">
        <v>125</v>
      </c>
      <c r="B23" s="1">
        <v>45295</v>
      </c>
      <c r="C23" s="11">
        <v>184.64189999999999</v>
      </c>
    </row>
    <row r="24" spans="1:8" x14ac:dyDescent="0.55000000000000004">
      <c r="A24" t="s">
        <v>101</v>
      </c>
      <c r="B24" s="1">
        <v>45295</v>
      </c>
      <c r="C24" s="11">
        <v>376</v>
      </c>
      <c r="G24" s="11"/>
    </row>
    <row r="25" spans="1:8" hidden="1" x14ac:dyDescent="0.55000000000000004">
      <c r="A25" t="s">
        <v>111</v>
      </c>
      <c r="B25" s="1">
        <v>45295</v>
      </c>
      <c r="C25" s="11">
        <v>60</v>
      </c>
      <c r="G25" s="16"/>
      <c r="H25" s="11"/>
    </row>
    <row r="26" spans="1:8" hidden="1" x14ac:dyDescent="0.55000000000000004">
      <c r="A26" t="s">
        <v>107</v>
      </c>
      <c r="B26" s="1">
        <v>45295</v>
      </c>
      <c r="C26" s="11">
        <v>339.87</v>
      </c>
    </row>
    <row r="27" spans="1:8" hidden="1" x14ac:dyDescent="0.55000000000000004">
      <c r="A27" t="s">
        <v>117</v>
      </c>
      <c r="B27" s="1">
        <v>45295</v>
      </c>
      <c r="C27" s="11">
        <v>63.57</v>
      </c>
    </row>
    <row r="28" spans="1:8" hidden="1" x14ac:dyDescent="0.55000000000000004">
      <c r="A28" t="s">
        <v>127</v>
      </c>
      <c r="B28" s="1">
        <v>45295</v>
      </c>
      <c r="C28" s="11">
        <v>134.34</v>
      </c>
    </row>
    <row r="29" spans="1:8" hidden="1" x14ac:dyDescent="0.55000000000000004">
      <c r="A29" t="s">
        <v>134</v>
      </c>
      <c r="B29" s="1">
        <v>45295</v>
      </c>
      <c r="C29" s="11">
        <v>73.180000000000007</v>
      </c>
    </row>
    <row r="30" spans="1:8" hidden="1" x14ac:dyDescent="0.55000000000000004">
      <c r="A30" t="s">
        <v>125</v>
      </c>
      <c r="B30" s="1">
        <v>45296</v>
      </c>
      <c r="C30" s="11">
        <v>181.49181999999999</v>
      </c>
    </row>
    <row r="31" spans="1:8" x14ac:dyDescent="0.55000000000000004">
      <c r="A31" t="s">
        <v>101</v>
      </c>
      <c r="B31" s="1">
        <v>45296</v>
      </c>
      <c r="C31" s="11">
        <v>371</v>
      </c>
      <c r="G31" s="11"/>
    </row>
    <row r="32" spans="1:8" hidden="1" x14ac:dyDescent="0.55000000000000004">
      <c r="A32" t="s">
        <v>111</v>
      </c>
      <c r="B32" s="1">
        <v>45296</v>
      </c>
      <c r="C32" s="11">
        <v>59.35</v>
      </c>
      <c r="G32" s="16"/>
      <c r="H32" s="11"/>
    </row>
    <row r="33" spans="1:8" hidden="1" x14ac:dyDescent="0.55000000000000004">
      <c r="A33" t="s">
        <v>107</v>
      </c>
      <c r="B33" s="1">
        <v>45296</v>
      </c>
      <c r="C33" s="11">
        <v>338.98</v>
      </c>
    </row>
    <row r="34" spans="1:8" hidden="1" x14ac:dyDescent="0.55000000000000004">
      <c r="A34" t="s">
        <v>117</v>
      </c>
      <c r="B34" s="1">
        <v>45296</v>
      </c>
      <c r="C34" s="11">
        <v>63.7</v>
      </c>
    </row>
    <row r="35" spans="1:8" hidden="1" x14ac:dyDescent="0.55000000000000004">
      <c r="A35" t="s">
        <v>127</v>
      </c>
      <c r="B35" s="1">
        <v>45296</v>
      </c>
      <c r="C35" s="11">
        <v>134.11000000000001</v>
      </c>
    </row>
    <row r="36" spans="1:8" hidden="1" x14ac:dyDescent="0.55000000000000004">
      <c r="A36" t="s">
        <v>134</v>
      </c>
      <c r="B36" s="1">
        <v>45296</v>
      </c>
      <c r="C36" s="11">
        <v>73.2</v>
      </c>
    </row>
    <row r="37" spans="1:8" hidden="1" x14ac:dyDescent="0.55000000000000004">
      <c r="A37" t="s">
        <v>125</v>
      </c>
      <c r="B37" s="1">
        <v>45299</v>
      </c>
      <c r="C37" s="11">
        <v>180.72035</v>
      </c>
    </row>
    <row r="38" spans="1:8" x14ac:dyDescent="0.55000000000000004">
      <c r="A38" t="s">
        <v>101</v>
      </c>
      <c r="B38" s="1">
        <v>45299</v>
      </c>
      <c r="C38" s="11">
        <v>359</v>
      </c>
      <c r="G38" s="11"/>
    </row>
    <row r="39" spans="1:8" hidden="1" x14ac:dyDescent="0.55000000000000004">
      <c r="A39" t="s">
        <v>111</v>
      </c>
      <c r="B39" s="1">
        <v>45299</v>
      </c>
      <c r="C39" s="11">
        <v>56.9</v>
      </c>
      <c r="G39" s="16"/>
      <c r="H39" s="11"/>
    </row>
    <row r="40" spans="1:8" hidden="1" x14ac:dyDescent="0.55000000000000004">
      <c r="A40" t="s">
        <v>107</v>
      </c>
      <c r="B40" s="1">
        <v>45299</v>
      </c>
      <c r="C40" s="11">
        <v>333.89</v>
      </c>
    </row>
    <row r="41" spans="1:8" hidden="1" x14ac:dyDescent="0.55000000000000004">
      <c r="A41" t="s">
        <v>117</v>
      </c>
      <c r="B41" s="1">
        <v>45299</v>
      </c>
      <c r="C41" s="11">
        <v>62.59</v>
      </c>
    </row>
    <row r="42" spans="1:8" hidden="1" x14ac:dyDescent="0.55000000000000004">
      <c r="A42" t="s">
        <v>127</v>
      </c>
      <c r="B42" s="1">
        <v>45299</v>
      </c>
      <c r="C42" s="11">
        <v>132.01</v>
      </c>
    </row>
    <row r="43" spans="1:8" hidden="1" x14ac:dyDescent="0.55000000000000004">
      <c r="A43" t="s">
        <v>134</v>
      </c>
      <c r="B43" s="1">
        <v>45299</v>
      </c>
      <c r="C43" s="11">
        <v>71.95</v>
      </c>
    </row>
    <row r="44" spans="1:8" hidden="1" x14ac:dyDescent="0.55000000000000004">
      <c r="A44" t="s">
        <v>125</v>
      </c>
      <c r="B44" s="1">
        <v>45300</v>
      </c>
      <c r="C44" s="11">
        <v>180.7311</v>
      </c>
    </row>
    <row r="45" spans="1:8" x14ac:dyDescent="0.55000000000000004">
      <c r="A45" t="s">
        <v>101</v>
      </c>
      <c r="B45" s="1">
        <v>45300</v>
      </c>
      <c r="C45" s="11">
        <v>359</v>
      </c>
      <c r="G45" s="11"/>
    </row>
    <row r="46" spans="1:8" hidden="1" x14ac:dyDescent="0.55000000000000004">
      <c r="A46" t="s">
        <v>111</v>
      </c>
      <c r="B46" s="1">
        <v>45300</v>
      </c>
      <c r="C46" s="11">
        <v>56.45</v>
      </c>
      <c r="G46" s="16"/>
      <c r="H46" s="11"/>
    </row>
    <row r="47" spans="1:8" hidden="1" x14ac:dyDescent="0.55000000000000004">
      <c r="A47" t="s">
        <v>107</v>
      </c>
      <c r="B47" s="1">
        <v>45300</v>
      </c>
      <c r="C47" s="11">
        <v>329.86</v>
      </c>
    </row>
    <row r="48" spans="1:8" hidden="1" x14ac:dyDescent="0.55000000000000004">
      <c r="A48" t="s">
        <v>117</v>
      </c>
      <c r="B48" s="1">
        <v>45300</v>
      </c>
      <c r="C48" s="11">
        <v>61.5</v>
      </c>
    </row>
    <row r="49" spans="1:8" hidden="1" x14ac:dyDescent="0.55000000000000004">
      <c r="A49" t="s">
        <v>127</v>
      </c>
      <c r="B49" s="1">
        <v>45300</v>
      </c>
      <c r="C49" s="11">
        <v>130.86000000000001</v>
      </c>
    </row>
    <row r="50" spans="1:8" hidden="1" x14ac:dyDescent="0.55000000000000004">
      <c r="A50" t="s">
        <v>134</v>
      </c>
      <c r="B50" s="1">
        <v>45300</v>
      </c>
      <c r="C50" s="11">
        <v>71.099999999999994</v>
      </c>
    </row>
    <row r="51" spans="1:8" hidden="1" x14ac:dyDescent="0.55000000000000004">
      <c r="A51" t="s">
        <v>125</v>
      </c>
      <c r="B51" s="1">
        <v>45301</v>
      </c>
      <c r="C51" s="11">
        <v>175.95631</v>
      </c>
    </row>
    <row r="52" spans="1:8" x14ac:dyDescent="0.55000000000000004">
      <c r="A52" t="s">
        <v>101</v>
      </c>
      <c r="B52" s="1">
        <v>45301</v>
      </c>
      <c r="C52" s="11">
        <v>353.5</v>
      </c>
      <c r="G52" s="11"/>
    </row>
    <row r="53" spans="1:8" hidden="1" x14ac:dyDescent="0.55000000000000004">
      <c r="A53" t="s">
        <v>111</v>
      </c>
      <c r="B53" s="1">
        <v>45301</v>
      </c>
      <c r="C53" s="11">
        <v>55.3</v>
      </c>
      <c r="G53" s="16"/>
      <c r="H53" s="11"/>
    </row>
    <row r="54" spans="1:8" hidden="1" x14ac:dyDescent="0.55000000000000004">
      <c r="A54" t="s">
        <v>107</v>
      </c>
      <c r="B54" s="1">
        <v>45301</v>
      </c>
      <c r="C54" s="11">
        <v>319.05</v>
      </c>
    </row>
    <row r="55" spans="1:8" hidden="1" x14ac:dyDescent="0.55000000000000004">
      <c r="A55" t="s">
        <v>117</v>
      </c>
      <c r="B55" s="1">
        <v>45301</v>
      </c>
      <c r="C55" s="11">
        <v>59.54</v>
      </c>
    </row>
    <row r="56" spans="1:8" hidden="1" x14ac:dyDescent="0.55000000000000004">
      <c r="A56" t="s">
        <v>127</v>
      </c>
      <c r="B56" s="1">
        <v>45301</v>
      </c>
      <c r="C56" s="11">
        <v>125.04</v>
      </c>
    </row>
    <row r="57" spans="1:8" hidden="1" x14ac:dyDescent="0.55000000000000004">
      <c r="A57" t="s">
        <v>134</v>
      </c>
      <c r="B57" s="1">
        <v>45301</v>
      </c>
      <c r="C57" s="11">
        <v>68.61</v>
      </c>
    </row>
    <row r="58" spans="1:8" hidden="1" x14ac:dyDescent="0.55000000000000004">
      <c r="A58" t="s">
        <v>125</v>
      </c>
      <c r="B58" s="1">
        <v>45302</v>
      </c>
      <c r="C58" s="11">
        <v>174.33105</v>
      </c>
    </row>
    <row r="59" spans="1:8" x14ac:dyDescent="0.55000000000000004">
      <c r="A59" t="s">
        <v>101</v>
      </c>
      <c r="B59" s="1">
        <v>45302</v>
      </c>
      <c r="C59" s="11">
        <v>350.5</v>
      </c>
      <c r="G59" s="11"/>
    </row>
    <row r="60" spans="1:8" hidden="1" x14ac:dyDescent="0.55000000000000004">
      <c r="A60" t="s">
        <v>111</v>
      </c>
      <c r="B60" s="1">
        <v>45302</v>
      </c>
      <c r="C60" s="11">
        <v>54.5</v>
      </c>
      <c r="G60" s="16"/>
      <c r="H60" s="11"/>
    </row>
    <row r="61" spans="1:8" hidden="1" x14ac:dyDescent="0.55000000000000004">
      <c r="A61" t="s">
        <v>107</v>
      </c>
      <c r="B61" s="1">
        <v>45302</v>
      </c>
      <c r="C61" s="11">
        <v>325.06</v>
      </c>
    </row>
    <row r="62" spans="1:8" hidden="1" x14ac:dyDescent="0.55000000000000004">
      <c r="A62" t="s">
        <v>117</v>
      </c>
      <c r="B62" s="1">
        <v>45302</v>
      </c>
      <c r="C62" s="11">
        <v>60.44</v>
      </c>
    </row>
    <row r="63" spans="1:8" hidden="1" x14ac:dyDescent="0.55000000000000004">
      <c r="A63" t="s">
        <v>127</v>
      </c>
      <c r="B63" s="1">
        <v>45302</v>
      </c>
      <c r="C63" s="11">
        <v>128.47999999999999</v>
      </c>
    </row>
    <row r="64" spans="1:8" hidden="1" x14ac:dyDescent="0.55000000000000004">
      <c r="A64" t="s">
        <v>134</v>
      </c>
      <c r="B64" s="1">
        <v>45302</v>
      </c>
      <c r="C64" s="11">
        <v>70.13</v>
      </c>
    </row>
    <row r="65" spans="1:8" hidden="1" x14ac:dyDescent="0.55000000000000004">
      <c r="A65" t="s">
        <v>125</v>
      </c>
      <c r="B65" s="1">
        <v>45303</v>
      </c>
      <c r="C65" s="11">
        <v>173.94810000000001</v>
      </c>
    </row>
    <row r="66" spans="1:8" x14ac:dyDescent="0.55000000000000004">
      <c r="A66" t="s">
        <v>101</v>
      </c>
      <c r="B66" s="1">
        <v>45303</v>
      </c>
      <c r="C66" s="11">
        <v>353</v>
      </c>
      <c r="G66" s="11"/>
    </row>
    <row r="67" spans="1:8" hidden="1" x14ac:dyDescent="0.55000000000000004">
      <c r="A67" t="s">
        <v>111</v>
      </c>
      <c r="B67" s="1">
        <v>45303</v>
      </c>
      <c r="C67" s="11">
        <v>54.75</v>
      </c>
      <c r="G67" s="16"/>
      <c r="H67" s="11"/>
    </row>
    <row r="68" spans="1:8" hidden="1" x14ac:dyDescent="0.55000000000000004">
      <c r="A68" t="s">
        <v>107</v>
      </c>
      <c r="B68" s="1">
        <v>45303</v>
      </c>
      <c r="C68" s="11">
        <v>321.49</v>
      </c>
    </row>
    <row r="69" spans="1:8" hidden="1" x14ac:dyDescent="0.55000000000000004">
      <c r="A69" t="s">
        <v>117</v>
      </c>
      <c r="B69" s="1">
        <v>45303</v>
      </c>
      <c r="C69" s="11">
        <v>60.04</v>
      </c>
    </row>
    <row r="70" spans="1:8" hidden="1" x14ac:dyDescent="0.55000000000000004">
      <c r="A70" t="s">
        <v>127</v>
      </c>
      <c r="B70" s="1">
        <v>45303</v>
      </c>
      <c r="C70" s="11">
        <v>129.37</v>
      </c>
    </row>
    <row r="71" spans="1:8" hidden="1" x14ac:dyDescent="0.55000000000000004">
      <c r="A71" t="s">
        <v>134</v>
      </c>
      <c r="B71" s="1">
        <v>45303</v>
      </c>
      <c r="C71" s="11">
        <v>70.28</v>
      </c>
    </row>
    <row r="72" spans="1:8" hidden="1" x14ac:dyDescent="0.55000000000000004">
      <c r="A72" t="s">
        <v>125</v>
      </c>
      <c r="B72" s="1">
        <v>45306</v>
      </c>
      <c r="C72" s="11">
        <v>173.94552999999999</v>
      </c>
    </row>
    <row r="73" spans="1:8" x14ac:dyDescent="0.55000000000000004">
      <c r="A73" t="s">
        <v>101</v>
      </c>
      <c r="B73" s="1">
        <v>45306</v>
      </c>
      <c r="C73" s="11">
        <v>353</v>
      </c>
      <c r="G73" s="11"/>
    </row>
    <row r="74" spans="1:8" hidden="1" x14ac:dyDescent="0.55000000000000004">
      <c r="A74" t="s">
        <v>111</v>
      </c>
      <c r="B74" s="1">
        <v>45306</v>
      </c>
      <c r="C74" s="11">
        <v>54.75</v>
      </c>
      <c r="G74" s="16"/>
      <c r="H74" s="11"/>
    </row>
    <row r="75" spans="1:8" hidden="1" x14ac:dyDescent="0.55000000000000004">
      <c r="A75" t="s">
        <v>107</v>
      </c>
      <c r="B75" s="1">
        <v>45306</v>
      </c>
      <c r="C75" s="11">
        <v>329.53</v>
      </c>
    </row>
    <row r="76" spans="1:8" hidden="1" x14ac:dyDescent="0.55000000000000004">
      <c r="A76" t="s">
        <v>117</v>
      </c>
      <c r="B76" s="1">
        <v>45306</v>
      </c>
      <c r="C76" s="11">
        <v>60.88</v>
      </c>
    </row>
    <row r="77" spans="1:8" hidden="1" x14ac:dyDescent="0.55000000000000004">
      <c r="A77" t="s">
        <v>127</v>
      </c>
      <c r="B77" s="1">
        <v>45306</v>
      </c>
      <c r="C77" s="11">
        <v>131.9</v>
      </c>
    </row>
    <row r="78" spans="1:8" hidden="1" x14ac:dyDescent="0.55000000000000004">
      <c r="A78" t="s">
        <v>134</v>
      </c>
      <c r="B78" s="1">
        <v>45306</v>
      </c>
      <c r="C78" s="11">
        <v>71.27</v>
      </c>
    </row>
    <row r="79" spans="1:8" hidden="1" x14ac:dyDescent="0.55000000000000004">
      <c r="A79" t="s">
        <v>125</v>
      </c>
      <c r="B79" s="1">
        <v>45307</v>
      </c>
      <c r="C79" s="11">
        <v>178.75261</v>
      </c>
    </row>
    <row r="80" spans="1:8" x14ac:dyDescent="0.55000000000000004">
      <c r="A80" t="s">
        <v>101</v>
      </c>
      <c r="B80" s="1">
        <v>45307</v>
      </c>
      <c r="C80" s="11">
        <v>360</v>
      </c>
      <c r="G80" s="11"/>
    </row>
    <row r="81" spans="1:8" hidden="1" x14ac:dyDescent="0.55000000000000004">
      <c r="A81" t="s">
        <v>111</v>
      </c>
      <c r="B81" s="1">
        <v>45307</v>
      </c>
      <c r="C81" s="11">
        <v>55.9</v>
      </c>
      <c r="G81" s="16"/>
      <c r="H81" s="11"/>
    </row>
    <row r="82" spans="1:8" hidden="1" x14ac:dyDescent="0.55000000000000004">
      <c r="A82" t="s">
        <v>107</v>
      </c>
      <c r="B82" s="1">
        <v>45307</v>
      </c>
      <c r="C82" s="11">
        <v>331.18</v>
      </c>
    </row>
    <row r="83" spans="1:8" hidden="1" x14ac:dyDescent="0.55000000000000004">
      <c r="A83" t="s">
        <v>117</v>
      </c>
      <c r="B83" s="1">
        <v>45307</v>
      </c>
      <c r="C83" s="11">
        <v>60.8</v>
      </c>
    </row>
    <row r="84" spans="1:8" hidden="1" x14ac:dyDescent="0.55000000000000004">
      <c r="A84" t="s">
        <v>127</v>
      </c>
      <c r="B84" s="1">
        <v>45307</v>
      </c>
      <c r="C84" s="11">
        <v>131.6</v>
      </c>
    </row>
    <row r="85" spans="1:8" hidden="1" x14ac:dyDescent="0.55000000000000004">
      <c r="A85" t="s">
        <v>134</v>
      </c>
      <c r="B85" s="1">
        <v>45307</v>
      </c>
      <c r="C85" s="11">
        <v>70.98</v>
      </c>
    </row>
    <row r="86" spans="1:8" hidden="1" x14ac:dyDescent="0.55000000000000004">
      <c r="A86" t="s">
        <v>125</v>
      </c>
      <c r="B86" s="1">
        <v>45308</v>
      </c>
      <c r="C86" s="11">
        <v>180.85507000000001</v>
      </c>
    </row>
    <row r="87" spans="1:8" x14ac:dyDescent="0.55000000000000004">
      <c r="A87" t="s">
        <v>101</v>
      </c>
      <c r="B87" s="1">
        <v>45308</v>
      </c>
      <c r="C87" s="11">
        <v>365</v>
      </c>
      <c r="G87" s="11"/>
    </row>
    <row r="88" spans="1:8" hidden="1" x14ac:dyDescent="0.55000000000000004">
      <c r="A88" t="s">
        <v>111</v>
      </c>
      <c r="B88" s="1">
        <v>45308</v>
      </c>
      <c r="C88" s="11">
        <v>56.5</v>
      </c>
      <c r="G88" s="16"/>
      <c r="H88" s="11"/>
    </row>
    <row r="89" spans="1:8" hidden="1" x14ac:dyDescent="0.55000000000000004">
      <c r="A89" t="s">
        <v>107</v>
      </c>
      <c r="B89" s="1">
        <v>45308</v>
      </c>
      <c r="C89" s="11">
        <v>338.52</v>
      </c>
    </row>
    <row r="90" spans="1:8" hidden="1" x14ac:dyDescent="0.55000000000000004">
      <c r="A90" t="s">
        <v>117</v>
      </c>
      <c r="B90" s="1">
        <v>45308</v>
      </c>
      <c r="C90" s="11">
        <v>62.43</v>
      </c>
    </row>
    <row r="91" spans="1:8" hidden="1" x14ac:dyDescent="0.55000000000000004">
      <c r="A91" t="s">
        <v>127</v>
      </c>
      <c r="B91" s="1">
        <v>45308</v>
      </c>
      <c r="C91" s="11">
        <v>134.75</v>
      </c>
    </row>
    <row r="92" spans="1:8" hidden="1" x14ac:dyDescent="0.55000000000000004">
      <c r="A92" t="s">
        <v>134</v>
      </c>
      <c r="B92" s="1">
        <v>45308</v>
      </c>
      <c r="C92" s="11">
        <v>72.72</v>
      </c>
    </row>
    <row r="93" spans="1:8" hidden="1" x14ac:dyDescent="0.55000000000000004">
      <c r="A93" t="s">
        <v>125</v>
      </c>
      <c r="B93" s="1">
        <v>45309</v>
      </c>
      <c r="C93" s="11">
        <v>178.70321999999999</v>
      </c>
    </row>
    <row r="94" spans="1:8" x14ac:dyDescent="0.55000000000000004">
      <c r="A94" t="s">
        <v>101</v>
      </c>
      <c r="B94" s="1">
        <v>45309</v>
      </c>
      <c r="C94" s="11">
        <v>360</v>
      </c>
      <c r="G94" s="11"/>
    </row>
    <row r="95" spans="1:8" hidden="1" x14ac:dyDescent="0.55000000000000004">
      <c r="A95" t="s">
        <v>111</v>
      </c>
      <c r="B95" s="1">
        <v>45309</v>
      </c>
      <c r="C95" s="11">
        <v>55.5</v>
      </c>
      <c r="G95" s="16"/>
      <c r="H95" s="11"/>
    </row>
    <row r="96" spans="1:8" hidden="1" x14ac:dyDescent="0.55000000000000004">
      <c r="A96" t="s">
        <v>107</v>
      </c>
      <c r="B96" s="1">
        <v>45309</v>
      </c>
      <c r="C96" s="11">
        <v>333.95</v>
      </c>
    </row>
    <row r="97" spans="1:8" hidden="1" x14ac:dyDescent="0.55000000000000004">
      <c r="A97" t="s">
        <v>117</v>
      </c>
      <c r="B97" s="1">
        <v>45309</v>
      </c>
      <c r="C97" s="11">
        <v>61.07</v>
      </c>
    </row>
    <row r="98" spans="1:8" hidden="1" x14ac:dyDescent="0.55000000000000004">
      <c r="A98" t="s">
        <v>127</v>
      </c>
      <c r="B98" s="1">
        <v>45309</v>
      </c>
      <c r="C98" s="11">
        <v>131.25</v>
      </c>
    </row>
    <row r="99" spans="1:8" hidden="1" x14ac:dyDescent="0.55000000000000004">
      <c r="A99" t="s">
        <v>134</v>
      </c>
      <c r="B99" s="1">
        <v>45309</v>
      </c>
      <c r="C99" s="11">
        <v>70.81</v>
      </c>
    </row>
    <row r="100" spans="1:8" hidden="1" x14ac:dyDescent="0.55000000000000004">
      <c r="A100" t="s">
        <v>125</v>
      </c>
      <c r="B100" s="1">
        <v>45310</v>
      </c>
      <c r="C100" s="11">
        <v>177.56354999999999</v>
      </c>
    </row>
    <row r="101" spans="1:8" x14ac:dyDescent="0.55000000000000004">
      <c r="A101" t="s">
        <v>101</v>
      </c>
      <c r="B101" s="1">
        <v>45310</v>
      </c>
      <c r="C101" s="11">
        <v>354</v>
      </c>
      <c r="G101" s="11"/>
    </row>
    <row r="102" spans="1:8" hidden="1" x14ac:dyDescent="0.55000000000000004">
      <c r="A102" t="s">
        <v>111</v>
      </c>
      <c r="B102" s="1">
        <v>45310</v>
      </c>
      <c r="C102" s="11">
        <v>54.75</v>
      </c>
      <c r="G102" s="16"/>
      <c r="H102" s="11"/>
    </row>
    <row r="103" spans="1:8" hidden="1" x14ac:dyDescent="0.55000000000000004">
      <c r="A103" t="s">
        <v>107</v>
      </c>
      <c r="B103" s="1">
        <v>45310</v>
      </c>
      <c r="C103" s="11">
        <v>329.05</v>
      </c>
    </row>
    <row r="104" spans="1:8" hidden="1" x14ac:dyDescent="0.55000000000000004">
      <c r="A104" t="s">
        <v>117</v>
      </c>
      <c r="B104" s="1">
        <v>45310</v>
      </c>
      <c r="C104" s="11">
        <v>59.92</v>
      </c>
    </row>
    <row r="105" spans="1:8" hidden="1" x14ac:dyDescent="0.55000000000000004">
      <c r="A105" t="s">
        <v>127</v>
      </c>
      <c r="B105" s="1">
        <v>45310</v>
      </c>
      <c r="C105" s="11">
        <v>129.5</v>
      </c>
    </row>
    <row r="106" spans="1:8" hidden="1" x14ac:dyDescent="0.55000000000000004">
      <c r="A106" t="s">
        <v>134</v>
      </c>
      <c r="B106" s="1">
        <v>45310</v>
      </c>
      <c r="C106" s="11">
        <v>69.459999999999994</v>
      </c>
    </row>
    <row r="107" spans="1:8" hidden="1" x14ac:dyDescent="0.55000000000000004">
      <c r="A107" t="s">
        <v>125</v>
      </c>
      <c r="B107" s="1">
        <v>45313</v>
      </c>
      <c r="C107" s="11">
        <v>178.96617000000001</v>
      </c>
    </row>
    <row r="108" spans="1:8" x14ac:dyDescent="0.55000000000000004">
      <c r="A108" t="s">
        <v>101</v>
      </c>
      <c r="B108" s="1">
        <v>45313</v>
      </c>
      <c r="C108" s="11">
        <v>355.5</v>
      </c>
      <c r="G108" s="11"/>
    </row>
    <row r="109" spans="1:8" hidden="1" x14ac:dyDescent="0.55000000000000004">
      <c r="A109" t="s">
        <v>111</v>
      </c>
      <c r="B109" s="1">
        <v>45313</v>
      </c>
      <c r="C109" s="11">
        <v>55.1</v>
      </c>
      <c r="G109" s="16"/>
      <c r="H109" s="11"/>
    </row>
    <row r="110" spans="1:8" hidden="1" x14ac:dyDescent="0.55000000000000004">
      <c r="A110" t="s">
        <v>107</v>
      </c>
      <c r="B110" s="1">
        <v>45313</v>
      </c>
      <c r="C110" s="11">
        <v>323.58</v>
      </c>
    </row>
    <row r="111" spans="1:8" hidden="1" x14ac:dyDescent="0.55000000000000004">
      <c r="A111" t="s">
        <v>117</v>
      </c>
      <c r="B111" s="1">
        <v>45313</v>
      </c>
      <c r="C111" s="11">
        <v>59.19</v>
      </c>
    </row>
    <row r="112" spans="1:8" hidden="1" x14ac:dyDescent="0.55000000000000004">
      <c r="A112" t="s">
        <v>127</v>
      </c>
      <c r="B112" s="1">
        <v>45313</v>
      </c>
      <c r="C112" s="11">
        <v>127.8</v>
      </c>
    </row>
    <row r="113" spans="1:8" hidden="1" x14ac:dyDescent="0.55000000000000004">
      <c r="A113" t="s">
        <v>134</v>
      </c>
      <c r="B113" s="1">
        <v>45313</v>
      </c>
      <c r="C113" s="11">
        <v>68.7</v>
      </c>
    </row>
    <row r="114" spans="1:8" hidden="1" x14ac:dyDescent="0.55000000000000004">
      <c r="A114" t="s">
        <v>125</v>
      </c>
      <c r="B114" s="1">
        <v>45314</v>
      </c>
      <c r="C114" s="11">
        <v>181.12445</v>
      </c>
    </row>
    <row r="115" spans="1:8" x14ac:dyDescent="0.55000000000000004">
      <c r="A115" t="s">
        <v>101</v>
      </c>
      <c r="B115" s="1">
        <v>45314</v>
      </c>
      <c r="C115" s="11">
        <v>356</v>
      </c>
      <c r="G115" s="11"/>
    </row>
    <row r="116" spans="1:8" hidden="1" x14ac:dyDescent="0.55000000000000004">
      <c r="A116" t="s">
        <v>111</v>
      </c>
      <c r="B116" s="1">
        <v>45314</v>
      </c>
      <c r="C116" s="11">
        <v>55.5</v>
      </c>
      <c r="G116" s="16"/>
      <c r="H116" s="11"/>
    </row>
    <row r="117" spans="1:8" hidden="1" x14ac:dyDescent="0.55000000000000004">
      <c r="A117" t="s">
        <v>107</v>
      </c>
      <c r="B117" s="1">
        <v>45314</v>
      </c>
      <c r="C117" s="11">
        <v>329.65</v>
      </c>
    </row>
    <row r="118" spans="1:8" hidden="1" x14ac:dyDescent="0.55000000000000004">
      <c r="A118" t="s">
        <v>117</v>
      </c>
      <c r="B118" s="1">
        <v>45314</v>
      </c>
      <c r="C118" s="11">
        <v>60.44</v>
      </c>
    </row>
    <row r="119" spans="1:8" hidden="1" x14ac:dyDescent="0.55000000000000004">
      <c r="A119" t="s">
        <v>127</v>
      </c>
      <c r="B119" s="1">
        <v>45314</v>
      </c>
      <c r="C119" s="11">
        <v>129.63999999999999</v>
      </c>
    </row>
    <row r="120" spans="1:8" hidden="1" x14ac:dyDescent="0.55000000000000004">
      <c r="A120" t="s">
        <v>134</v>
      </c>
      <c r="B120" s="1">
        <v>45314</v>
      </c>
      <c r="C120" s="11">
        <v>69.89</v>
      </c>
    </row>
  </sheetData>
  <autoFilter ref="A1:C120" xr:uid="{41DD5B7A-09D2-4E7E-ACBC-67307CE0759E}">
    <filterColumn colId="0">
      <filters>
        <filter val="INDEX_SPREAD_CDX_HY_OTR"/>
      </filters>
    </filterColumn>
  </autoFilter>
  <sortState xmlns:xlrd2="http://schemas.microsoft.com/office/spreadsheetml/2017/richdata2" ref="G4:H4">
    <sortCondition descending="1" ref="H3:H4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6AE5-E9D3-47C3-9112-7A1F86AD016F}">
  <dimension ref="A1:C49"/>
  <sheetViews>
    <sheetView workbookViewId="0">
      <selection activeCell="B6" sqref="B6"/>
    </sheetView>
  </sheetViews>
  <sheetFormatPr defaultColWidth="8.5234375" defaultRowHeight="14.4" x14ac:dyDescent="0.55000000000000004"/>
  <cols>
    <col min="1" max="1" width="17.47265625" bestFit="1" customWidth="1"/>
    <col min="2" max="2" width="87.47265625" style="14" customWidth="1"/>
    <col min="3" max="3" width="18.5234375" bestFit="1" customWidth="1"/>
  </cols>
  <sheetData>
    <row r="1" spans="1:3" x14ac:dyDescent="0.55000000000000004">
      <c r="A1" t="s">
        <v>153</v>
      </c>
    </row>
    <row r="2" spans="1:3" x14ac:dyDescent="0.55000000000000004">
      <c r="A2" t="s">
        <v>154</v>
      </c>
      <c r="B2" s="14" t="s">
        <v>155</v>
      </c>
      <c r="C2" t="s">
        <v>156</v>
      </c>
    </row>
    <row r="3" spans="1:3" x14ac:dyDescent="0.55000000000000004">
      <c r="A3" t="s">
        <v>0</v>
      </c>
      <c r="B3" s="15" t="s">
        <v>157</v>
      </c>
      <c r="C3" s="1">
        <v>45306</v>
      </c>
    </row>
    <row r="4" spans="1:3" x14ac:dyDescent="0.55000000000000004">
      <c r="A4" s="2" t="s">
        <v>1</v>
      </c>
      <c r="B4" s="15" t="s">
        <v>158</v>
      </c>
      <c r="C4" s="2">
        <v>2122287473</v>
      </c>
    </row>
    <row r="5" spans="1:3" x14ac:dyDescent="0.55000000000000004">
      <c r="A5" t="s">
        <v>2</v>
      </c>
      <c r="B5" s="15" t="s">
        <v>159</v>
      </c>
      <c r="C5" t="s">
        <v>23</v>
      </c>
    </row>
    <row r="6" spans="1:3" x14ac:dyDescent="0.55000000000000004">
      <c r="A6" t="s">
        <v>3</v>
      </c>
      <c r="B6" s="15" t="s">
        <v>160</v>
      </c>
      <c r="C6" t="s">
        <v>24</v>
      </c>
    </row>
    <row r="7" spans="1:3" x14ac:dyDescent="0.55000000000000004">
      <c r="A7" t="s">
        <v>4</v>
      </c>
      <c r="B7" s="15" t="s">
        <v>161</v>
      </c>
      <c r="C7" t="s">
        <v>25</v>
      </c>
    </row>
    <row r="8" spans="1:3" x14ac:dyDescent="0.55000000000000004">
      <c r="A8" t="s">
        <v>5</v>
      </c>
      <c r="B8" s="15" t="s">
        <v>162</v>
      </c>
      <c r="C8" t="s">
        <v>26</v>
      </c>
    </row>
    <row r="9" spans="1:3" x14ac:dyDescent="0.55000000000000004">
      <c r="A9" t="s">
        <v>6</v>
      </c>
      <c r="B9" s="15" t="s">
        <v>163</v>
      </c>
      <c r="C9" t="s">
        <v>27</v>
      </c>
    </row>
    <row r="10" spans="1:3" x14ac:dyDescent="0.55000000000000004">
      <c r="A10" t="s">
        <v>7</v>
      </c>
      <c r="B10" s="15" t="s">
        <v>164</v>
      </c>
      <c r="C10">
        <v>-146.503198</v>
      </c>
    </row>
    <row r="11" spans="1:3" x14ac:dyDescent="0.55000000000000004">
      <c r="A11" t="s">
        <v>8</v>
      </c>
      <c r="B11" s="15" t="s">
        <v>165</v>
      </c>
      <c r="C11" t="s">
        <v>25</v>
      </c>
    </row>
    <row r="12" spans="1:3" x14ac:dyDescent="0.55000000000000004">
      <c r="A12" t="s">
        <v>9</v>
      </c>
      <c r="B12" s="15" t="s">
        <v>166</v>
      </c>
      <c r="C12" t="s">
        <v>25</v>
      </c>
    </row>
    <row r="13" spans="1:3" x14ac:dyDescent="0.55000000000000004">
      <c r="A13" t="s">
        <v>10</v>
      </c>
      <c r="B13" s="15" t="s">
        <v>167</v>
      </c>
      <c r="C13">
        <v>1792</v>
      </c>
    </row>
    <row r="14" spans="1:3" x14ac:dyDescent="0.55000000000000004">
      <c r="A14" t="s">
        <v>11</v>
      </c>
      <c r="B14" s="15" t="s">
        <v>168</v>
      </c>
      <c r="C14">
        <v>1</v>
      </c>
    </row>
    <row r="15" spans="1:3" x14ac:dyDescent="0.55000000000000004">
      <c r="A15" t="s">
        <v>12</v>
      </c>
      <c r="B15" s="15" t="s">
        <v>167</v>
      </c>
      <c r="C15">
        <v>1792</v>
      </c>
    </row>
    <row r="16" spans="1:3" x14ac:dyDescent="0.55000000000000004">
      <c r="A16" t="s">
        <v>13</v>
      </c>
      <c r="B16" s="15" t="s">
        <v>169</v>
      </c>
      <c r="C16" t="s">
        <v>28</v>
      </c>
    </row>
    <row r="17" spans="1:3" x14ac:dyDescent="0.55000000000000004">
      <c r="A17" t="s">
        <v>14</v>
      </c>
      <c r="B17" s="15" t="s">
        <v>170</v>
      </c>
      <c r="C17" t="s">
        <v>29</v>
      </c>
    </row>
    <row r="18" spans="1:3" x14ac:dyDescent="0.55000000000000004">
      <c r="A18" t="s">
        <v>15</v>
      </c>
      <c r="B18" s="15" t="s">
        <v>171</v>
      </c>
      <c r="C18" t="s">
        <v>30</v>
      </c>
    </row>
    <row r="19" spans="1:3" x14ac:dyDescent="0.55000000000000004">
      <c r="A19" t="s">
        <v>16</v>
      </c>
      <c r="B19" s="15" t="s">
        <v>172</v>
      </c>
      <c r="C19" t="s">
        <v>31</v>
      </c>
    </row>
    <row r="20" spans="1:3" x14ac:dyDescent="0.55000000000000004">
      <c r="A20" t="s">
        <v>17</v>
      </c>
      <c r="B20" s="15" t="s">
        <v>173</v>
      </c>
      <c r="C20" s="3" t="s">
        <v>32</v>
      </c>
    </row>
    <row r="21" spans="1:3" x14ac:dyDescent="0.55000000000000004">
      <c r="A21" t="s">
        <v>18</v>
      </c>
      <c r="B21" s="15" t="s">
        <v>173</v>
      </c>
      <c r="C21" t="s">
        <v>33</v>
      </c>
    </row>
    <row r="22" spans="1:3" x14ac:dyDescent="0.55000000000000004">
      <c r="A22" t="s">
        <v>19</v>
      </c>
      <c r="B22" s="15" t="s">
        <v>189</v>
      </c>
      <c r="C22" t="s">
        <v>34</v>
      </c>
    </row>
    <row r="23" spans="1:3" x14ac:dyDescent="0.55000000000000004">
      <c r="A23" t="s">
        <v>20</v>
      </c>
      <c r="B23" s="15" t="s">
        <v>174</v>
      </c>
      <c r="C23" t="s">
        <v>35</v>
      </c>
    </row>
    <row r="24" spans="1:3" x14ac:dyDescent="0.55000000000000004">
      <c r="A24" t="s">
        <v>21</v>
      </c>
      <c r="B24" s="15" t="s">
        <v>175</v>
      </c>
      <c r="C24">
        <v>0</v>
      </c>
    </row>
    <row r="30" spans="1:3" x14ac:dyDescent="0.55000000000000004">
      <c r="A30" t="s">
        <v>176</v>
      </c>
      <c r="B30" s="14" t="s">
        <v>177</v>
      </c>
    </row>
    <row r="31" spans="1:3" x14ac:dyDescent="0.55000000000000004">
      <c r="A31" s="12" t="s">
        <v>16</v>
      </c>
      <c r="B31" s="14" t="s">
        <v>178</v>
      </c>
      <c r="C31" t="s">
        <v>31</v>
      </c>
    </row>
    <row r="32" spans="1:3" x14ac:dyDescent="0.55000000000000004">
      <c r="A32" s="12" t="s">
        <v>15</v>
      </c>
      <c r="B32" s="14" t="s">
        <v>179</v>
      </c>
      <c r="C32" t="s">
        <v>30</v>
      </c>
    </row>
    <row r="33" spans="1:3" x14ac:dyDescent="0.55000000000000004">
      <c r="A33" s="12" t="s">
        <v>96</v>
      </c>
      <c r="B33" s="14" t="s">
        <v>180</v>
      </c>
      <c r="C33" t="s">
        <v>51</v>
      </c>
    </row>
    <row r="34" spans="1:3" x14ac:dyDescent="0.55000000000000004">
      <c r="A34" s="12" t="s">
        <v>22</v>
      </c>
      <c r="B34" s="14" t="s">
        <v>181</v>
      </c>
      <c r="C34" t="s">
        <v>100</v>
      </c>
    </row>
    <row r="35" spans="1:3" x14ac:dyDescent="0.55000000000000004">
      <c r="A35" s="12" t="s">
        <v>97</v>
      </c>
      <c r="B35" s="14" t="s">
        <v>182</v>
      </c>
      <c r="C35" t="s">
        <v>101</v>
      </c>
    </row>
    <row r="36" spans="1:3" x14ac:dyDescent="0.55000000000000004">
      <c r="A36" s="12" t="s">
        <v>98</v>
      </c>
      <c r="B36" s="14" t="s">
        <v>183</v>
      </c>
      <c r="C36" t="s">
        <v>102</v>
      </c>
    </row>
    <row r="37" spans="1:3" x14ac:dyDescent="0.55000000000000004">
      <c r="A37" s="12" t="s">
        <v>99</v>
      </c>
      <c r="B37" s="14" t="s">
        <v>184</v>
      </c>
      <c r="C37">
        <v>60</v>
      </c>
    </row>
    <row r="44" spans="1:3" x14ac:dyDescent="0.55000000000000004">
      <c r="A44" t="s">
        <v>185</v>
      </c>
    </row>
    <row r="45" spans="1:3" x14ac:dyDescent="0.55000000000000004">
      <c r="A45" t="s">
        <v>150</v>
      </c>
      <c r="B45" s="14" t="s">
        <v>186</v>
      </c>
      <c r="C45" t="s">
        <v>125</v>
      </c>
    </row>
    <row r="46" spans="1:3" x14ac:dyDescent="0.55000000000000004">
      <c r="A46" t="s">
        <v>151</v>
      </c>
      <c r="B46" s="14" t="s">
        <v>187</v>
      </c>
      <c r="C46" s="1">
        <v>45292</v>
      </c>
    </row>
    <row r="47" spans="1:3" x14ac:dyDescent="0.55000000000000004">
      <c r="A47" s="11" t="s">
        <v>152</v>
      </c>
      <c r="B47" s="14" t="s">
        <v>188</v>
      </c>
      <c r="C47" s="11">
        <v>166.85439</v>
      </c>
    </row>
    <row r="49" spans="3:3" x14ac:dyDescent="0.55000000000000004">
      <c r="C4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2A94-190B-418C-804D-2783A1BD3566}">
  <dimension ref="A1:J60"/>
  <sheetViews>
    <sheetView zoomScale="85" zoomScaleNormal="85" workbookViewId="0">
      <pane ySplit="4" topLeftCell="A28" activePane="bottomLeft" state="frozen"/>
      <selection pane="bottomLeft" activeCell="D49" sqref="D49"/>
    </sheetView>
  </sheetViews>
  <sheetFormatPr defaultRowHeight="14.4" x14ac:dyDescent="0.55000000000000004"/>
  <cols>
    <col min="1" max="1" width="35.1015625" customWidth="1"/>
    <col min="2" max="10" width="18.47265625" customWidth="1"/>
  </cols>
  <sheetData>
    <row r="1" spans="1:10" x14ac:dyDescent="0.55000000000000004">
      <c r="A1" s="40" t="s">
        <v>298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55000000000000004">
      <c r="A2" s="41" t="s">
        <v>299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55000000000000004">
      <c r="A3" s="41" t="s">
        <v>300</v>
      </c>
      <c r="B3" s="42">
        <f ca="1">TODAY()</f>
        <v>46124</v>
      </c>
      <c r="C3" s="41"/>
      <c r="D3" s="41"/>
      <c r="E3" s="41"/>
      <c r="F3" s="41"/>
      <c r="G3" s="41"/>
      <c r="H3" s="41"/>
      <c r="I3" s="41"/>
      <c r="J3" s="41"/>
    </row>
    <row r="4" spans="1:10" x14ac:dyDescent="0.55000000000000004">
      <c r="A4" s="43" t="s">
        <v>301</v>
      </c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55000000000000004">
      <c r="A5" s="40" t="s">
        <v>302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55000000000000004">
      <c r="A6" s="44" t="s">
        <v>194</v>
      </c>
      <c r="B6" s="45">
        <v>45306</v>
      </c>
      <c r="C6" s="44"/>
      <c r="D6" s="44"/>
      <c r="E6" s="44"/>
      <c r="F6" s="44"/>
      <c r="G6" s="44"/>
      <c r="H6" s="44"/>
      <c r="I6" s="44"/>
      <c r="J6" s="44"/>
    </row>
    <row r="7" spans="1:10" x14ac:dyDescent="0.55000000000000004">
      <c r="A7" s="44" t="s">
        <v>195</v>
      </c>
      <c r="B7" s="45">
        <v>45307</v>
      </c>
      <c r="C7" s="44"/>
      <c r="D7" s="44"/>
      <c r="E7" s="44"/>
      <c r="F7" s="44"/>
      <c r="G7" s="44"/>
      <c r="H7" s="44"/>
      <c r="I7" s="44"/>
      <c r="J7" s="44"/>
    </row>
    <row r="8" spans="1:10" x14ac:dyDescent="0.55000000000000004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55000000000000004">
      <c r="A9" s="40" t="s">
        <v>303</v>
      </c>
      <c r="B9" s="40"/>
      <c r="C9" s="40"/>
      <c r="D9" s="40"/>
      <c r="E9" s="40"/>
      <c r="F9" s="40"/>
      <c r="G9" s="40"/>
      <c r="H9" s="40"/>
      <c r="I9" s="40"/>
      <c r="J9" s="40"/>
    </row>
    <row r="10" spans="1:10" x14ac:dyDescent="0.55000000000000004">
      <c r="A10" s="46" t="s">
        <v>196</v>
      </c>
      <c r="B10" s="46" t="s">
        <v>197</v>
      </c>
      <c r="C10" s="46" t="s">
        <v>198</v>
      </c>
      <c r="D10" s="46" t="s">
        <v>199</v>
      </c>
      <c r="E10" s="46" t="s">
        <v>200</v>
      </c>
      <c r="F10" s="46" t="s">
        <v>201</v>
      </c>
      <c r="G10" s="46" t="s">
        <v>202</v>
      </c>
      <c r="H10" s="46" t="s">
        <v>203</v>
      </c>
      <c r="I10" s="41"/>
      <c r="J10" s="41"/>
    </row>
    <row r="11" spans="1:10" x14ac:dyDescent="0.55000000000000004">
      <c r="A11" s="47">
        <v>45292</v>
      </c>
      <c r="B11" s="48">
        <f>IFERROR(SUMIFS(TimeSeries!$C:$C,TimeSeries!$A:$A,"INDEX_SPREAD_CDX_IG_OTR",TimeSeries!$B:$B,$A11),0)</f>
        <v>56.75</v>
      </c>
      <c r="C11" s="48">
        <f>IFERROR(SUMIFS(TimeSeries!$C:$C,TimeSeries!$A:$A,"INDEX_SPREAD_CDX_HY_OTR",TimeSeries!$B:$B,$A11),0)</f>
        <v>357</v>
      </c>
      <c r="D11" s="48">
        <f>IFERROR(SUMIFS(TimeSeries!$C:$C,TimeSeries!$A:$A,"INDEX_SPREAD_CDX_EM_OTR",TimeSeries!$B:$B,$A11),0)</f>
        <v>166.85439</v>
      </c>
      <c r="E11" s="48">
        <f>IFERROR(SUMIFS(TimeSeries!$C:$C,TimeSeries!$A:$A,"INDEX_SPREAD_ITRX_IG_OTR",TimeSeries!$B:$B,$A11),0)</f>
        <v>58.28</v>
      </c>
      <c r="F11" s="48">
        <f>IFERROR(SUMIFS(TimeSeries!$C:$C,TimeSeries!$A:$A,"INDEX_SPREAD_ITRX_XO_OTR",TimeSeries!$B:$B,$A11),0)</f>
        <v>310.375</v>
      </c>
      <c r="G11" s="48">
        <f>IFERROR(SUMIFS(TimeSeries!$C:$C,TimeSeries!$A:$A,"INDEX_SPREAD_ITRX_IG_FINSB_OTR",TimeSeries!$B:$B,$A11),0)</f>
        <v>122.65</v>
      </c>
      <c r="H11" s="48">
        <f>IFERROR(SUMIFS(TimeSeries!$C:$C,TimeSeries!$A:$A,"INDEX_SPREAD_ITRX_IG_FINSN_OTR",TimeSeries!$B:$B,$A11),0)</f>
        <v>67.12</v>
      </c>
      <c r="I11" s="44"/>
      <c r="J11" s="44"/>
    </row>
    <row r="12" spans="1:10" x14ac:dyDescent="0.55000000000000004">
      <c r="A12" s="49">
        <v>45293</v>
      </c>
      <c r="B12" s="50">
        <f>IFERROR(SUMIFS(TimeSeries!$C:$C,TimeSeries!$A:$A,"INDEX_SPREAD_CDX_IG_OTR",TimeSeries!$B:$B,$A12),0)</f>
        <v>58.5</v>
      </c>
      <c r="C12" s="50">
        <f>IFERROR(SUMIFS(TimeSeries!$C:$C,TimeSeries!$A:$A,"INDEX_SPREAD_CDX_HY_OTR",TimeSeries!$B:$B,$A12),0)</f>
        <v>364.5</v>
      </c>
      <c r="D12" s="50">
        <f>IFERROR(SUMIFS(TimeSeries!$C:$C,TimeSeries!$A:$A,"INDEX_SPREAD_CDX_EM_OTR",TimeSeries!$B:$B,$A12),0)</f>
        <v>175.86861999999999</v>
      </c>
      <c r="E12" s="50">
        <f>IFERROR(SUMIFS(TimeSeries!$C:$C,TimeSeries!$A:$A,"INDEX_SPREAD_ITRX_IG_OTR",TimeSeries!$B:$B,$A12),0)</f>
        <v>61</v>
      </c>
      <c r="F12" s="50">
        <f>IFERROR(SUMIFS(TimeSeries!$C:$C,TimeSeries!$A:$A,"INDEX_SPREAD_ITRX_XO_OTR",TimeSeries!$B:$B,$A12),0)</f>
        <v>325.24</v>
      </c>
      <c r="G12" s="50">
        <f>IFERROR(SUMIFS(TimeSeries!$C:$C,TimeSeries!$A:$A,"INDEX_SPREAD_ITRX_IG_FINSB_OTR",TimeSeries!$B:$B,$A12),0)</f>
        <v>130.72</v>
      </c>
      <c r="H12" s="50">
        <f>IFERROR(SUMIFS(TimeSeries!$C:$C,TimeSeries!$A:$A,"INDEX_SPREAD_ITRX_IG_FINSN_OTR",TimeSeries!$B:$B,$A12),0)</f>
        <v>71.11</v>
      </c>
      <c r="I12" s="51"/>
      <c r="J12" s="51"/>
    </row>
    <row r="13" spans="1:10" x14ac:dyDescent="0.55000000000000004">
      <c r="A13" s="47">
        <v>45294</v>
      </c>
      <c r="B13" s="48">
        <f>IFERROR(SUMIFS(TimeSeries!$C:$C,TimeSeries!$A:$A,"INDEX_SPREAD_CDX_IG_OTR",TimeSeries!$B:$B,$A13),0)</f>
        <v>60.5</v>
      </c>
      <c r="C13" s="48">
        <f>IFERROR(SUMIFS(TimeSeries!$C:$C,TimeSeries!$A:$A,"INDEX_SPREAD_CDX_HY_OTR",TimeSeries!$B:$B,$A13),0)</f>
        <v>375</v>
      </c>
      <c r="D13" s="48">
        <f>IFERROR(SUMIFS(TimeSeries!$C:$C,TimeSeries!$A:$A,"INDEX_SPREAD_CDX_EM_OTR",TimeSeries!$B:$B,$A13),0)</f>
        <v>181.49359000000001</v>
      </c>
      <c r="E13" s="48">
        <f>IFERROR(SUMIFS(TimeSeries!$C:$C,TimeSeries!$A:$A,"INDEX_SPREAD_ITRX_IG_OTR",TimeSeries!$B:$B,$A13),0)</f>
        <v>64.3</v>
      </c>
      <c r="F13" s="48">
        <f>IFERROR(SUMIFS(TimeSeries!$C:$C,TimeSeries!$A:$A,"INDEX_SPREAD_ITRX_XO_OTR",TimeSeries!$B:$B,$A13),0)</f>
        <v>343.09</v>
      </c>
      <c r="G13" s="48">
        <f>IFERROR(SUMIFS(TimeSeries!$C:$C,TimeSeries!$A:$A,"INDEX_SPREAD_ITRX_IG_FINSB_OTR",TimeSeries!$B:$B,$A13),0)</f>
        <v>136.75</v>
      </c>
      <c r="H13" s="48">
        <f>IFERROR(SUMIFS(TimeSeries!$C:$C,TimeSeries!$A:$A,"INDEX_SPREAD_ITRX_IG_FINSN_OTR",TimeSeries!$B:$B,$A13),0)</f>
        <v>74.42</v>
      </c>
      <c r="I13" s="44"/>
      <c r="J13" s="44"/>
    </row>
    <row r="14" spans="1:10" x14ac:dyDescent="0.55000000000000004">
      <c r="A14" s="49">
        <v>45295</v>
      </c>
      <c r="B14" s="50">
        <f>IFERROR(SUMIFS(TimeSeries!$C:$C,TimeSeries!$A:$A,"INDEX_SPREAD_CDX_IG_OTR",TimeSeries!$B:$B,$A14),0)</f>
        <v>60</v>
      </c>
      <c r="C14" s="50">
        <f>IFERROR(SUMIFS(TimeSeries!$C:$C,TimeSeries!$A:$A,"INDEX_SPREAD_CDX_HY_OTR",TimeSeries!$B:$B,$A14),0)</f>
        <v>376</v>
      </c>
      <c r="D14" s="50">
        <f>IFERROR(SUMIFS(TimeSeries!$C:$C,TimeSeries!$A:$A,"INDEX_SPREAD_CDX_EM_OTR",TimeSeries!$B:$B,$A14),0)</f>
        <v>184.64189999999999</v>
      </c>
      <c r="E14" s="50">
        <f>IFERROR(SUMIFS(TimeSeries!$C:$C,TimeSeries!$A:$A,"INDEX_SPREAD_ITRX_IG_OTR",TimeSeries!$B:$B,$A14),0)</f>
        <v>63.57</v>
      </c>
      <c r="F14" s="50">
        <f>IFERROR(SUMIFS(TimeSeries!$C:$C,TimeSeries!$A:$A,"INDEX_SPREAD_ITRX_XO_OTR",TimeSeries!$B:$B,$A14),0)</f>
        <v>339.87</v>
      </c>
      <c r="G14" s="50">
        <f>IFERROR(SUMIFS(TimeSeries!$C:$C,TimeSeries!$A:$A,"INDEX_SPREAD_ITRX_IG_FINSB_OTR",TimeSeries!$B:$B,$A14),0)</f>
        <v>134.34</v>
      </c>
      <c r="H14" s="50">
        <f>IFERROR(SUMIFS(TimeSeries!$C:$C,TimeSeries!$A:$A,"INDEX_SPREAD_ITRX_IG_FINSN_OTR",TimeSeries!$B:$B,$A14),0)</f>
        <v>73.180000000000007</v>
      </c>
      <c r="I14" s="51"/>
      <c r="J14" s="51"/>
    </row>
    <row r="15" spans="1:10" x14ac:dyDescent="0.55000000000000004">
      <c r="A15" s="47">
        <v>45296</v>
      </c>
      <c r="B15" s="48">
        <f>IFERROR(SUMIFS(TimeSeries!$C:$C,TimeSeries!$A:$A,"INDEX_SPREAD_CDX_IG_OTR",TimeSeries!$B:$B,$A15),0)</f>
        <v>59.35</v>
      </c>
      <c r="C15" s="48">
        <f>IFERROR(SUMIFS(TimeSeries!$C:$C,TimeSeries!$A:$A,"INDEX_SPREAD_CDX_HY_OTR",TimeSeries!$B:$B,$A15),0)</f>
        <v>371</v>
      </c>
      <c r="D15" s="48">
        <f>IFERROR(SUMIFS(TimeSeries!$C:$C,TimeSeries!$A:$A,"INDEX_SPREAD_CDX_EM_OTR",TimeSeries!$B:$B,$A15),0)</f>
        <v>181.49181999999999</v>
      </c>
      <c r="E15" s="48">
        <f>IFERROR(SUMIFS(TimeSeries!$C:$C,TimeSeries!$A:$A,"INDEX_SPREAD_ITRX_IG_OTR",TimeSeries!$B:$B,$A15),0)</f>
        <v>63.7</v>
      </c>
      <c r="F15" s="48">
        <f>IFERROR(SUMIFS(TimeSeries!$C:$C,TimeSeries!$A:$A,"INDEX_SPREAD_ITRX_XO_OTR",TimeSeries!$B:$B,$A15),0)</f>
        <v>338.98</v>
      </c>
      <c r="G15" s="48">
        <f>IFERROR(SUMIFS(TimeSeries!$C:$C,TimeSeries!$A:$A,"INDEX_SPREAD_ITRX_IG_FINSB_OTR",TimeSeries!$B:$B,$A15),0)</f>
        <v>134.11000000000001</v>
      </c>
      <c r="H15" s="48">
        <f>IFERROR(SUMIFS(TimeSeries!$C:$C,TimeSeries!$A:$A,"INDEX_SPREAD_ITRX_IG_FINSN_OTR",TimeSeries!$B:$B,$A15),0)</f>
        <v>73.2</v>
      </c>
      <c r="I15" s="44"/>
      <c r="J15" s="44"/>
    </row>
    <row r="16" spans="1:10" x14ac:dyDescent="0.55000000000000004">
      <c r="A16" s="49">
        <v>45299</v>
      </c>
      <c r="B16" s="50">
        <f>IFERROR(SUMIFS(TimeSeries!$C:$C,TimeSeries!$A:$A,"INDEX_SPREAD_CDX_IG_OTR",TimeSeries!$B:$B,$A16),0)</f>
        <v>56.9</v>
      </c>
      <c r="C16" s="50">
        <f>IFERROR(SUMIFS(TimeSeries!$C:$C,TimeSeries!$A:$A,"INDEX_SPREAD_CDX_HY_OTR",TimeSeries!$B:$B,$A16),0)</f>
        <v>359</v>
      </c>
      <c r="D16" s="50">
        <f>IFERROR(SUMIFS(TimeSeries!$C:$C,TimeSeries!$A:$A,"INDEX_SPREAD_CDX_EM_OTR",TimeSeries!$B:$B,$A16),0)</f>
        <v>180.72035</v>
      </c>
      <c r="E16" s="50">
        <f>IFERROR(SUMIFS(TimeSeries!$C:$C,TimeSeries!$A:$A,"INDEX_SPREAD_ITRX_IG_OTR",TimeSeries!$B:$B,$A16),0)</f>
        <v>62.59</v>
      </c>
      <c r="F16" s="50">
        <f>IFERROR(SUMIFS(TimeSeries!$C:$C,TimeSeries!$A:$A,"INDEX_SPREAD_ITRX_XO_OTR",TimeSeries!$B:$B,$A16),0)</f>
        <v>333.89</v>
      </c>
      <c r="G16" s="50">
        <f>IFERROR(SUMIFS(TimeSeries!$C:$C,TimeSeries!$A:$A,"INDEX_SPREAD_ITRX_IG_FINSB_OTR",TimeSeries!$B:$B,$A16),0)</f>
        <v>132.01</v>
      </c>
      <c r="H16" s="50">
        <f>IFERROR(SUMIFS(TimeSeries!$C:$C,TimeSeries!$A:$A,"INDEX_SPREAD_ITRX_IG_FINSN_OTR",TimeSeries!$B:$B,$A16),0)</f>
        <v>71.95</v>
      </c>
      <c r="I16" s="51"/>
      <c r="J16" s="51"/>
    </row>
    <row r="17" spans="1:10" x14ac:dyDescent="0.55000000000000004">
      <c r="A17" s="47">
        <v>45300</v>
      </c>
      <c r="B17" s="48">
        <f>IFERROR(SUMIFS(TimeSeries!$C:$C,TimeSeries!$A:$A,"INDEX_SPREAD_CDX_IG_OTR",TimeSeries!$B:$B,$A17),0)</f>
        <v>56.45</v>
      </c>
      <c r="C17" s="48">
        <f>IFERROR(SUMIFS(TimeSeries!$C:$C,TimeSeries!$A:$A,"INDEX_SPREAD_CDX_HY_OTR",TimeSeries!$B:$B,$A17),0)</f>
        <v>359</v>
      </c>
      <c r="D17" s="48">
        <f>IFERROR(SUMIFS(TimeSeries!$C:$C,TimeSeries!$A:$A,"INDEX_SPREAD_CDX_EM_OTR",TimeSeries!$B:$B,$A17),0)</f>
        <v>180.7311</v>
      </c>
      <c r="E17" s="48">
        <f>IFERROR(SUMIFS(TimeSeries!$C:$C,TimeSeries!$A:$A,"INDEX_SPREAD_ITRX_IG_OTR",TimeSeries!$B:$B,$A17),0)</f>
        <v>61.5</v>
      </c>
      <c r="F17" s="48">
        <f>IFERROR(SUMIFS(TimeSeries!$C:$C,TimeSeries!$A:$A,"INDEX_SPREAD_ITRX_XO_OTR",TimeSeries!$B:$B,$A17),0)</f>
        <v>329.86</v>
      </c>
      <c r="G17" s="48">
        <f>IFERROR(SUMIFS(TimeSeries!$C:$C,TimeSeries!$A:$A,"INDEX_SPREAD_ITRX_IG_FINSB_OTR",TimeSeries!$B:$B,$A17),0)</f>
        <v>130.86000000000001</v>
      </c>
      <c r="H17" s="48">
        <f>IFERROR(SUMIFS(TimeSeries!$C:$C,TimeSeries!$A:$A,"INDEX_SPREAD_ITRX_IG_FINSN_OTR",TimeSeries!$B:$B,$A17),0)</f>
        <v>71.099999999999994</v>
      </c>
      <c r="I17" s="44"/>
      <c r="J17" s="44"/>
    </row>
    <row r="18" spans="1:10" x14ac:dyDescent="0.55000000000000004">
      <c r="A18" s="49">
        <v>45301</v>
      </c>
      <c r="B18" s="50">
        <f>IFERROR(SUMIFS(TimeSeries!$C:$C,TimeSeries!$A:$A,"INDEX_SPREAD_CDX_IG_OTR",TimeSeries!$B:$B,$A18),0)</f>
        <v>55.3</v>
      </c>
      <c r="C18" s="50">
        <f>IFERROR(SUMIFS(TimeSeries!$C:$C,TimeSeries!$A:$A,"INDEX_SPREAD_CDX_HY_OTR",TimeSeries!$B:$B,$A18),0)</f>
        <v>353.5</v>
      </c>
      <c r="D18" s="50">
        <f>IFERROR(SUMIFS(TimeSeries!$C:$C,TimeSeries!$A:$A,"INDEX_SPREAD_CDX_EM_OTR",TimeSeries!$B:$B,$A18),0)</f>
        <v>175.95631</v>
      </c>
      <c r="E18" s="50">
        <f>IFERROR(SUMIFS(TimeSeries!$C:$C,TimeSeries!$A:$A,"INDEX_SPREAD_ITRX_IG_OTR",TimeSeries!$B:$B,$A18),0)</f>
        <v>59.54</v>
      </c>
      <c r="F18" s="50">
        <f>IFERROR(SUMIFS(TimeSeries!$C:$C,TimeSeries!$A:$A,"INDEX_SPREAD_ITRX_XO_OTR",TimeSeries!$B:$B,$A18),0)</f>
        <v>319.05</v>
      </c>
      <c r="G18" s="50">
        <f>IFERROR(SUMIFS(TimeSeries!$C:$C,TimeSeries!$A:$A,"INDEX_SPREAD_ITRX_IG_FINSB_OTR",TimeSeries!$B:$B,$A18),0)</f>
        <v>125.04</v>
      </c>
      <c r="H18" s="50">
        <f>IFERROR(SUMIFS(TimeSeries!$C:$C,TimeSeries!$A:$A,"INDEX_SPREAD_ITRX_IG_FINSN_OTR",TimeSeries!$B:$B,$A18),0)</f>
        <v>68.61</v>
      </c>
      <c r="I18" s="51"/>
      <c r="J18" s="51"/>
    </row>
    <row r="19" spans="1:10" x14ac:dyDescent="0.55000000000000004">
      <c r="A19" s="47">
        <v>45302</v>
      </c>
      <c r="B19" s="48">
        <f>IFERROR(SUMIFS(TimeSeries!$C:$C,TimeSeries!$A:$A,"INDEX_SPREAD_CDX_IG_OTR",TimeSeries!$B:$B,$A19),0)</f>
        <v>54.5</v>
      </c>
      <c r="C19" s="48">
        <f>IFERROR(SUMIFS(TimeSeries!$C:$C,TimeSeries!$A:$A,"INDEX_SPREAD_CDX_HY_OTR",TimeSeries!$B:$B,$A19),0)</f>
        <v>350.5</v>
      </c>
      <c r="D19" s="48">
        <f>IFERROR(SUMIFS(TimeSeries!$C:$C,TimeSeries!$A:$A,"INDEX_SPREAD_CDX_EM_OTR",TimeSeries!$B:$B,$A19),0)</f>
        <v>174.33105</v>
      </c>
      <c r="E19" s="48">
        <f>IFERROR(SUMIFS(TimeSeries!$C:$C,TimeSeries!$A:$A,"INDEX_SPREAD_ITRX_IG_OTR",TimeSeries!$B:$B,$A19),0)</f>
        <v>60.44</v>
      </c>
      <c r="F19" s="48">
        <f>IFERROR(SUMIFS(TimeSeries!$C:$C,TimeSeries!$A:$A,"INDEX_SPREAD_ITRX_XO_OTR",TimeSeries!$B:$B,$A19),0)</f>
        <v>325.06</v>
      </c>
      <c r="G19" s="48">
        <f>IFERROR(SUMIFS(TimeSeries!$C:$C,TimeSeries!$A:$A,"INDEX_SPREAD_ITRX_IG_FINSB_OTR",TimeSeries!$B:$B,$A19),0)</f>
        <v>128.47999999999999</v>
      </c>
      <c r="H19" s="48">
        <f>IFERROR(SUMIFS(TimeSeries!$C:$C,TimeSeries!$A:$A,"INDEX_SPREAD_ITRX_IG_FINSN_OTR",TimeSeries!$B:$B,$A19),0)</f>
        <v>70.13</v>
      </c>
      <c r="I19" s="44"/>
      <c r="J19" s="44"/>
    </row>
    <row r="20" spans="1:10" x14ac:dyDescent="0.55000000000000004">
      <c r="A20" s="49">
        <v>45303</v>
      </c>
      <c r="B20" s="50">
        <f>IFERROR(SUMIFS(TimeSeries!$C:$C,TimeSeries!$A:$A,"INDEX_SPREAD_CDX_IG_OTR",TimeSeries!$B:$B,$A20),0)</f>
        <v>54.75</v>
      </c>
      <c r="C20" s="50">
        <f>IFERROR(SUMIFS(TimeSeries!$C:$C,TimeSeries!$A:$A,"INDEX_SPREAD_CDX_HY_OTR",TimeSeries!$B:$B,$A20),0)</f>
        <v>353</v>
      </c>
      <c r="D20" s="50">
        <f>IFERROR(SUMIFS(TimeSeries!$C:$C,TimeSeries!$A:$A,"INDEX_SPREAD_CDX_EM_OTR",TimeSeries!$B:$B,$A20),0)</f>
        <v>173.94810000000001</v>
      </c>
      <c r="E20" s="50">
        <f>IFERROR(SUMIFS(TimeSeries!$C:$C,TimeSeries!$A:$A,"INDEX_SPREAD_ITRX_IG_OTR",TimeSeries!$B:$B,$A20),0)</f>
        <v>60.04</v>
      </c>
      <c r="F20" s="50">
        <f>IFERROR(SUMIFS(TimeSeries!$C:$C,TimeSeries!$A:$A,"INDEX_SPREAD_ITRX_XO_OTR",TimeSeries!$B:$B,$A20),0)</f>
        <v>321.49</v>
      </c>
      <c r="G20" s="50">
        <f>IFERROR(SUMIFS(TimeSeries!$C:$C,TimeSeries!$A:$A,"INDEX_SPREAD_ITRX_IG_FINSB_OTR",TimeSeries!$B:$B,$A20),0)</f>
        <v>129.37</v>
      </c>
      <c r="H20" s="50">
        <f>IFERROR(SUMIFS(TimeSeries!$C:$C,TimeSeries!$A:$A,"INDEX_SPREAD_ITRX_IG_FINSN_OTR",TimeSeries!$B:$B,$A20),0)</f>
        <v>70.28</v>
      </c>
      <c r="I20" s="51"/>
      <c r="J20" s="51"/>
    </row>
    <row r="21" spans="1:10" x14ac:dyDescent="0.55000000000000004">
      <c r="A21" s="47">
        <v>45306</v>
      </c>
      <c r="B21" s="48">
        <f>IFERROR(SUMIFS(TimeSeries!$C:$C,TimeSeries!$A:$A,"INDEX_SPREAD_CDX_IG_OTR",TimeSeries!$B:$B,$A21),0)</f>
        <v>54.75</v>
      </c>
      <c r="C21" s="48">
        <f>IFERROR(SUMIFS(TimeSeries!$C:$C,TimeSeries!$A:$A,"INDEX_SPREAD_CDX_HY_OTR",TimeSeries!$B:$B,$A21),0)</f>
        <v>353</v>
      </c>
      <c r="D21" s="48">
        <f>IFERROR(SUMIFS(TimeSeries!$C:$C,TimeSeries!$A:$A,"INDEX_SPREAD_CDX_EM_OTR",TimeSeries!$B:$B,$A21),0)</f>
        <v>173.94552999999999</v>
      </c>
      <c r="E21" s="48">
        <f>IFERROR(SUMIFS(TimeSeries!$C:$C,TimeSeries!$A:$A,"INDEX_SPREAD_ITRX_IG_OTR",TimeSeries!$B:$B,$A21),0)</f>
        <v>60.88</v>
      </c>
      <c r="F21" s="48">
        <f>IFERROR(SUMIFS(TimeSeries!$C:$C,TimeSeries!$A:$A,"INDEX_SPREAD_ITRX_XO_OTR",TimeSeries!$B:$B,$A21),0)</f>
        <v>329.53</v>
      </c>
      <c r="G21" s="48">
        <f>IFERROR(SUMIFS(TimeSeries!$C:$C,TimeSeries!$A:$A,"INDEX_SPREAD_ITRX_IG_FINSB_OTR",TimeSeries!$B:$B,$A21),0)</f>
        <v>131.9</v>
      </c>
      <c r="H21" s="48">
        <f>IFERROR(SUMIFS(TimeSeries!$C:$C,TimeSeries!$A:$A,"INDEX_SPREAD_ITRX_IG_FINSN_OTR",TimeSeries!$B:$B,$A21),0)</f>
        <v>71.27</v>
      </c>
      <c r="I21" s="44"/>
      <c r="J21" s="44"/>
    </row>
    <row r="22" spans="1:10" x14ac:dyDescent="0.55000000000000004">
      <c r="A22" s="49">
        <v>45307</v>
      </c>
      <c r="B22" s="50">
        <f>IFERROR(SUMIFS(TimeSeries!$C:$C,TimeSeries!$A:$A,"INDEX_SPREAD_CDX_IG_OTR",TimeSeries!$B:$B,$A22),0)</f>
        <v>55.9</v>
      </c>
      <c r="C22" s="50">
        <f>IFERROR(SUMIFS(TimeSeries!$C:$C,TimeSeries!$A:$A,"INDEX_SPREAD_CDX_HY_OTR",TimeSeries!$B:$B,$A22),0)</f>
        <v>360</v>
      </c>
      <c r="D22" s="50">
        <f>IFERROR(SUMIFS(TimeSeries!$C:$C,TimeSeries!$A:$A,"INDEX_SPREAD_CDX_EM_OTR",TimeSeries!$B:$B,$A22),0)</f>
        <v>178.75261</v>
      </c>
      <c r="E22" s="50">
        <f>IFERROR(SUMIFS(TimeSeries!$C:$C,TimeSeries!$A:$A,"INDEX_SPREAD_ITRX_IG_OTR",TimeSeries!$B:$B,$A22),0)</f>
        <v>60.8</v>
      </c>
      <c r="F22" s="50">
        <f>IFERROR(SUMIFS(TimeSeries!$C:$C,TimeSeries!$A:$A,"INDEX_SPREAD_ITRX_XO_OTR",TimeSeries!$B:$B,$A22),0)</f>
        <v>331.18</v>
      </c>
      <c r="G22" s="50">
        <f>IFERROR(SUMIFS(TimeSeries!$C:$C,TimeSeries!$A:$A,"INDEX_SPREAD_ITRX_IG_FINSB_OTR",TimeSeries!$B:$B,$A22),0)</f>
        <v>131.6</v>
      </c>
      <c r="H22" s="50">
        <f>IFERROR(SUMIFS(TimeSeries!$C:$C,TimeSeries!$A:$A,"INDEX_SPREAD_ITRX_IG_FINSN_OTR",TimeSeries!$B:$B,$A22),0)</f>
        <v>70.98</v>
      </c>
      <c r="I22" s="51"/>
      <c r="J22" s="51"/>
    </row>
    <row r="23" spans="1:10" x14ac:dyDescent="0.55000000000000004">
      <c r="A23" s="47">
        <v>45308</v>
      </c>
      <c r="B23" s="48">
        <f>IFERROR(SUMIFS(TimeSeries!$C:$C,TimeSeries!$A:$A,"INDEX_SPREAD_CDX_IG_OTR",TimeSeries!$B:$B,$A23),0)</f>
        <v>56.5</v>
      </c>
      <c r="C23" s="48">
        <f>IFERROR(SUMIFS(TimeSeries!$C:$C,TimeSeries!$A:$A,"INDEX_SPREAD_CDX_HY_OTR",TimeSeries!$B:$B,$A23),0)</f>
        <v>365</v>
      </c>
      <c r="D23" s="48">
        <f>IFERROR(SUMIFS(TimeSeries!$C:$C,TimeSeries!$A:$A,"INDEX_SPREAD_CDX_EM_OTR",TimeSeries!$B:$B,$A23),0)</f>
        <v>180.85507000000001</v>
      </c>
      <c r="E23" s="48">
        <f>IFERROR(SUMIFS(TimeSeries!$C:$C,TimeSeries!$A:$A,"INDEX_SPREAD_ITRX_IG_OTR",TimeSeries!$B:$B,$A23),0)</f>
        <v>62.43</v>
      </c>
      <c r="F23" s="48">
        <f>IFERROR(SUMIFS(TimeSeries!$C:$C,TimeSeries!$A:$A,"INDEX_SPREAD_ITRX_XO_OTR",TimeSeries!$B:$B,$A23),0)</f>
        <v>338.52</v>
      </c>
      <c r="G23" s="48">
        <f>IFERROR(SUMIFS(TimeSeries!$C:$C,TimeSeries!$A:$A,"INDEX_SPREAD_ITRX_IG_FINSB_OTR",TimeSeries!$B:$B,$A23),0)</f>
        <v>134.75</v>
      </c>
      <c r="H23" s="48">
        <f>IFERROR(SUMIFS(TimeSeries!$C:$C,TimeSeries!$A:$A,"INDEX_SPREAD_ITRX_IG_FINSN_OTR",TimeSeries!$B:$B,$A23),0)</f>
        <v>72.72</v>
      </c>
      <c r="I23" s="44"/>
      <c r="J23" s="44"/>
    </row>
    <row r="24" spans="1:10" x14ac:dyDescent="0.55000000000000004">
      <c r="A24" s="49">
        <v>45309</v>
      </c>
      <c r="B24" s="50">
        <f>IFERROR(SUMIFS(TimeSeries!$C:$C,TimeSeries!$A:$A,"INDEX_SPREAD_CDX_IG_OTR",TimeSeries!$B:$B,$A24),0)</f>
        <v>55.5</v>
      </c>
      <c r="C24" s="50">
        <f>IFERROR(SUMIFS(TimeSeries!$C:$C,TimeSeries!$A:$A,"INDEX_SPREAD_CDX_HY_OTR",TimeSeries!$B:$B,$A24),0)</f>
        <v>360</v>
      </c>
      <c r="D24" s="50">
        <f>IFERROR(SUMIFS(TimeSeries!$C:$C,TimeSeries!$A:$A,"INDEX_SPREAD_CDX_EM_OTR",TimeSeries!$B:$B,$A24),0)</f>
        <v>178.70321999999999</v>
      </c>
      <c r="E24" s="50">
        <f>IFERROR(SUMIFS(TimeSeries!$C:$C,TimeSeries!$A:$A,"INDEX_SPREAD_ITRX_IG_OTR",TimeSeries!$B:$B,$A24),0)</f>
        <v>61.07</v>
      </c>
      <c r="F24" s="50">
        <f>IFERROR(SUMIFS(TimeSeries!$C:$C,TimeSeries!$A:$A,"INDEX_SPREAD_ITRX_XO_OTR",TimeSeries!$B:$B,$A24),0)</f>
        <v>333.95</v>
      </c>
      <c r="G24" s="50">
        <f>IFERROR(SUMIFS(TimeSeries!$C:$C,TimeSeries!$A:$A,"INDEX_SPREAD_ITRX_IG_FINSB_OTR",TimeSeries!$B:$B,$A24),0)</f>
        <v>131.25</v>
      </c>
      <c r="H24" s="50">
        <f>IFERROR(SUMIFS(TimeSeries!$C:$C,TimeSeries!$A:$A,"INDEX_SPREAD_ITRX_IG_FINSN_OTR",TimeSeries!$B:$B,$A24),0)</f>
        <v>70.81</v>
      </c>
      <c r="I24" s="51"/>
      <c r="J24" s="51"/>
    </row>
    <row r="25" spans="1:10" x14ac:dyDescent="0.55000000000000004">
      <c r="A25" s="47">
        <v>45310</v>
      </c>
      <c r="B25" s="48">
        <f>IFERROR(SUMIFS(TimeSeries!$C:$C,TimeSeries!$A:$A,"INDEX_SPREAD_CDX_IG_OTR",TimeSeries!$B:$B,$A25),0)</f>
        <v>54.75</v>
      </c>
      <c r="C25" s="48">
        <f>IFERROR(SUMIFS(TimeSeries!$C:$C,TimeSeries!$A:$A,"INDEX_SPREAD_CDX_HY_OTR",TimeSeries!$B:$B,$A25),0)</f>
        <v>354</v>
      </c>
      <c r="D25" s="48">
        <f>IFERROR(SUMIFS(TimeSeries!$C:$C,TimeSeries!$A:$A,"INDEX_SPREAD_CDX_EM_OTR",TimeSeries!$B:$B,$A25),0)</f>
        <v>177.56354999999999</v>
      </c>
      <c r="E25" s="48">
        <f>IFERROR(SUMIFS(TimeSeries!$C:$C,TimeSeries!$A:$A,"INDEX_SPREAD_ITRX_IG_OTR",TimeSeries!$B:$B,$A25),0)</f>
        <v>59.92</v>
      </c>
      <c r="F25" s="48">
        <f>IFERROR(SUMIFS(TimeSeries!$C:$C,TimeSeries!$A:$A,"INDEX_SPREAD_ITRX_XO_OTR",TimeSeries!$B:$B,$A25),0)</f>
        <v>329.05</v>
      </c>
      <c r="G25" s="48">
        <f>IFERROR(SUMIFS(TimeSeries!$C:$C,TimeSeries!$A:$A,"INDEX_SPREAD_ITRX_IG_FINSB_OTR",TimeSeries!$B:$B,$A25),0)</f>
        <v>129.5</v>
      </c>
      <c r="H25" s="48">
        <f>IFERROR(SUMIFS(TimeSeries!$C:$C,TimeSeries!$A:$A,"INDEX_SPREAD_ITRX_IG_FINSN_OTR",TimeSeries!$B:$B,$A25),0)</f>
        <v>69.459999999999994</v>
      </c>
      <c r="I25" s="44"/>
      <c r="J25" s="44"/>
    </row>
    <row r="26" spans="1:10" x14ac:dyDescent="0.55000000000000004">
      <c r="A26" s="49">
        <v>45313</v>
      </c>
      <c r="B26" s="50">
        <f>IFERROR(SUMIFS(TimeSeries!$C:$C,TimeSeries!$A:$A,"INDEX_SPREAD_CDX_IG_OTR",TimeSeries!$B:$B,$A26),0)</f>
        <v>55.1</v>
      </c>
      <c r="C26" s="50">
        <f>IFERROR(SUMIFS(TimeSeries!$C:$C,TimeSeries!$A:$A,"INDEX_SPREAD_CDX_HY_OTR",TimeSeries!$B:$B,$A26),0)</f>
        <v>355.5</v>
      </c>
      <c r="D26" s="50">
        <f>IFERROR(SUMIFS(TimeSeries!$C:$C,TimeSeries!$A:$A,"INDEX_SPREAD_CDX_EM_OTR",TimeSeries!$B:$B,$A26),0)</f>
        <v>178.96617000000001</v>
      </c>
      <c r="E26" s="50">
        <f>IFERROR(SUMIFS(TimeSeries!$C:$C,TimeSeries!$A:$A,"INDEX_SPREAD_ITRX_IG_OTR",TimeSeries!$B:$B,$A26),0)</f>
        <v>59.19</v>
      </c>
      <c r="F26" s="50">
        <f>IFERROR(SUMIFS(TimeSeries!$C:$C,TimeSeries!$A:$A,"INDEX_SPREAD_ITRX_XO_OTR",TimeSeries!$B:$B,$A26),0)</f>
        <v>323.58</v>
      </c>
      <c r="G26" s="50">
        <f>IFERROR(SUMIFS(TimeSeries!$C:$C,TimeSeries!$A:$A,"INDEX_SPREAD_ITRX_IG_FINSB_OTR",TimeSeries!$B:$B,$A26),0)</f>
        <v>127.8</v>
      </c>
      <c r="H26" s="50">
        <f>IFERROR(SUMIFS(TimeSeries!$C:$C,TimeSeries!$A:$A,"INDEX_SPREAD_ITRX_IG_FINSN_OTR",TimeSeries!$B:$B,$A26),0)</f>
        <v>68.7</v>
      </c>
      <c r="I26" s="51"/>
      <c r="J26" s="51"/>
    </row>
    <row r="27" spans="1:10" x14ac:dyDescent="0.55000000000000004">
      <c r="A27" s="47">
        <v>45314</v>
      </c>
      <c r="B27" s="48">
        <f>IFERROR(SUMIFS(TimeSeries!$C:$C,TimeSeries!$A:$A,"INDEX_SPREAD_CDX_IG_OTR",TimeSeries!$B:$B,$A27),0)</f>
        <v>55.5</v>
      </c>
      <c r="C27" s="48">
        <f>IFERROR(SUMIFS(TimeSeries!$C:$C,TimeSeries!$A:$A,"INDEX_SPREAD_CDX_HY_OTR",TimeSeries!$B:$B,$A27),0)</f>
        <v>356</v>
      </c>
      <c r="D27" s="48">
        <f>IFERROR(SUMIFS(TimeSeries!$C:$C,TimeSeries!$A:$A,"INDEX_SPREAD_CDX_EM_OTR",TimeSeries!$B:$B,$A27),0)</f>
        <v>181.12445</v>
      </c>
      <c r="E27" s="48">
        <f>IFERROR(SUMIFS(TimeSeries!$C:$C,TimeSeries!$A:$A,"INDEX_SPREAD_ITRX_IG_OTR",TimeSeries!$B:$B,$A27),0)</f>
        <v>60.44</v>
      </c>
      <c r="F27" s="48">
        <f>IFERROR(SUMIFS(TimeSeries!$C:$C,TimeSeries!$A:$A,"INDEX_SPREAD_ITRX_XO_OTR",TimeSeries!$B:$B,$A27),0)</f>
        <v>329.65</v>
      </c>
      <c r="G27" s="48">
        <f>IFERROR(SUMIFS(TimeSeries!$C:$C,TimeSeries!$A:$A,"INDEX_SPREAD_ITRX_IG_FINSB_OTR",TimeSeries!$B:$B,$A27),0)</f>
        <v>129.63999999999999</v>
      </c>
      <c r="H27" s="48">
        <f>IFERROR(SUMIFS(TimeSeries!$C:$C,TimeSeries!$A:$A,"INDEX_SPREAD_ITRX_IG_FINSN_OTR",TimeSeries!$B:$B,$A27),0)</f>
        <v>69.89</v>
      </c>
      <c r="I27" s="44"/>
      <c r="J27" s="44"/>
    </row>
    <row r="28" spans="1:10" x14ac:dyDescent="0.55000000000000004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x14ac:dyDescent="0.55000000000000004">
      <c r="A29" s="40" t="s">
        <v>304</v>
      </c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55000000000000004">
      <c r="A30" s="46" t="s">
        <v>191</v>
      </c>
      <c r="B30" s="46" t="s">
        <v>204</v>
      </c>
      <c r="C30" s="46" t="s">
        <v>205</v>
      </c>
      <c r="D30" s="46" t="s">
        <v>206</v>
      </c>
      <c r="E30" s="46" t="s">
        <v>207</v>
      </c>
      <c r="F30" s="46" t="s">
        <v>208</v>
      </c>
      <c r="G30" s="46" t="s">
        <v>209</v>
      </c>
      <c r="H30" s="46" t="s">
        <v>210</v>
      </c>
      <c r="I30" s="46" t="s">
        <v>211</v>
      </c>
      <c r="J30" s="46" t="s">
        <v>212</v>
      </c>
    </row>
    <row r="31" spans="1:10" x14ac:dyDescent="0.55000000000000004">
      <c r="A31" s="47">
        <f t="shared" ref="A31:A40" si="0">$A12</f>
        <v>45293</v>
      </c>
      <c r="B31" s="52">
        <f t="shared" ref="B31:H31" si="1">B12-B11</f>
        <v>1.75</v>
      </c>
      <c r="C31" s="52">
        <f t="shared" si="1"/>
        <v>7.5</v>
      </c>
      <c r="D31" s="52">
        <f t="shared" si="1"/>
        <v>9.0142299999999977</v>
      </c>
      <c r="E31" s="52">
        <f t="shared" si="1"/>
        <v>2.7199999999999989</v>
      </c>
      <c r="F31" s="52">
        <f t="shared" si="1"/>
        <v>14.865000000000009</v>
      </c>
      <c r="G31" s="52">
        <f t="shared" si="1"/>
        <v>8.0699999999999932</v>
      </c>
      <c r="H31" s="52">
        <f t="shared" si="1"/>
        <v>3.9899999999999949</v>
      </c>
      <c r="I31" s="53">
        <f>SUMIFS(TestingPnL!$H:$H,TestingPnL!$A:$A,$B$6,TestingPnL!$P:$P,"NA",TestingPnL!$O:$O,"IG")*B31+SUMIFS(TestingPnL!$H:$H,TestingPnL!$A:$A,$B$6,TestingPnL!$P:$P,"NA",TestingPnL!$O:$O,"HY")*C31+SUMIFS(TestingPnL!$H:$H,TestingPnL!$A:$A,$B$6,TestingPnL!$P:$P,"NA",TestingPnL!$O:$O,"CO")*C31+SUMIFS(TestingPnL!$H:$H,TestingPnL!$A:$A,$B$6,TestingPnL!$P:$P,"EU",TestingPnL!$O:$O,"IG")*E31+SUMIFS(TestingPnL!$H:$H,TestingPnL!$A:$A,$B$6,TestingPnL!$P:$P,"EU",TestingPnL!$O:$O,"CO")*F31</f>
        <v>-3785.5510767750006</v>
      </c>
      <c r="J31" s="53">
        <f>SUMIFS(TestingPnL!$H:$H,TestingPnL!$A:$A,$B$7,TestingPnL!$P:$P,"NA",TestingPnL!$O:$O,"IG")*B31+SUMIFS(TestingPnL!$H:$H,TestingPnL!$A:$A,$B$7,TestingPnL!$P:$P,"NA",TestingPnL!$O:$O,"HY")*C31+SUMIFS(TestingPnL!$H:$H,TestingPnL!$A:$A,$B$7,TestingPnL!$P:$P,"NA",TestingPnL!$O:$O,"CO")*C31+SUMIFS(TestingPnL!$H:$H,TestingPnL!$A:$A,$B$7,TestingPnL!$P:$P,"EU",TestingPnL!$O:$O,"IG")*E31+SUMIFS(TestingPnL!$H:$H,TestingPnL!$A:$A,$B$7,TestingPnL!$P:$P,"EU",TestingPnL!$O:$O,"CO")*F31</f>
        <v>-1521.6653224050006</v>
      </c>
    </row>
    <row r="32" spans="1:10" x14ac:dyDescent="0.55000000000000004">
      <c r="A32" s="49">
        <f t="shared" si="0"/>
        <v>45294</v>
      </c>
      <c r="B32" s="54">
        <f t="shared" ref="B32:H32" si="2">B13-B12</f>
        <v>2</v>
      </c>
      <c r="C32" s="54">
        <f t="shared" si="2"/>
        <v>10.5</v>
      </c>
      <c r="D32" s="54">
        <f t="shared" si="2"/>
        <v>5.6249700000000189</v>
      </c>
      <c r="E32" s="54">
        <f t="shared" si="2"/>
        <v>3.2999999999999972</v>
      </c>
      <c r="F32" s="54">
        <f t="shared" si="2"/>
        <v>17.849999999999966</v>
      </c>
      <c r="G32" s="54">
        <f t="shared" si="2"/>
        <v>6.0300000000000011</v>
      </c>
      <c r="H32" s="54">
        <f t="shared" si="2"/>
        <v>3.3100000000000023</v>
      </c>
      <c r="I32" s="55">
        <f>SUMIFS(TestingPnL!$H:$H,TestingPnL!$A:$A,$B$6,TestingPnL!$P:$P,"NA",TestingPnL!$O:$O,"IG")*B32+SUMIFS(TestingPnL!$H:$H,TestingPnL!$A:$A,$B$6,TestingPnL!$P:$P,"NA",TestingPnL!$O:$O,"HY")*C32+SUMIFS(TestingPnL!$H:$H,TestingPnL!$A:$A,$B$6,TestingPnL!$P:$P,"NA",TestingPnL!$O:$O,"CO")*C32+SUMIFS(TestingPnL!$H:$H,TestingPnL!$A:$A,$B$6,TestingPnL!$P:$P,"EU",TestingPnL!$O:$O,"IG")*E32+SUMIFS(TestingPnL!$H:$H,TestingPnL!$A:$A,$B$6,TestingPnL!$P:$P,"EU",TestingPnL!$O:$O,"CO")*F32</f>
        <v>-4710.2952447499974</v>
      </c>
      <c r="J32" s="55">
        <f>SUMIFS(TestingPnL!$H:$H,TestingPnL!$A:$A,$B$7,TestingPnL!$P:$P,"NA",TestingPnL!$O:$O,"IG")*B32+SUMIFS(TestingPnL!$H:$H,TestingPnL!$A:$A,$B$7,TestingPnL!$P:$P,"NA",TestingPnL!$O:$O,"HY")*C32+SUMIFS(TestingPnL!$H:$H,TestingPnL!$A:$A,$B$7,TestingPnL!$P:$P,"NA",TestingPnL!$O:$O,"CO")*C32+SUMIFS(TestingPnL!$H:$H,TestingPnL!$A:$A,$B$7,TestingPnL!$P:$P,"EU",TestingPnL!$O:$O,"IG")*E32+SUMIFS(TestingPnL!$H:$H,TestingPnL!$A:$A,$B$7,TestingPnL!$P:$P,"EU",TestingPnL!$O:$O,"CO")*F32</f>
        <v>-1848.8801414499985</v>
      </c>
    </row>
    <row r="33" spans="1:10" x14ac:dyDescent="0.55000000000000004">
      <c r="A33" s="47">
        <f t="shared" si="0"/>
        <v>45295</v>
      </c>
      <c r="B33" s="52">
        <f t="shared" ref="B33:H33" si="3">B14-B13</f>
        <v>-0.5</v>
      </c>
      <c r="C33" s="52">
        <f t="shared" si="3"/>
        <v>1</v>
      </c>
      <c r="D33" s="52">
        <f t="shared" si="3"/>
        <v>3.1483099999999808</v>
      </c>
      <c r="E33" s="52">
        <f t="shared" si="3"/>
        <v>-0.72999999999999687</v>
      </c>
      <c r="F33" s="52">
        <f t="shared" si="3"/>
        <v>-3.2199999999999704</v>
      </c>
      <c r="G33" s="52">
        <f t="shared" si="3"/>
        <v>-2.4099999999999966</v>
      </c>
      <c r="H33" s="52">
        <f t="shared" si="3"/>
        <v>-1.2399999999999949</v>
      </c>
      <c r="I33" s="53">
        <f>SUMIFS(TestingPnL!$H:$H,TestingPnL!$A:$A,$B$6,TestingPnL!$P:$P,"NA",TestingPnL!$O:$O,"IG")*B33+SUMIFS(TestingPnL!$H:$H,TestingPnL!$A:$A,$B$6,TestingPnL!$P:$P,"NA",TestingPnL!$O:$O,"HY")*C33+SUMIFS(TestingPnL!$H:$H,TestingPnL!$A:$A,$B$6,TestingPnL!$P:$P,"NA",TestingPnL!$O:$O,"CO")*C33+SUMIFS(TestingPnL!$H:$H,TestingPnL!$A:$A,$B$6,TestingPnL!$P:$P,"EU",TestingPnL!$O:$O,"IG")*E33+SUMIFS(TestingPnL!$H:$H,TestingPnL!$A:$A,$B$6,TestingPnL!$P:$P,"EU",TestingPnL!$O:$O,"CO")*F33</f>
        <v>519.48946474999707</v>
      </c>
      <c r="J33" s="53">
        <f>SUMIFS(TestingPnL!$H:$H,TestingPnL!$A:$A,$B$7,TestingPnL!$P:$P,"NA",TestingPnL!$O:$O,"IG")*B33+SUMIFS(TestingPnL!$H:$H,TestingPnL!$A:$A,$B$7,TestingPnL!$P:$P,"NA",TestingPnL!$O:$O,"HY")*C33+SUMIFS(TestingPnL!$H:$H,TestingPnL!$A:$A,$B$7,TestingPnL!$P:$P,"NA",TestingPnL!$O:$O,"CO")*C33+SUMIFS(TestingPnL!$H:$H,TestingPnL!$A:$A,$B$7,TestingPnL!$P:$P,"EU",TestingPnL!$O:$O,"IG")*E33+SUMIFS(TestingPnL!$H:$H,TestingPnL!$A:$A,$B$7,TestingPnL!$P:$P,"EU",TestingPnL!$O:$O,"CO")*F33</f>
        <v>290.81813492999845</v>
      </c>
    </row>
    <row r="34" spans="1:10" x14ac:dyDescent="0.55000000000000004">
      <c r="A34" s="49">
        <f t="shared" si="0"/>
        <v>45296</v>
      </c>
      <c r="B34" s="54">
        <f t="shared" ref="B34:H34" si="4">B15-B14</f>
        <v>-0.64999999999999858</v>
      </c>
      <c r="C34" s="54">
        <f t="shared" si="4"/>
        <v>-5</v>
      </c>
      <c r="D34" s="54">
        <f t="shared" si="4"/>
        <v>-3.1500800000000027</v>
      </c>
      <c r="E34" s="54">
        <f t="shared" si="4"/>
        <v>0.13000000000000256</v>
      </c>
      <c r="F34" s="54">
        <f t="shared" si="4"/>
        <v>-0.88999999999998636</v>
      </c>
      <c r="G34" s="54">
        <f t="shared" si="4"/>
        <v>-0.22999999999998977</v>
      </c>
      <c r="H34" s="54">
        <f t="shared" si="4"/>
        <v>1.9999999999996021E-2</v>
      </c>
      <c r="I34" s="55">
        <f>SUMIFS(TestingPnL!$H:$H,TestingPnL!$A:$A,$B$6,TestingPnL!$P:$P,"NA",TestingPnL!$O:$O,"IG")*B34+SUMIFS(TestingPnL!$H:$H,TestingPnL!$A:$A,$B$6,TestingPnL!$P:$P,"NA",TestingPnL!$O:$O,"HY")*C34+SUMIFS(TestingPnL!$H:$H,TestingPnL!$A:$A,$B$6,TestingPnL!$P:$P,"NA",TestingPnL!$O:$O,"CO")*C34+SUMIFS(TestingPnL!$H:$H,TestingPnL!$A:$A,$B$6,TestingPnL!$P:$P,"EU",TestingPnL!$O:$O,"IG")*E34+SUMIFS(TestingPnL!$H:$H,TestingPnL!$A:$A,$B$6,TestingPnL!$P:$P,"EU",TestingPnL!$O:$O,"CO")*F34</f>
        <v>1225.7503843999975</v>
      </c>
      <c r="J34" s="55">
        <f>SUMIFS(TestingPnL!$H:$H,TestingPnL!$A:$A,$B$7,TestingPnL!$P:$P,"NA",TestingPnL!$O:$O,"IG")*B34+SUMIFS(TestingPnL!$H:$H,TestingPnL!$A:$A,$B$7,TestingPnL!$P:$P,"NA",TestingPnL!$O:$O,"HY")*C34+SUMIFS(TestingPnL!$H:$H,TestingPnL!$A:$A,$B$7,TestingPnL!$P:$P,"NA",TestingPnL!$O:$O,"CO")*C34+SUMIFS(TestingPnL!$H:$H,TestingPnL!$A:$A,$B$7,TestingPnL!$P:$P,"EU",TestingPnL!$O:$O,"IG")*E34+SUMIFS(TestingPnL!$H:$H,TestingPnL!$A:$A,$B$7,TestingPnL!$P:$P,"EU",TestingPnL!$O:$O,"CO")*F34</f>
        <v>332.8599988799989</v>
      </c>
    </row>
    <row r="35" spans="1:10" x14ac:dyDescent="0.55000000000000004">
      <c r="A35" s="47">
        <f t="shared" si="0"/>
        <v>45299</v>
      </c>
      <c r="B35" s="52">
        <f t="shared" ref="B35:H35" si="5">B16-B15</f>
        <v>-2.4500000000000028</v>
      </c>
      <c r="C35" s="52">
        <f t="shared" si="5"/>
        <v>-12</v>
      </c>
      <c r="D35" s="52">
        <f t="shared" si="5"/>
        <v>-0.77146999999999366</v>
      </c>
      <c r="E35" s="52">
        <f t="shared" si="5"/>
        <v>-1.1099999999999994</v>
      </c>
      <c r="F35" s="52">
        <f t="shared" si="5"/>
        <v>-5.0900000000000318</v>
      </c>
      <c r="G35" s="52">
        <f t="shared" si="5"/>
        <v>-2.1000000000000227</v>
      </c>
      <c r="H35" s="52">
        <f t="shared" si="5"/>
        <v>-1.25</v>
      </c>
      <c r="I35" s="53">
        <f>SUMIFS(TestingPnL!$H:$H,TestingPnL!$A:$A,$B$6,TestingPnL!$P:$P,"NA",TestingPnL!$O:$O,"IG")*B35+SUMIFS(TestingPnL!$H:$H,TestingPnL!$A:$A,$B$6,TestingPnL!$P:$P,"NA",TestingPnL!$O:$O,"HY")*C35+SUMIFS(TestingPnL!$H:$H,TestingPnL!$A:$A,$B$6,TestingPnL!$P:$P,"NA",TestingPnL!$O:$O,"CO")*C35+SUMIFS(TestingPnL!$H:$H,TestingPnL!$A:$A,$B$6,TestingPnL!$P:$P,"EU",TestingPnL!$O:$O,"IG")*E35+SUMIFS(TestingPnL!$H:$H,TestingPnL!$A:$A,$B$6,TestingPnL!$P:$P,"EU",TestingPnL!$O:$O,"CO")*F35</f>
        <v>3928.570929000005</v>
      </c>
      <c r="J35" s="53">
        <f>SUMIFS(TestingPnL!$H:$H,TestingPnL!$A:$A,$B$7,TestingPnL!$P:$P,"NA",TestingPnL!$O:$O,"IG")*B35+SUMIFS(TestingPnL!$H:$H,TestingPnL!$A:$A,$B$7,TestingPnL!$P:$P,"NA",TestingPnL!$O:$O,"HY")*C35+SUMIFS(TestingPnL!$H:$H,TestingPnL!$A:$A,$B$7,TestingPnL!$P:$P,"NA",TestingPnL!$O:$O,"CO")*C35+SUMIFS(TestingPnL!$H:$H,TestingPnL!$A:$A,$B$7,TestingPnL!$P:$P,"EU",TestingPnL!$O:$O,"IG")*E35+SUMIFS(TestingPnL!$H:$H,TestingPnL!$A:$A,$B$7,TestingPnL!$P:$P,"EU",TestingPnL!$O:$O,"CO")*F35</f>
        <v>1241.4928467600023</v>
      </c>
    </row>
    <row r="36" spans="1:10" x14ac:dyDescent="0.55000000000000004">
      <c r="A36" s="49">
        <f t="shared" si="0"/>
        <v>45300</v>
      </c>
      <c r="B36" s="54">
        <f t="shared" ref="B36:H36" si="6">B17-B16</f>
        <v>-0.44999999999999574</v>
      </c>
      <c r="C36" s="54">
        <f t="shared" si="6"/>
        <v>0</v>
      </c>
      <c r="D36" s="54">
        <f t="shared" si="6"/>
        <v>1.0750000000001592E-2</v>
      </c>
      <c r="E36" s="54">
        <f t="shared" si="6"/>
        <v>-1.0900000000000034</v>
      </c>
      <c r="F36" s="54">
        <f t="shared" si="6"/>
        <v>-4.0299999999999727</v>
      </c>
      <c r="G36" s="54">
        <f t="shared" si="6"/>
        <v>-1.1499999999999773</v>
      </c>
      <c r="H36" s="54">
        <f t="shared" si="6"/>
        <v>-0.85000000000000853</v>
      </c>
      <c r="I36" s="55">
        <f>SUMIFS(TestingPnL!$H:$H,TestingPnL!$A:$A,$B$6,TestingPnL!$P:$P,"NA",TestingPnL!$O:$O,"IG")*B36+SUMIFS(TestingPnL!$H:$H,TestingPnL!$A:$A,$B$6,TestingPnL!$P:$P,"NA",TestingPnL!$O:$O,"HY")*C36+SUMIFS(TestingPnL!$H:$H,TestingPnL!$A:$A,$B$6,TestingPnL!$P:$P,"NA",TestingPnL!$O:$O,"CO")*C36+SUMIFS(TestingPnL!$H:$H,TestingPnL!$A:$A,$B$6,TestingPnL!$P:$P,"EU",TestingPnL!$O:$O,"IG")*E36+SUMIFS(TestingPnL!$H:$H,TestingPnL!$A:$A,$B$6,TestingPnL!$P:$P,"EU",TestingPnL!$O:$O,"CO")*F36</f>
        <v>748.52715779999551</v>
      </c>
      <c r="J36" s="55">
        <f>SUMIFS(TestingPnL!$H:$H,TestingPnL!$A:$A,$B$7,TestingPnL!$P:$P,"NA",TestingPnL!$O:$O,"IG")*B36+SUMIFS(TestingPnL!$H:$H,TestingPnL!$A:$A,$B$7,TestingPnL!$P:$P,"NA",TestingPnL!$O:$O,"HY")*C36+SUMIFS(TestingPnL!$H:$H,TestingPnL!$A:$A,$B$7,TestingPnL!$P:$P,"NA",TestingPnL!$O:$O,"CO")*C36+SUMIFS(TestingPnL!$H:$H,TestingPnL!$A:$A,$B$7,TestingPnL!$P:$P,"EU",TestingPnL!$O:$O,"IG")*E36+SUMIFS(TestingPnL!$H:$H,TestingPnL!$A:$A,$B$7,TestingPnL!$P:$P,"EU",TestingPnL!$O:$O,"CO")*F36</f>
        <v>370.14919835999791</v>
      </c>
    </row>
    <row r="37" spans="1:10" x14ac:dyDescent="0.55000000000000004">
      <c r="A37" s="47">
        <f t="shared" si="0"/>
        <v>45301</v>
      </c>
      <c r="B37" s="52">
        <f t="shared" ref="B37:H37" si="7">B18-B17</f>
        <v>-1.1500000000000057</v>
      </c>
      <c r="C37" s="52">
        <f t="shared" si="7"/>
        <v>-5.5</v>
      </c>
      <c r="D37" s="52">
        <f t="shared" si="7"/>
        <v>-4.7747899999999959</v>
      </c>
      <c r="E37" s="52">
        <f t="shared" si="7"/>
        <v>-1.9600000000000009</v>
      </c>
      <c r="F37" s="52">
        <f t="shared" si="7"/>
        <v>-10.810000000000002</v>
      </c>
      <c r="G37" s="52">
        <f t="shared" si="7"/>
        <v>-5.8200000000000074</v>
      </c>
      <c r="H37" s="52">
        <f t="shared" si="7"/>
        <v>-2.4899999999999949</v>
      </c>
      <c r="I37" s="53">
        <f>SUMIFS(TestingPnL!$H:$H,TestingPnL!$A:$A,$B$6,TestingPnL!$P:$P,"NA",TestingPnL!$O:$O,"IG")*B37+SUMIFS(TestingPnL!$H:$H,TestingPnL!$A:$A,$B$6,TestingPnL!$P:$P,"NA",TestingPnL!$O:$O,"HY")*C37+SUMIFS(TestingPnL!$H:$H,TestingPnL!$A:$A,$B$6,TestingPnL!$P:$P,"NA",TestingPnL!$O:$O,"CO")*C37+SUMIFS(TestingPnL!$H:$H,TestingPnL!$A:$A,$B$6,TestingPnL!$P:$P,"EU",TestingPnL!$O:$O,"IG")*E37+SUMIFS(TestingPnL!$H:$H,TestingPnL!$A:$A,$B$6,TestingPnL!$P:$P,"EU",TestingPnL!$O:$O,"CO")*F37</f>
        <v>2678.8965995500039</v>
      </c>
      <c r="J37" s="53">
        <f>SUMIFS(TestingPnL!$H:$H,TestingPnL!$A:$A,$B$7,TestingPnL!$P:$P,"NA",TestingPnL!$O:$O,"IG")*B37+SUMIFS(TestingPnL!$H:$H,TestingPnL!$A:$A,$B$7,TestingPnL!$P:$P,"NA",TestingPnL!$O:$O,"HY")*C37+SUMIFS(TestingPnL!$H:$H,TestingPnL!$A:$A,$B$7,TestingPnL!$P:$P,"NA",TestingPnL!$O:$O,"CO")*C37+SUMIFS(TestingPnL!$H:$H,TestingPnL!$A:$A,$B$7,TestingPnL!$P:$P,"EU",TestingPnL!$O:$O,"IG")*E37+SUMIFS(TestingPnL!$H:$H,TestingPnL!$A:$A,$B$7,TestingPnL!$P:$P,"EU",TestingPnL!$O:$O,"CO")*F37</f>
        <v>1077.9183693300015</v>
      </c>
    </row>
    <row r="38" spans="1:10" x14ac:dyDescent="0.55000000000000004">
      <c r="A38" s="49">
        <f t="shared" si="0"/>
        <v>45302</v>
      </c>
      <c r="B38" s="54">
        <f t="shared" ref="B38:H38" si="8">B19-B18</f>
        <v>-0.79999999999999716</v>
      </c>
      <c r="C38" s="54">
        <f t="shared" si="8"/>
        <v>-3</v>
      </c>
      <c r="D38" s="54">
        <f t="shared" si="8"/>
        <v>-1.6252599999999973</v>
      </c>
      <c r="E38" s="54">
        <f t="shared" si="8"/>
        <v>0.89999999999999858</v>
      </c>
      <c r="F38" s="54">
        <f t="shared" si="8"/>
        <v>6.0099999999999909</v>
      </c>
      <c r="G38" s="54">
        <f t="shared" si="8"/>
        <v>3.4399999999999835</v>
      </c>
      <c r="H38" s="54">
        <f t="shared" si="8"/>
        <v>1.519999999999996</v>
      </c>
      <c r="I38" s="55">
        <f>SUMIFS(TestingPnL!$H:$H,TestingPnL!$A:$A,$B$6,TestingPnL!$P:$P,"NA",TestingPnL!$O:$O,"IG")*B38+SUMIFS(TestingPnL!$H:$H,TestingPnL!$A:$A,$B$6,TestingPnL!$P:$P,"NA",TestingPnL!$O:$O,"HY")*C38+SUMIFS(TestingPnL!$H:$H,TestingPnL!$A:$A,$B$6,TestingPnL!$P:$P,"NA",TestingPnL!$O:$O,"CO")*C38+SUMIFS(TestingPnL!$H:$H,TestingPnL!$A:$A,$B$6,TestingPnL!$P:$P,"EU",TestingPnL!$O:$O,"IG")*E38+SUMIFS(TestingPnL!$H:$H,TestingPnL!$A:$A,$B$6,TestingPnL!$P:$P,"EU",TestingPnL!$O:$O,"CO")*F38</f>
        <v>371.55283034999917</v>
      </c>
      <c r="J38" s="55">
        <f>SUMIFS(TestingPnL!$H:$H,TestingPnL!$A:$A,$B$7,TestingPnL!$P:$P,"NA",TestingPnL!$O:$O,"IG")*B38+SUMIFS(TestingPnL!$H:$H,TestingPnL!$A:$A,$B$7,TestingPnL!$P:$P,"NA",TestingPnL!$O:$O,"HY")*C38+SUMIFS(TestingPnL!$H:$H,TestingPnL!$A:$A,$B$7,TestingPnL!$P:$P,"NA",TestingPnL!$O:$O,"CO")*C38+SUMIFS(TestingPnL!$H:$H,TestingPnL!$A:$A,$B$7,TestingPnL!$P:$P,"EU",TestingPnL!$O:$O,"IG")*E38+SUMIFS(TestingPnL!$H:$H,TestingPnL!$A:$A,$B$7,TestingPnL!$P:$P,"EU",TestingPnL!$O:$O,"CO")*F38</f>
        <v>-72.840937110000112</v>
      </c>
    </row>
    <row r="39" spans="1:10" x14ac:dyDescent="0.55000000000000004">
      <c r="A39" s="47">
        <f t="shared" si="0"/>
        <v>45303</v>
      </c>
      <c r="B39" s="52">
        <f t="shared" ref="B39:H39" si="9">B20-B19</f>
        <v>0.25</v>
      </c>
      <c r="C39" s="52">
        <f t="shared" si="9"/>
        <v>2.5</v>
      </c>
      <c r="D39" s="52">
        <f t="shared" si="9"/>
        <v>-0.38294999999999391</v>
      </c>
      <c r="E39" s="52">
        <f t="shared" si="9"/>
        <v>-0.39999999999999858</v>
      </c>
      <c r="F39" s="52">
        <f t="shared" si="9"/>
        <v>-3.5699999999999932</v>
      </c>
      <c r="G39" s="52">
        <f t="shared" si="9"/>
        <v>0.89000000000001478</v>
      </c>
      <c r="H39" s="52">
        <f t="shared" si="9"/>
        <v>0.15000000000000568</v>
      </c>
      <c r="I39" s="53">
        <f>SUMIFS(TestingPnL!$H:$H,TestingPnL!$A:$A,$B$6,TestingPnL!$P:$P,"NA",TestingPnL!$O:$O,"IG")*B39+SUMIFS(TestingPnL!$H:$H,TestingPnL!$A:$A,$B$6,TestingPnL!$P:$P,"NA",TestingPnL!$O:$O,"HY")*C39+SUMIFS(TestingPnL!$H:$H,TestingPnL!$A:$A,$B$6,TestingPnL!$P:$P,"NA",TestingPnL!$O:$O,"CO")*C39+SUMIFS(TestingPnL!$H:$H,TestingPnL!$A:$A,$B$6,TestingPnL!$P:$P,"EU",TestingPnL!$O:$O,"IG")*E39+SUMIFS(TestingPnL!$H:$H,TestingPnL!$A:$A,$B$6,TestingPnL!$P:$P,"EU",TestingPnL!$O:$O,"CO")*F39</f>
        <v>-201.59200845000083</v>
      </c>
      <c r="J39" s="53">
        <f>SUMIFS(TestingPnL!$H:$H,TestingPnL!$A:$A,$B$7,TestingPnL!$P:$P,"NA",TestingPnL!$O:$O,"IG")*B39+SUMIFS(TestingPnL!$H:$H,TestingPnL!$A:$A,$B$7,TestingPnL!$P:$P,"NA",TestingPnL!$O:$O,"HY")*C39+SUMIFS(TestingPnL!$H:$H,TestingPnL!$A:$A,$B$7,TestingPnL!$P:$P,"NA",TestingPnL!$O:$O,"CO")*C39+SUMIFS(TestingPnL!$H:$H,TestingPnL!$A:$A,$B$7,TestingPnL!$P:$P,"EU",TestingPnL!$O:$O,"IG")*E39+SUMIFS(TestingPnL!$H:$H,TestingPnL!$A:$A,$B$7,TestingPnL!$P:$P,"EU",TestingPnL!$O:$O,"CO")*F39</f>
        <v>66.858923569999575</v>
      </c>
    </row>
    <row r="40" spans="1:10" x14ac:dyDescent="0.55000000000000004">
      <c r="A40" s="49">
        <f t="shared" si="0"/>
        <v>45306</v>
      </c>
      <c r="B40" s="54">
        <f t="shared" ref="B40:H40" si="10">B21-B20</f>
        <v>0</v>
      </c>
      <c r="C40" s="54">
        <f t="shared" si="10"/>
        <v>0</v>
      </c>
      <c r="D40" s="54">
        <f t="shared" si="10"/>
        <v>-2.5700000000199452E-3</v>
      </c>
      <c r="E40" s="54">
        <f t="shared" si="10"/>
        <v>0.84000000000000341</v>
      </c>
      <c r="F40" s="54">
        <f t="shared" si="10"/>
        <v>8.0399999999999636</v>
      </c>
      <c r="G40" s="54">
        <f t="shared" si="10"/>
        <v>2.5300000000000011</v>
      </c>
      <c r="H40" s="54">
        <f t="shared" si="10"/>
        <v>0.98999999999999488</v>
      </c>
      <c r="I40" s="55">
        <f>SUMIFS(TestingPnL!$H:$H,TestingPnL!$A:$A,$B$6,TestingPnL!$P:$P,"NA",TestingPnL!$O:$O,"IG")*B40+SUMIFS(TestingPnL!$H:$H,TestingPnL!$A:$A,$B$6,TestingPnL!$P:$P,"NA",TestingPnL!$O:$O,"HY")*C40+SUMIFS(TestingPnL!$H:$H,TestingPnL!$A:$A,$B$6,TestingPnL!$P:$P,"NA",TestingPnL!$O:$O,"CO")*C40+SUMIFS(TestingPnL!$H:$H,TestingPnL!$A:$A,$B$6,TestingPnL!$P:$P,"EU",TestingPnL!$O:$O,"IG")*E40+SUMIFS(TestingPnL!$H:$H,TestingPnL!$A:$A,$B$6,TestingPnL!$P:$P,"EU",TestingPnL!$O:$O,"CO")*F40</f>
        <v>-748.66835519999745</v>
      </c>
      <c r="J40" s="55">
        <f>SUMIFS(TestingPnL!$H:$H,TestingPnL!$A:$A,$B$7,TestingPnL!$P:$P,"NA",TestingPnL!$O:$O,"IG")*B40+SUMIFS(TestingPnL!$H:$H,TestingPnL!$A:$A,$B$7,TestingPnL!$P:$P,"NA",TestingPnL!$O:$O,"HY")*C40+SUMIFS(TestingPnL!$H:$H,TestingPnL!$A:$A,$B$7,TestingPnL!$P:$P,"NA",TestingPnL!$O:$O,"CO")*C40+SUMIFS(TestingPnL!$H:$H,TestingPnL!$A:$A,$B$7,TestingPnL!$P:$P,"EU",TestingPnL!$O:$O,"IG")*E40+SUMIFS(TestingPnL!$H:$H,TestingPnL!$A:$A,$B$7,TestingPnL!$P:$P,"EU",TestingPnL!$O:$O,"CO")*F40</f>
        <v>-442.56921551999847</v>
      </c>
    </row>
    <row r="41" spans="1:10" ht="14.7" thickBot="1" x14ac:dyDescent="0.6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x14ac:dyDescent="0.55000000000000004">
      <c r="A42" s="56" t="s">
        <v>305</v>
      </c>
      <c r="B42" s="57"/>
      <c r="C42" s="40"/>
      <c r="D42" s="40"/>
      <c r="E42" s="40"/>
      <c r="F42" s="40"/>
      <c r="G42" s="40"/>
      <c r="H42" s="40"/>
      <c r="I42" s="40"/>
      <c r="J42" s="40"/>
    </row>
    <row r="43" spans="1:10" x14ac:dyDescent="0.55000000000000004">
      <c r="A43" s="58" t="s">
        <v>190</v>
      </c>
      <c r="B43" s="59" t="s">
        <v>309</v>
      </c>
      <c r="C43" s="41"/>
      <c r="D43" s="41"/>
      <c r="E43" s="41"/>
      <c r="F43" s="41"/>
      <c r="G43" s="41"/>
      <c r="H43" s="41"/>
      <c r="I43" s="41"/>
      <c r="J43" s="41"/>
    </row>
    <row r="44" spans="1:10" x14ac:dyDescent="0.55000000000000004">
      <c r="A44" s="21" t="s">
        <v>213</v>
      </c>
      <c r="B44" s="23">
        <f>-PERCENTILE(I31:I39,0.01)</f>
        <v>4636.3157113119978</v>
      </c>
      <c r="C44" s="20"/>
      <c r="D44" s="20"/>
      <c r="E44" s="20"/>
      <c r="F44" s="20"/>
      <c r="G44" s="20"/>
      <c r="H44" s="20"/>
      <c r="I44" s="20"/>
      <c r="J44" s="20"/>
    </row>
    <row r="45" spans="1:10" ht="14.7" thickBot="1" x14ac:dyDescent="0.6">
      <c r="A45" s="22" t="s">
        <v>214</v>
      </c>
      <c r="B45" s="24">
        <f>-PERCENTILE(J31:J40,0.01)</f>
        <v>1819.4308077359487</v>
      </c>
      <c r="C45" s="20"/>
      <c r="D45" s="20"/>
      <c r="E45" s="20"/>
      <c r="F45" s="20"/>
      <c r="G45" s="20"/>
      <c r="H45" s="20"/>
      <c r="I45" s="20"/>
      <c r="J45" s="20"/>
    </row>
    <row r="46" spans="1:10" x14ac:dyDescent="0.55000000000000004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x14ac:dyDescent="0.55000000000000004">
      <c r="A47" s="40" t="s">
        <v>306</v>
      </c>
      <c r="B47" s="40"/>
      <c r="C47" s="40"/>
      <c r="D47" s="40"/>
      <c r="E47" s="40"/>
      <c r="F47" s="40"/>
      <c r="G47" s="40"/>
      <c r="H47" s="40"/>
      <c r="I47" s="40"/>
      <c r="J47" s="40"/>
    </row>
    <row r="48" spans="1:10" x14ac:dyDescent="0.55000000000000004">
      <c r="A48" s="46" t="s">
        <v>192</v>
      </c>
      <c r="B48" s="46" t="s">
        <v>0</v>
      </c>
      <c r="C48" s="46" t="s">
        <v>307</v>
      </c>
      <c r="D48" s="46" t="s">
        <v>308</v>
      </c>
      <c r="E48" s="41"/>
      <c r="F48" s="41"/>
      <c r="G48" s="41"/>
      <c r="H48" s="41"/>
      <c r="I48" s="41"/>
      <c r="J48" s="41"/>
    </row>
    <row r="49" spans="1:10" x14ac:dyDescent="0.55000000000000004">
      <c r="A49" s="48" t="s">
        <v>59</v>
      </c>
      <c r="B49" s="47">
        <f>$B$6</f>
        <v>45306</v>
      </c>
      <c r="C49" s="53">
        <f>SUMIFS(TestingPnL!$H:$H,TestingPnL!$A:$A,$B$6,TestingPnL!$O:$O,"CO")</f>
        <v>-79.898614999999992</v>
      </c>
      <c r="D49" s="53">
        <f>SUMIFS(TestingPnL!$V:$V,TestingPnL!$A:$A,$B$6,TestingPnL!$O:$O,"CO")</f>
        <v>-642.38486459999706</v>
      </c>
      <c r="E49" s="44"/>
      <c r="F49" s="44"/>
      <c r="G49" s="44"/>
      <c r="H49" s="44"/>
      <c r="I49" s="44"/>
      <c r="J49" s="44"/>
    </row>
    <row r="50" spans="1:10" x14ac:dyDescent="0.55000000000000004">
      <c r="A50" s="50" t="s">
        <v>51</v>
      </c>
      <c r="B50" s="49">
        <f>$B$6</f>
        <v>45306</v>
      </c>
      <c r="C50" s="55">
        <f>SUMIFS(TestingPnL!$H:$H,TestingPnL!$A:$A,$B$6,TestingPnL!$O:$O,"HY")</f>
        <v>-150.83866500000002</v>
      </c>
      <c r="D50" s="55">
        <f>SUMIFS(TestingPnL!$V:$V,TestingPnL!$A:$A,$B$6,TestingPnL!$O:$O,"HY")</f>
        <v>0</v>
      </c>
      <c r="E50" s="51"/>
      <c r="F50" s="51"/>
      <c r="G50" s="51"/>
      <c r="H50" s="51"/>
      <c r="I50" s="51"/>
      <c r="J50" s="51"/>
    </row>
    <row r="51" spans="1:10" x14ac:dyDescent="0.55000000000000004">
      <c r="A51" s="48" t="s">
        <v>29</v>
      </c>
      <c r="B51" s="47">
        <f>$B$6</f>
        <v>45306</v>
      </c>
      <c r="C51" s="53">
        <f>SUMIFS(TestingPnL!$H:$H,TestingPnL!$A:$A,$B$6,TestingPnL!$O:$O,"IG")</f>
        <v>-767.90631500000006</v>
      </c>
      <c r="D51" s="53">
        <f>SUMIFS(TestingPnL!$V:$V,TestingPnL!$A:$A,$B$6,TestingPnL!$O:$O,"IG")</f>
        <v>-106.28349060000043</v>
      </c>
      <c r="E51" s="44"/>
      <c r="F51" s="44"/>
      <c r="G51" s="44"/>
      <c r="H51" s="44"/>
      <c r="I51" s="44"/>
      <c r="J51" s="44"/>
    </row>
    <row r="52" spans="1:10" x14ac:dyDescent="0.55000000000000004">
      <c r="A52" s="60" t="s">
        <v>215</v>
      </c>
      <c r="B52" s="61">
        <f>$B$6</f>
        <v>45306</v>
      </c>
      <c r="C52" s="62">
        <f>SUM(C49:C51)</f>
        <v>-998.643595</v>
      </c>
      <c r="D52" s="62">
        <f>SUM(D49:D51)</f>
        <v>-748.66835519999745</v>
      </c>
      <c r="E52" s="63"/>
      <c r="F52" s="63"/>
      <c r="G52" s="63"/>
      <c r="H52" s="63"/>
      <c r="I52" s="63"/>
      <c r="J52" s="63"/>
    </row>
    <row r="53" spans="1:10" x14ac:dyDescent="0.55000000000000004">
      <c r="A53" s="48"/>
      <c r="B53" s="47"/>
      <c r="C53" s="53"/>
      <c r="D53" s="53"/>
      <c r="E53" s="44"/>
      <c r="F53" s="44"/>
      <c r="G53" s="44"/>
      <c r="H53" s="44"/>
      <c r="I53" s="44"/>
      <c r="J53" s="44"/>
    </row>
    <row r="54" spans="1:10" x14ac:dyDescent="0.55000000000000004">
      <c r="A54" s="50" t="s">
        <v>59</v>
      </c>
      <c r="B54" s="49">
        <f>$B$7</f>
        <v>45307</v>
      </c>
      <c r="C54" s="55">
        <f>SUMIFS(TestingPnL!$H:$H,TestingPnL!$A:$A,$B$7,TestingPnL!$O:$O,"CO")</f>
        <v>-54.199134000000001</v>
      </c>
      <c r="D54" s="55">
        <f>SUMIFS(TestingPnL!$V:$V,TestingPnL!$A:$A,$B$7,TestingPnL!$O:$O,"CO")</f>
        <v>-120.37871165000166</v>
      </c>
      <c r="E54" s="51"/>
      <c r="F54" s="51"/>
      <c r="G54" s="51"/>
      <c r="H54" s="51"/>
      <c r="I54" s="51"/>
      <c r="J54" s="51"/>
    </row>
    <row r="55" spans="1:10" x14ac:dyDescent="0.55000000000000004">
      <c r="A55" s="48" t="s">
        <v>51</v>
      </c>
      <c r="B55" s="47">
        <f>$B$7</f>
        <v>45307</v>
      </c>
      <c r="C55" s="53">
        <f>SUMIFS(TestingPnL!$H:$H,TestingPnL!$A:$A,$B$7,TestingPnL!$O:$O,"HY")</f>
        <v>-23.240354</v>
      </c>
      <c r="D55" s="53">
        <f>SUMIFS(TestingPnL!$V:$V,TestingPnL!$A:$A,$B$7,TestingPnL!$O:$O,"HY")</f>
        <v>-162.682478</v>
      </c>
      <c r="E55" s="44"/>
      <c r="F55" s="44"/>
      <c r="G55" s="44"/>
      <c r="H55" s="44"/>
      <c r="I55" s="44"/>
      <c r="J55" s="44"/>
    </row>
    <row r="56" spans="1:10" x14ac:dyDescent="0.55000000000000004">
      <c r="A56" s="50" t="s">
        <v>29</v>
      </c>
      <c r="B56" s="49">
        <f>$B$7</f>
        <v>45307</v>
      </c>
      <c r="C56" s="55">
        <f>SUMIFS(TestingPnL!$H:$H,TestingPnL!$A:$A,$B$7,TestingPnL!$O:$O,"IG")</f>
        <v>-298.70143299999995</v>
      </c>
      <c r="D56" s="55">
        <f>SUMIFS(TestingPnL!$V:$V,TestingPnL!$A:$A,$B$7,TestingPnL!$O:$O,"IG")</f>
        <v>-265.43069193999935</v>
      </c>
      <c r="E56" s="51"/>
      <c r="F56" s="51"/>
      <c r="G56" s="51"/>
      <c r="H56" s="51"/>
      <c r="I56" s="51"/>
      <c r="J56" s="51"/>
    </row>
    <row r="57" spans="1:10" x14ac:dyDescent="0.55000000000000004">
      <c r="A57" s="60" t="s">
        <v>216</v>
      </c>
      <c r="B57" s="61">
        <f>$B$7</f>
        <v>45307</v>
      </c>
      <c r="C57" s="62">
        <f>SUM(C54:C56)</f>
        <v>-376.14092099999993</v>
      </c>
      <c r="D57" s="62">
        <f>SUM(D54:D56)</f>
        <v>-548.49188159000096</v>
      </c>
      <c r="E57" s="63"/>
      <c r="F57" s="63"/>
      <c r="G57" s="63"/>
      <c r="H57" s="63"/>
      <c r="I57" s="63"/>
      <c r="J57" s="63"/>
    </row>
    <row r="58" spans="1:10" x14ac:dyDescent="0.55000000000000004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 spans="1:10" x14ac:dyDescent="0.55000000000000004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spans="1:10" x14ac:dyDescent="0.55000000000000004">
      <c r="A60" s="20"/>
      <c r="B60" s="20"/>
      <c r="C60" s="20"/>
      <c r="D60" s="20"/>
      <c r="E60" s="20"/>
      <c r="F60" s="20"/>
      <c r="G60" s="20"/>
      <c r="H60" s="20"/>
      <c r="I60" s="20"/>
      <c r="J6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0713-9AA8-4F8B-8862-F4A84F2A42D6}">
  <dimension ref="A1:Q110"/>
  <sheetViews>
    <sheetView tabSelected="1" zoomScale="80" workbookViewId="0">
      <pane ySplit="3" topLeftCell="A31" activePane="bottomLeft" state="frozen"/>
      <selection pane="bottomLeft" activeCell="W50" sqref="W49:W50"/>
    </sheetView>
  </sheetViews>
  <sheetFormatPr defaultRowHeight="14.4" x14ac:dyDescent="0.55000000000000004"/>
  <cols>
    <col min="7" max="8" width="9.26171875" bestFit="1" customWidth="1"/>
  </cols>
  <sheetData>
    <row r="1" spans="1:17" ht="30" customHeight="1" x14ac:dyDescent="0.65">
      <c r="A1" s="25" t="s">
        <v>310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6" customHeight="1" x14ac:dyDescent="0.55000000000000004">
      <c r="A2" s="39" t="s">
        <v>223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24" customHeight="1" x14ac:dyDescent="0.55000000000000004">
      <c r="A4" s="27" t="s">
        <v>217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x14ac:dyDescent="0.55000000000000004">
      <c r="A5" s="28" t="s">
        <v>218</v>
      </c>
      <c r="B5" s="28" t="s">
        <v>219</v>
      </c>
      <c r="C5" s="28" t="s">
        <v>220</v>
      </c>
      <c r="D5" s="28" t="s">
        <v>221</v>
      </c>
      <c r="E5" s="28" t="s">
        <v>222</v>
      </c>
      <c r="F5" s="28" t="s">
        <v>224</v>
      </c>
      <c r="G5" s="29">
        <v>45293</v>
      </c>
      <c r="H5" s="29">
        <v>45294</v>
      </c>
      <c r="I5" s="29">
        <v>45295</v>
      </c>
      <c r="J5" s="29">
        <v>45296</v>
      </c>
      <c r="K5" s="29">
        <v>45299</v>
      </c>
      <c r="L5" s="29">
        <v>45300</v>
      </c>
      <c r="M5" s="29">
        <v>45301</v>
      </c>
      <c r="N5" s="29">
        <v>45302</v>
      </c>
      <c r="O5" s="29">
        <v>45303</v>
      </c>
      <c r="P5" s="28" t="s">
        <v>193</v>
      </c>
      <c r="Q5" s="30"/>
    </row>
    <row r="6" spans="1:17" x14ac:dyDescent="0.55000000000000004">
      <c r="A6" s="31" t="s">
        <v>232</v>
      </c>
      <c r="B6" s="32" t="s">
        <v>24</v>
      </c>
      <c r="C6" s="32" t="s">
        <v>29</v>
      </c>
      <c r="D6" s="32" t="s">
        <v>30</v>
      </c>
      <c r="E6" s="32" t="s">
        <v>225</v>
      </c>
      <c r="F6" s="33">
        <v>-146.503198</v>
      </c>
      <c r="G6" s="34">
        <f>$F$6*'Risk Report'!$B$31</f>
        <v>-256.38059650000002</v>
      </c>
      <c r="H6" s="34">
        <f>$F$6*'Risk Report'!$B$32</f>
        <v>-293.006396</v>
      </c>
      <c r="I6" s="34">
        <f>$F$6*'Risk Report'!$B$33</f>
        <v>73.251598999999999</v>
      </c>
      <c r="J6" s="34">
        <f>$F$6*'Risk Report'!$B$34</f>
        <v>95.227078699999794</v>
      </c>
      <c r="K6" s="34">
        <f>$F$6*'Risk Report'!$B$35</f>
        <v>358.93283510000043</v>
      </c>
      <c r="L6" s="34">
        <f>$F$6*'Risk Report'!$B$36</f>
        <v>65.926439099999371</v>
      </c>
      <c r="M6" s="34">
        <f>$F$6*'Risk Report'!$B$37</f>
        <v>168.47867770000084</v>
      </c>
      <c r="N6" s="34">
        <f>$F$6*'Risk Report'!$B$38</f>
        <v>117.20255839999957</v>
      </c>
      <c r="O6" s="34">
        <f>$F$6*'Risk Report'!$B$39</f>
        <v>-36.625799499999999</v>
      </c>
      <c r="P6" s="34">
        <f t="shared" ref="P6:P37" si="0">SUM(G6:O6)</f>
        <v>293.006396</v>
      </c>
      <c r="Q6" s="35"/>
    </row>
    <row r="7" spans="1:17" x14ac:dyDescent="0.55000000000000004">
      <c r="A7" s="31" t="s">
        <v>233</v>
      </c>
      <c r="B7" s="32" t="s">
        <v>38</v>
      </c>
      <c r="C7" s="32" t="s">
        <v>29</v>
      </c>
      <c r="D7" s="32" t="s">
        <v>30</v>
      </c>
      <c r="E7" s="32" t="s">
        <v>225</v>
      </c>
      <c r="F7" s="33">
        <v>-109.101208</v>
      </c>
      <c r="G7" s="34">
        <f>$F$7*'Risk Report'!$B$31</f>
        <v>-190.92711399999999</v>
      </c>
      <c r="H7" s="34">
        <f>$F$7*'Risk Report'!$B$32</f>
        <v>-218.202416</v>
      </c>
      <c r="I7" s="34">
        <f>$F$7*'Risk Report'!$B$33</f>
        <v>54.550604</v>
      </c>
      <c r="J7" s="34">
        <f>$F$7*'Risk Report'!$B$34</f>
        <v>70.915785199999846</v>
      </c>
      <c r="K7" s="34">
        <f>$F$7*'Risk Report'!$B$35</f>
        <v>267.2979596000003</v>
      </c>
      <c r="L7" s="34">
        <f>$F$7*'Risk Report'!$B$36</f>
        <v>49.095543599999537</v>
      </c>
      <c r="M7" s="34">
        <f>$F$7*'Risk Report'!$B$37</f>
        <v>125.46638920000062</v>
      </c>
      <c r="N7" s="34">
        <f>$F$7*'Risk Report'!$B$38</f>
        <v>87.280966399999684</v>
      </c>
      <c r="O7" s="34">
        <f>$F$7*'Risk Report'!$B$39</f>
        <v>-27.275302</v>
      </c>
      <c r="P7" s="34">
        <f t="shared" si="0"/>
        <v>218.20241600000003</v>
      </c>
      <c r="Q7" s="35"/>
    </row>
    <row r="8" spans="1:17" x14ac:dyDescent="0.55000000000000004">
      <c r="A8" s="31" t="s">
        <v>234</v>
      </c>
      <c r="B8" s="32" t="s">
        <v>24</v>
      </c>
      <c r="C8" s="32" t="s">
        <v>29</v>
      </c>
      <c r="D8" s="32" t="s">
        <v>30</v>
      </c>
      <c r="E8" s="32" t="s">
        <v>225</v>
      </c>
      <c r="F8" s="33">
        <v>-43.367567999999999</v>
      </c>
      <c r="G8" s="34">
        <f>$F$8*'Risk Report'!$B$31</f>
        <v>-75.893243999999996</v>
      </c>
      <c r="H8" s="34">
        <f>$F$8*'Risk Report'!$B$32</f>
        <v>-86.735135999999997</v>
      </c>
      <c r="I8" s="34">
        <f>$F$8*'Risk Report'!$B$33</f>
        <v>21.683783999999999</v>
      </c>
      <c r="J8" s="34">
        <f>$F$8*'Risk Report'!$B$34</f>
        <v>28.188919199999937</v>
      </c>
      <c r="K8" s="34">
        <f>$F$8*'Risk Report'!$B$35</f>
        <v>106.25054160000012</v>
      </c>
      <c r="L8" s="34">
        <f>$F$8*'Risk Report'!$B$36</f>
        <v>19.515405599999813</v>
      </c>
      <c r="M8" s="34">
        <f>$F$8*'Risk Report'!$B$37</f>
        <v>49.872703200000245</v>
      </c>
      <c r="N8" s="34">
        <f>$F$8*'Risk Report'!$B$38</f>
        <v>34.694054399999878</v>
      </c>
      <c r="O8" s="34">
        <f>$F$8*'Risk Report'!$B$39</f>
        <v>-10.841892</v>
      </c>
      <c r="P8" s="34">
        <f t="shared" si="0"/>
        <v>86.735135999999983</v>
      </c>
      <c r="Q8" s="35"/>
    </row>
    <row r="9" spans="1:17" x14ac:dyDescent="0.55000000000000004">
      <c r="A9" s="31" t="s">
        <v>235</v>
      </c>
      <c r="B9" s="32" t="s">
        <v>24</v>
      </c>
      <c r="C9" s="32" t="s">
        <v>29</v>
      </c>
      <c r="D9" s="32" t="s">
        <v>30</v>
      </c>
      <c r="E9" s="32" t="s">
        <v>225</v>
      </c>
      <c r="F9" s="33">
        <v>-43.007359999999998</v>
      </c>
      <c r="G9" s="34">
        <f>$F$9*'Risk Report'!$B$31</f>
        <v>-75.262879999999996</v>
      </c>
      <c r="H9" s="34">
        <f>$F$9*'Risk Report'!$B$32</f>
        <v>-86.014719999999997</v>
      </c>
      <c r="I9" s="34">
        <f>$F$9*'Risk Report'!$B$33</f>
        <v>21.503679999999999</v>
      </c>
      <c r="J9" s="34">
        <f>$F$9*'Risk Report'!$B$34</f>
        <v>27.954783999999936</v>
      </c>
      <c r="K9" s="34">
        <f>$F$9*'Risk Report'!$B$35</f>
        <v>105.36803200000011</v>
      </c>
      <c r="L9" s="34">
        <f>$F$9*'Risk Report'!$B$36</f>
        <v>19.353311999999814</v>
      </c>
      <c r="M9" s="34">
        <f>$F$9*'Risk Report'!$B$37</f>
        <v>49.458464000000241</v>
      </c>
      <c r="N9" s="34">
        <f>$F$9*'Risk Report'!$B$38</f>
        <v>34.405887999999877</v>
      </c>
      <c r="O9" s="34">
        <f>$F$9*'Risk Report'!$B$39</f>
        <v>-10.75184</v>
      </c>
      <c r="P9" s="34">
        <f t="shared" si="0"/>
        <v>86.014719999999969</v>
      </c>
      <c r="Q9" s="35"/>
    </row>
    <row r="10" spans="1:17" x14ac:dyDescent="0.55000000000000004">
      <c r="A10" s="31" t="s">
        <v>236</v>
      </c>
      <c r="B10" s="32" t="s">
        <v>226</v>
      </c>
      <c r="C10" s="32" t="s">
        <v>29</v>
      </c>
      <c r="D10" s="32" t="s">
        <v>44</v>
      </c>
      <c r="E10" s="32" t="s">
        <v>227</v>
      </c>
      <c r="F10" s="33">
        <v>-36.458520999999998</v>
      </c>
      <c r="G10" s="34">
        <f>$F$10*'Risk Report'!$E$31</f>
        <v>-99.167177119999948</v>
      </c>
      <c r="H10" s="34">
        <f>$F$10*'Risk Report'!$E$32</f>
        <v>-120.31311929999988</v>
      </c>
      <c r="I10" s="34">
        <f>$F$10*'Risk Report'!$E$33</f>
        <v>26.614720329999884</v>
      </c>
      <c r="J10" s="34">
        <f>$F$10*'Risk Report'!$E$34</f>
        <v>-4.7396077300000927</v>
      </c>
      <c r="K10" s="34">
        <f>$F$10*'Risk Report'!$E$35</f>
        <v>40.468958309999977</v>
      </c>
      <c r="L10" s="34">
        <f>$F$10*'Risk Report'!$E$36</f>
        <v>39.739787890000123</v>
      </c>
      <c r="M10" s="34">
        <f>$F$10*'Risk Report'!$E$37</f>
        <v>71.458701160000032</v>
      </c>
      <c r="N10" s="34">
        <f>$F$10*'Risk Report'!$E$38</f>
        <v>-32.812668899999949</v>
      </c>
      <c r="O10" s="34">
        <f>$F$10*'Risk Report'!$E$39</f>
        <v>14.583408399999946</v>
      </c>
      <c r="P10" s="34">
        <f t="shared" si="0"/>
        <v>-64.166996959999921</v>
      </c>
      <c r="Q10" s="35"/>
    </row>
    <row r="11" spans="1:17" x14ac:dyDescent="0.55000000000000004">
      <c r="A11" s="31" t="s">
        <v>237</v>
      </c>
      <c r="B11" s="32" t="s">
        <v>49</v>
      </c>
      <c r="C11" s="32" t="s">
        <v>51</v>
      </c>
      <c r="D11" s="32" t="s">
        <v>30</v>
      </c>
      <c r="E11" s="32" t="s">
        <v>228</v>
      </c>
      <c r="F11" s="33">
        <v>-31.673076999999999</v>
      </c>
      <c r="G11" s="34">
        <f>$F$11*'Risk Report'!$C$31</f>
        <v>-237.54807750000001</v>
      </c>
      <c r="H11" s="34">
        <f>$F$11*'Risk Report'!$C$32</f>
        <v>-332.56730849999997</v>
      </c>
      <c r="I11" s="34">
        <f>$F$11*'Risk Report'!$C$33</f>
        <v>-31.673076999999999</v>
      </c>
      <c r="J11" s="34">
        <f>$F$11*'Risk Report'!$C$34</f>
        <v>158.365385</v>
      </c>
      <c r="K11" s="34">
        <f>$F$11*'Risk Report'!$C$35</f>
        <v>380.07692399999996</v>
      </c>
      <c r="L11" s="34">
        <f>$F$11*'Risk Report'!$C$36</f>
        <v>0</v>
      </c>
      <c r="M11" s="34">
        <f>$F$11*'Risk Report'!$C$37</f>
        <v>174.20192349999999</v>
      </c>
      <c r="N11" s="34">
        <f>$F$11*'Risk Report'!$C$38</f>
        <v>95.019230999999991</v>
      </c>
      <c r="O11" s="34">
        <f>$F$11*'Risk Report'!$C$39</f>
        <v>-79.182692500000002</v>
      </c>
      <c r="P11" s="34">
        <f t="shared" si="0"/>
        <v>126.69230799999997</v>
      </c>
      <c r="Q11" s="35"/>
    </row>
    <row r="12" spans="1:17" x14ac:dyDescent="0.55000000000000004">
      <c r="A12" s="31" t="s">
        <v>238</v>
      </c>
      <c r="B12" s="32" t="s">
        <v>53</v>
      </c>
      <c r="C12" s="32" t="s">
        <v>51</v>
      </c>
      <c r="D12" s="32" t="s">
        <v>30</v>
      </c>
      <c r="E12" s="32" t="s">
        <v>228</v>
      </c>
      <c r="F12" s="33">
        <v>-25.953275000000001</v>
      </c>
      <c r="G12" s="34">
        <f>$F$12*'Risk Report'!$C$31</f>
        <v>-194.6495625</v>
      </c>
      <c r="H12" s="34">
        <f>$F$12*'Risk Report'!$C$32</f>
        <v>-272.5093875</v>
      </c>
      <c r="I12" s="34">
        <f>$F$12*'Risk Report'!$C$33</f>
        <v>-25.953275000000001</v>
      </c>
      <c r="J12" s="34">
        <f>$F$12*'Risk Report'!$C$34</f>
        <v>129.76637500000001</v>
      </c>
      <c r="K12" s="34">
        <f>$F$12*'Risk Report'!$C$35</f>
        <v>311.4393</v>
      </c>
      <c r="L12" s="34">
        <f>$F$12*'Risk Report'!$C$36</f>
        <v>0</v>
      </c>
      <c r="M12" s="34">
        <f>$F$12*'Risk Report'!$C$37</f>
        <v>142.74301250000002</v>
      </c>
      <c r="N12" s="34">
        <f>$F$12*'Risk Report'!$C$38</f>
        <v>77.859825000000001</v>
      </c>
      <c r="O12" s="34">
        <f>$F$12*'Risk Report'!$C$39</f>
        <v>-64.883187500000005</v>
      </c>
      <c r="P12" s="34">
        <f t="shared" si="0"/>
        <v>103.81309999999998</v>
      </c>
      <c r="Q12" s="35"/>
    </row>
    <row r="13" spans="1:17" x14ac:dyDescent="0.55000000000000004">
      <c r="A13" s="31" t="s">
        <v>54</v>
      </c>
      <c r="B13" s="32" t="s">
        <v>56</v>
      </c>
      <c r="C13" s="32" t="s">
        <v>59</v>
      </c>
      <c r="D13" s="32" t="s">
        <v>44</v>
      </c>
      <c r="E13" s="32" t="s">
        <v>229</v>
      </c>
      <c r="F13" s="33">
        <v>-23.716066999999999</v>
      </c>
      <c r="G13" s="34">
        <f>$F$13*'Risk Report'!$F$31</f>
        <v>-352.53933595500018</v>
      </c>
      <c r="H13" s="34">
        <f>$F$13*'Risk Report'!$F$32</f>
        <v>-423.33179594999916</v>
      </c>
      <c r="I13" s="34">
        <f>$F$13*'Risk Report'!$F$33</f>
        <v>76.365735739999295</v>
      </c>
      <c r="J13" s="34">
        <f>$F$13*'Risk Report'!$F$34</f>
        <v>21.107299629999677</v>
      </c>
      <c r="K13" s="34">
        <f>$F$13*'Risk Report'!$F$35</f>
        <v>120.71478103000075</v>
      </c>
      <c r="L13" s="34">
        <f>$F$13*'Risk Report'!$F$36</f>
        <v>95.575750009999354</v>
      </c>
      <c r="M13" s="34">
        <f>$F$13*'Risk Report'!$F$37</f>
        <v>256.37068427000003</v>
      </c>
      <c r="N13" s="34">
        <f>$F$13*'Risk Report'!$F$38</f>
        <v>-142.53356266999978</v>
      </c>
      <c r="O13" s="34">
        <f>$F$13*'Risk Report'!$F$39</f>
        <v>84.666359189999838</v>
      </c>
      <c r="P13" s="34">
        <f t="shared" si="0"/>
        <v>-263.60408470500022</v>
      </c>
      <c r="Q13" s="35"/>
    </row>
    <row r="14" spans="1:17" x14ac:dyDescent="0.55000000000000004">
      <c r="A14" s="31" t="s">
        <v>61</v>
      </c>
      <c r="B14" s="32" t="s">
        <v>56</v>
      </c>
      <c r="C14" s="32" t="s">
        <v>59</v>
      </c>
      <c r="D14" s="32" t="s">
        <v>44</v>
      </c>
      <c r="E14" s="32" t="s">
        <v>229</v>
      </c>
      <c r="F14" s="33">
        <v>-21.958534</v>
      </c>
      <c r="G14" s="34">
        <f>$F$14*'Risk Report'!$F$31</f>
        <v>-326.41360791000022</v>
      </c>
      <c r="H14" s="34">
        <f>$F$14*'Risk Report'!$F$32</f>
        <v>-391.95983189999924</v>
      </c>
      <c r="I14" s="34">
        <f>$F$14*'Risk Report'!$F$33</f>
        <v>70.706479479999345</v>
      </c>
      <c r="J14" s="34">
        <f>$F$14*'Risk Report'!$F$34</f>
        <v>19.543095259999699</v>
      </c>
      <c r="K14" s="34">
        <f>$F$14*'Risk Report'!$F$35</f>
        <v>111.76893806000071</v>
      </c>
      <c r="L14" s="34">
        <f>$F$14*'Risk Report'!$F$36</f>
        <v>88.492892019999402</v>
      </c>
      <c r="M14" s="34">
        <f>$F$14*'Risk Report'!$F$37</f>
        <v>237.37175254000005</v>
      </c>
      <c r="N14" s="34">
        <f>$F$14*'Risk Report'!$F$38</f>
        <v>-131.97078933999981</v>
      </c>
      <c r="O14" s="34">
        <f>$F$14*'Risk Report'!$F$39</f>
        <v>78.391966379999857</v>
      </c>
      <c r="P14" s="34">
        <f t="shared" si="0"/>
        <v>-244.06910541000025</v>
      </c>
      <c r="Q14" s="35"/>
    </row>
    <row r="15" spans="1:17" x14ac:dyDescent="0.55000000000000004">
      <c r="A15" s="31" t="s">
        <v>63</v>
      </c>
      <c r="B15" s="32" t="s">
        <v>56</v>
      </c>
      <c r="C15" s="32" t="s">
        <v>59</v>
      </c>
      <c r="D15" s="32" t="s">
        <v>44</v>
      </c>
      <c r="E15" s="32" t="s">
        <v>229</v>
      </c>
      <c r="F15" s="33">
        <v>-20.553923999999999</v>
      </c>
      <c r="G15" s="34">
        <f>$F$15*'Risk Report'!$F$31</f>
        <v>-305.53408026000017</v>
      </c>
      <c r="H15" s="34">
        <f>$F$15*'Risk Report'!$F$32</f>
        <v>-366.88754339999929</v>
      </c>
      <c r="I15" s="34">
        <f>$F$15*'Risk Report'!$F$33</f>
        <v>66.183635279999393</v>
      </c>
      <c r="J15" s="34">
        <f>$F$15*'Risk Report'!$F$34</f>
        <v>18.292992359999719</v>
      </c>
      <c r="K15" s="34">
        <f>$F$15*'Risk Report'!$F$35</f>
        <v>104.61947316000065</v>
      </c>
      <c r="L15" s="34">
        <f>$F$15*'Risk Report'!$F$36</f>
        <v>82.832313719999433</v>
      </c>
      <c r="M15" s="34">
        <f>$F$15*'Risk Report'!$F$37</f>
        <v>222.18791844000003</v>
      </c>
      <c r="N15" s="34">
        <f>$F$15*'Risk Report'!$F$38</f>
        <v>-123.52908323999981</v>
      </c>
      <c r="O15" s="34">
        <f>$F$15*'Risk Report'!$F$39</f>
        <v>73.377508679999849</v>
      </c>
      <c r="P15" s="34">
        <f t="shared" si="0"/>
        <v>-228.45686526000014</v>
      </c>
      <c r="Q15" s="35"/>
    </row>
    <row r="16" spans="1:17" x14ac:dyDescent="0.55000000000000004">
      <c r="A16" s="31" t="s">
        <v>239</v>
      </c>
      <c r="B16" s="32" t="s">
        <v>24</v>
      </c>
      <c r="C16" s="32" t="s">
        <v>29</v>
      </c>
      <c r="D16" s="32" t="s">
        <v>30</v>
      </c>
      <c r="E16" s="32" t="s">
        <v>225</v>
      </c>
      <c r="F16" s="33">
        <v>-20.523548000000002</v>
      </c>
      <c r="G16" s="34">
        <f>$F$16*'Risk Report'!$B$31</f>
        <v>-35.916209000000002</v>
      </c>
      <c r="H16" s="34">
        <f>$F$16*'Risk Report'!$B$32</f>
        <v>-41.047096000000003</v>
      </c>
      <c r="I16" s="34">
        <f>$F$16*'Risk Report'!$B$33</f>
        <v>10.261774000000001</v>
      </c>
      <c r="J16" s="34">
        <f>$F$16*'Risk Report'!$B$34</f>
        <v>13.340306199999972</v>
      </c>
      <c r="K16" s="34">
        <f>$F$16*'Risk Report'!$B$35</f>
        <v>50.282692600000061</v>
      </c>
      <c r="L16" s="34">
        <f>$F$16*'Risk Report'!$B$36</f>
        <v>9.2355965999999139</v>
      </c>
      <c r="M16" s="34">
        <f>$F$16*'Risk Report'!$B$37</f>
        <v>23.602080200000117</v>
      </c>
      <c r="N16" s="34">
        <f>$F$16*'Risk Report'!$B$38</f>
        <v>16.418838399999942</v>
      </c>
      <c r="O16" s="34">
        <f>$F$16*'Risk Report'!$B$39</f>
        <v>-5.1308870000000004</v>
      </c>
      <c r="P16" s="34">
        <f t="shared" si="0"/>
        <v>41.047096000000003</v>
      </c>
      <c r="Q16" s="35"/>
    </row>
    <row r="17" spans="1:17" x14ac:dyDescent="0.55000000000000004">
      <c r="A17" s="31" t="s">
        <v>240</v>
      </c>
      <c r="B17" s="32" t="s">
        <v>24</v>
      </c>
      <c r="C17" s="32" t="s">
        <v>29</v>
      </c>
      <c r="D17" s="32" t="s">
        <v>30</v>
      </c>
      <c r="E17" s="32" t="s">
        <v>225</v>
      </c>
      <c r="F17" s="33">
        <v>-19.893380000000001</v>
      </c>
      <c r="G17" s="34">
        <f>$F$17*'Risk Report'!$B$31</f>
        <v>-34.813414999999999</v>
      </c>
      <c r="H17" s="34">
        <f>$F$17*'Risk Report'!$B$32</f>
        <v>-39.786760000000001</v>
      </c>
      <c r="I17" s="34">
        <f>$F$17*'Risk Report'!$B$33</f>
        <v>9.9466900000000003</v>
      </c>
      <c r="J17" s="34">
        <f>$F$17*'Risk Report'!$B$34</f>
        <v>12.930696999999972</v>
      </c>
      <c r="K17" s="34">
        <f>$F$17*'Risk Report'!$B$35</f>
        <v>48.73878100000006</v>
      </c>
      <c r="L17" s="34">
        <f>$F$17*'Risk Report'!$B$36</f>
        <v>8.952020999999915</v>
      </c>
      <c r="M17" s="34">
        <f>$F$17*'Risk Report'!$B$37</f>
        <v>22.877387000000112</v>
      </c>
      <c r="N17" s="34">
        <f>$F$17*'Risk Report'!$B$38</f>
        <v>15.914703999999944</v>
      </c>
      <c r="O17" s="34">
        <f>$F$17*'Risk Report'!$B$39</f>
        <v>-4.9733450000000001</v>
      </c>
      <c r="P17" s="34">
        <f t="shared" si="0"/>
        <v>39.786760000000001</v>
      </c>
      <c r="Q17" s="35"/>
    </row>
    <row r="18" spans="1:17" x14ac:dyDescent="0.55000000000000004">
      <c r="A18" s="31" t="s">
        <v>241</v>
      </c>
      <c r="B18" s="32" t="s">
        <v>42</v>
      </c>
      <c r="C18" s="32" t="s">
        <v>51</v>
      </c>
      <c r="D18" s="32" t="s">
        <v>30</v>
      </c>
      <c r="E18" s="32" t="s">
        <v>228</v>
      </c>
      <c r="F18" s="33">
        <v>-19.631408</v>
      </c>
      <c r="G18" s="34">
        <f>$F$18*'Risk Report'!$C$31</f>
        <v>-147.23555999999999</v>
      </c>
      <c r="H18" s="34">
        <f>$F$18*'Risk Report'!$C$32</f>
        <v>-206.129784</v>
      </c>
      <c r="I18" s="34">
        <f>$F$18*'Risk Report'!$C$33</f>
        <v>-19.631408</v>
      </c>
      <c r="J18" s="34">
        <f>$F$18*'Risk Report'!$C$34</f>
        <v>98.157039999999995</v>
      </c>
      <c r="K18" s="34">
        <f>$F$18*'Risk Report'!$C$35</f>
        <v>235.576896</v>
      </c>
      <c r="L18" s="34">
        <f>$F$18*'Risk Report'!$C$36</f>
        <v>0</v>
      </c>
      <c r="M18" s="34">
        <f>$F$18*'Risk Report'!$C$37</f>
        <v>107.97274400000001</v>
      </c>
      <c r="N18" s="34">
        <f>$F$18*'Risk Report'!$C$38</f>
        <v>58.894224000000001</v>
      </c>
      <c r="O18" s="34">
        <f>$F$18*'Risk Report'!$C$39</f>
        <v>-49.078519999999997</v>
      </c>
      <c r="P18" s="34">
        <f t="shared" si="0"/>
        <v>78.525632000000002</v>
      </c>
      <c r="Q18" s="35"/>
    </row>
    <row r="19" spans="1:17" x14ac:dyDescent="0.55000000000000004">
      <c r="A19" s="31" t="s">
        <v>242</v>
      </c>
      <c r="B19" s="32" t="s">
        <v>42</v>
      </c>
      <c r="C19" s="32" t="s">
        <v>29</v>
      </c>
      <c r="D19" s="32" t="s">
        <v>30</v>
      </c>
      <c r="E19" s="32" t="s">
        <v>225</v>
      </c>
      <c r="F19" s="33">
        <v>-19.559163000000002</v>
      </c>
      <c r="G19" s="34">
        <f>$F$19*'Risk Report'!$B$31</f>
        <v>-34.22853525</v>
      </c>
      <c r="H19" s="34">
        <f>$F$19*'Risk Report'!$B$32</f>
        <v>-39.118326000000003</v>
      </c>
      <c r="I19" s="34">
        <f>$F$19*'Risk Report'!$B$33</f>
        <v>9.7795815000000008</v>
      </c>
      <c r="J19" s="34">
        <f>$F$19*'Risk Report'!$B$34</f>
        <v>12.713455949999974</v>
      </c>
      <c r="K19" s="34">
        <f>$F$19*'Risk Report'!$B$35</f>
        <v>47.91994935000006</v>
      </c>
      <c r="L19" s="34">
        <f>$F$19*'Risk Report'!$B$36</f>
        <v>8.8016233499999181</v>
      </c>
      <c r="M19" s="34">
        <f>$F$19*'Risk Report'!$B$37</f>
        <v>22.493037450000113</v>
      </c>
      <c r="N19" s="34">
        <f>$F$19*'Risk Report'!$B$38</f>
        <v>15.647330399999946</v>
      </c>
      <c r="O19" s="34">
        <f>$F$19*'Risk Report'!$B$39</f>
        <v>-4.8897907500000004</v>
      </c>
      <c r="P19" s="34">
        <f t="shared" si="0"/>
        <v>39.118326000000003</v>
      </c>
      <c r="Q19" s="35"/>
    </row>
    <row r="20" spans="1:17" x14ac:dyDescent="0.55000000000000004">
      <c r="A20" s="31" t="s">
        <v>243</v>
      </c>
      <c r="B20" s="32" t="s">
        <v>226</v>
      </c>
      <c r="C20" s="32" t="s">
        <v>51</v>
      </c>
      <c r="D20" s="32" t="s">
        <v>30</v>
      </c>
      <c r="E20" s="32" t="s">
        <v>228</v>
      </c>
      <c r="F20" s="33">
        <v>-16.069766000000001</v>
      </c>
      <c r="G20" s="34">
        <f>$F$20*'Risk Report'!$C$31</f>
        <v>-120.523245</v>
      </c>
      <c r="H20" s="34">
        <f>$F$20*'Risk Report'!$C$32</f>
        <v>-168.73254300000002</v>
      </c>
      <c r="I20" s="34">
        <f>$F$20*'Risk Report'!$C$33</f>
        <v>-16.069766000000001</v>
      </c>
      <c r="J20" s="34">
        <f>$F$20*'Risk Report'!$C$34</f>
        <v>80.348830000000007</v>
      </c>
      <c r="K20" s="34">
        <f>$F$20*'Risk Report'!$C$35</f>
        <v>192.83719200000002</v>
      </c>
      <c r="L20" s="34">
        <f>$F$20*'Risk Report'!$C$36</f>
        <v>0</v>
      </c>
      <c r="M20" s="34">
        <f>$F$20*'Risk Report'!$C$37</f>
        <v>88.383713</v>
      </c>
      <c r="N20" s="34">
        <f>$F$20*'Risk Report'!$C$38</f>
        <v>48.209298000000004</v>
      </c>
      <c r="O20" s="34">
        <f>$F$20*'Risk Report'!$C$39</f>
        <v>-40.174415000000003</v>
      </c>
      <c r="P20" s="34">
        <f t="shared" si="0"/>
        <v>64.279063999999977</v>
      </c>
      <c r="Q20" s="35"/>
    </row>
    <row r="21" spans="1:17" x14ac:dyDescent="0.55000000000000004">
      <c r="A21" s="31" t="s">
        <v>244</v>
      </c>
      <c r="B21" s="32" t="s">
        <v>24</v>
      </c>
      <c r="C21" s="32" t="s">
        <v>29</v>
      </c>
      <c r="D21" s="32" t="s">
        <v>30</v>
      </c>
      <c r="E21" s="32" t="s">
        <v>225</v>
      </c>
      <c r="F21" s="33">
        <v>-14.846822</v>
      </c>
      <c r="G21" s="34">
        <f>$F$21*'Risk Report'!$B$31</f>
        <v>-25.981938499999998</v>
      </c>
      <c r="H21" s="34">
        <f>$F$21*'Risk Report'!$B$32</f>
        <v>-29.693643999999999</v>
      </c>
      <c r="I21" s="34">
        <f>$F$21*'Risk Report'!$B$33</f>
        <v>7.4234109999999998</v>
      </c>
      <c r="J21" s="34">
        <f>$F$21*'Risk Report'!$B$34</f>
        <v>9.6504342999999793</v>
      </c>
      <c r="K21" s="34">
        <f>$F$21*'Risk Report'!$B$35</f>
        <v>36.374713900000039</v>
      </c>
      <c r="L21" s="34">
        <f>$F$21*'Risk Report'!$B$36</f>
        <v>6.6810698999999367</v>
      </c>
      <c r="M21" s="34">
        <f>$F$21*'Risk Report'!$B$37</f>
        <v>17.073845300000084</v>
      </c>
      <c r="N21" s="34">
        <f>$F$21*'Risk Report'!$B$38</f>
        <v>11.877457599999957</v>
      </c>
      <c r="O21" s="34">
        <f>$F$21*'Risk Report'!$B$39</f>
        <v>-3.7117054999999999</v>
      </c>
      <c r="P21" s="34">
        <f t="shared" si="0"/>
        <v>29.693643999999999</v>
      </c>
      <c r="Q21" s="35"/>
    </row>
    <row r="22" spans="1:17" x14ac:dyDescent="0.55000000000000004">
      <c r="A22" s="31" t="s">
        <v>245</v>
      </c>
      <c r="B22" s="32" t="s">
        <v>24</v>
      </c>
      <c r="C22" s="32" t="s">
        <v>29</v>
      </c>
      <c r="D22" s="32" t="s">
        <v>30</v>
      </c>
      <c r="E22" s="32" t="s">
        <v>225</v>
      </c>
      <c r="F22" s="33">
        <v>-14.445735000000001</v>
      </c>
      <c r="G22" s="34">
        <f>$F$22*'Risk Report'!$B$31</f>
        <v>-25.280036250000002</v>
      </c>
      <c r="H22" s="34">
        <f>$F$22*'Risk Report'!$B$32</f>
        <v>-28.891470000000002</v>
      </c>
      <c r="I22" s="34">
        <f>$F$22*'Risk Report'!$B$33</f>
        <v>7.2228675000000004</v>
      </c>
      <c r="J22" s="34">
        <f>$F$22*'Risk Report'!$B$34</f>
        <v>9.3897277499999792</v>
      </c>
      <c r="K22" s="34">
        <f>$F$22*'Risk Report'!$B$35</f>
        <v>35.392050750000045</v>
      </c>
      <c r="L22" s="34">
        <f>$F$22*'Risk Report'!$B$36</f>
        <v>6.5005807499999388</v>
      </c>
      <c r="M22" s="34">
        <f>$F$22*'Risk Report'!$B$37</f>
        <v>16.612595250000084</v>
      </c>
      <c r="N22" s="34">
        <f>$F$22*'Risk Report'!$B$38</f>
        <v>11.556587999999959</v>
      </c>
      <c r="O22" s="34">
        <f>$F$22*'Risk Report'!$B$39</f>
        <v>-3.6114337500000002</v>
      </c>
      <c r="P22" s="34">
        <f t="shared" si="0"/>
        <v>28.891470000000002</v>
      </c>
      <c r="Q22" s="35"/>
    </row>
    <row r="23" spans="1:17" x14ac:dyDescent="0.55000000000000004">
      <c r="A23" s="31" t="s">
        <v>246</v>
      </c>
      <c r="B23" s="32" t="s">
        <v>24</v>
      </c>
      <c r="C23" s="32" t="s">
        <v>29</v>
      </c>
      <c r="D23" s="32" t="s">
        <v>30</v>
      </c>
      <c r="E23" s="32" t="s">
        <v>225</v>
      </c>
      <c r="F23" s="33">
        <v>-14.410151000000001</v>
      </c>
      <c r="G23" s="34">
        <f>$F$23*'Risk Report'!$B$31</f>
        <v>-25.217764250000002</v>
      </c>
      <c r="H23" s="34">
        <f>$F$23*'Risk Report'!$B$32</f>
        <v>-28.820302000000002</v>
      </c>
      <c r="I23" s="34">
        <f>$F$23*'Risk Report'!$B$33</f>
        <v>7.2050755000000004</v>
      </c>
      <c r="J23" s="34">
        <f>$F$23*'Risk Report'!$B$34</f>
        <v>9.3665981499999802</v>
      </c>
      <c r="K23" s="34">
        <f>$F$23*'Risk Report'!$B$35</f>
        <v>35.30486995000004</v>
      </c>
      <c r="L23" s="34">
        <f>$F$23*'Risk Report'!$B$36</f>
        <v>6.4845679499999394</v>
      </c>
      <c r="M23" s="34">
        <f>$F$23*'Risk Report'!$B$37</f>
        <v>16.571673650000083</v>
      </c>
      <c r="N23" s="34">
        <f>$F$23*'Risk Report'!$B$38</f>
        <v>11.528120799999959</v>
      </c>
      <c r="O23" s="34">
        <f>$F$23*'Risk Report'!$B$39</f>
        <v>-3.6025377500000002</v>
      </c>
      <c r="P23" s="34">
        <f t="shared" si="0"/>
        <v>28.820302000000002</v>
      </c>
      <c r="Q23" s="35"/>
    </row>
    <row r="24" spans="1:17" x14ac:dyDescent="0.55000000000000004">
      <c r="A24" s="31" t="s">
        <v>247</v>
      </c>
      <c r="B24" s="32" t="s">
        <v>42</v>
      </c>
      <c r="C24" s="32" t="s">
        <v>29</v>
      </c>
      <c r="D24" s="32" t="s">
        <v>30</v>
      </c>
      <c r="E24" s="32" t="s">
        <v>225</v>
      </c>
      <c r="F24" s="33">
        <v>-13.994548</v>
      </c>
      <c r="G24" s="34">
        <f>$F$24*'Risk Report'!$B$31</f>
        <v>-24.490459000000001</v>
      </c>
      <c r="H24" s="34">
        <f>$F$24*'Risk Report'!$B$32</f>
        <v>-27.989096</v>
      </c>
      <c r="I24" s="34">
        <f>$F$24*'Risk Report'!$B$33</f>
        <v>6.997274</v>
      </c>
      <c r="J24" s="34">
        <f>$F$24*'Risk Report'!$B$34</f>
        <v>9.0964561999999809</v>
      </c>
      <c r="K24" s="34">
        <f>$F$24*'Risk Report'!$B$35</f>
        <v>34.286642600000043</v>
      </c>
      <c r="L24" s="34">
        <f>$F$24*'Risk Report'!$B$36</f>
        <v>6.29754659999994</v>
      </c>
      <c r="M24" s="34">
        <f>$F$24*'Risk Report'!$B$37</f>
        <v>16.093730200000081</v>
      </c>
      <c r="N24" s="34">
        <f>$F$24*'Risk Report'!$B$38</f>
        <v>11.195638399999961</v>
      </c>
      <c r="O24" s="34">
        <f>$F$24*'Risk Report'!$B$39</f>
        <v>-3.498637</v>
      </c>
      <c r="P24" s="34">
        <f t="shared" si="0"/>
        <v>27.989096000000004</v>
      </c>
      <c r="Q24" s="35"/>
    </row>
    <row r="25" spans="1:17" x14ac:dyDescent="0.55000000000000004">
      <c r="A25" s="31" t="s">
        <v>248</v>
      </c>
      <c r="B25" s="32" t="s">
        <v>49</v>
      </c>
      <c r="C25" s="32" t="s">
        <v>29</v>
      </c>
      <c r="D25" s="32" t="s">
        <v>30</v>
      </c>
      <c r="E25" s="32" t="s">
        <v>225</v>
      </c>
      <c r="F25" s="33">
        <v>-13.724138</v>
      </c>
      <c r="G25" s="34">
        <f>$F$25*'Risk Report'!$B$31</f>
        <v>-24.017241500000001</v>
      </c>
      <c r="H25" s="34">
        <f>$F$25*'Risk Report'!$B$32</f>
        <v>-27.448276</v>
      </c>
      <c r="I25" s="34">
        <f>$F$25*'Risk Report'!$B$33</f>
        <v>6.862069</v>
      </c>
      <c r="J25" s="34">
        <f>$F$25*'Risk Report'!$B$34</f>
        <v>8.920689699999981</v>
      </c>
      <c r="K25" s="34">
        <f>$F$25*'Risk Report'!$B$35</f>
        <v>33.624138100000039</v>
      </c>
      <c r="L25" s="34">
        <f>$F$25*'Risk Report'!$B$36</f>
        <v>6.1758620999999412</v>
      </c>
      <c r="M25" s="34">
        <f>$F$25*'Risk Report'!$B$37</f>
        <v>15.782758700000079</v>
      </c>
      <c r="N25" s="34">
        <f>$F$25*'Risk Report'!$B$38</f>
        <v>10.97931039999996</v>
      </c>
      <c r="O25" s="34">
        <f>$F$25*'Risk Report'!$B$39</f>
        <v>-3.4310345</v>
      </c>
      <c r="P25" s="34">
        <f t="shared" si="0"/>
        <v>27.448275999999996</v>
      </c>
      <c r="Q25" s="35"/>
    </row>
    <row r="26" spans="1:17" x14ac:dyDescent="0.55000000000000004">
      <c r="A26" s="31" t="s">
        <v>70</v>
      </c>
      <c r="B26" s="32" t="s">
        <v>71</v>
      </c>
      <c r="C26" s="32" t="s">
        <v>59</v>
      </c>
      <c r="D26" s="32" t="s">
        <v>44</v>
      </c>
      <c r="E26" s="32" t="s">
        <v>229</v>
      </c>
      <c r="F26" s="33">
        <v>-13.67009</v>
      </c>
      <c r="G26" s="34">
        <f>$F$26*'Risk Report'!$F$31</f>
        <v>-203.20588785000012</v>
      </c>
      <c r="H26" s="34">
        <f>$F$26*'Risk Report'!$F$32</f>
        <v>-244.01110649999953</v>
      </c>
      <c r="I26" s="34">
        <f>$F$26*'Risk Report'!$F$33</f>
        <v>44.017689799999594</v>
      </c>
      <c r="J26" s="34">
        <f>$F$26*'Risk Report'!$F$34</f>
        <v>12.166380099999813</v>
      </c>
      <c r="K26" s="34">
        <f>$F$26*'Risk Report'!$F$35</f>
        <v>69.580758100000438</v>
      </c>
      <c r="L26" s="34">
        <f>$F$26*'Risk Report'!$F$36</f>
        <v>55.090462699999627</v>
      </c>
      <c r="M26" s="34">
        <f>$F$26*'Risk Report'!$F$37</f>
        <v>147.77367290000004</v>
      </c>
      <c r="N26" s="34">
        <f>$F$26*'Risk Report'!$F$38</f>
        <v>-82.157240899999877</v>
      </c>
      <c r="O26" s="34">
        <f>$F$26*'Risk Report'!$F$39</f>
        <v>48.802221299999907</v>
      </c>
      <c r="P26" s="34">
        <f t="shared" si="0"/>
        <v>-151.94305035000016</v>
      </c>
      <c r="Q26" s="35"/>
    </row>
    <row r="27" spans="1:17" x14ac:dyDescent="0.55000000000000004">
      <c r="A27" s="31" t="s">
        <v>249</v>
      </c>
      <c r="B27" s="32" t="s">
        <v>24</v>
      </c>
      <c r="C27" s="32" t="s">
        <v>29</v>
      </c>
      <c r="D27" s="32" t="s">
        <v>30</v>
      </c>
      <c r="E27" s="32" t="s">
        <v>225</v>
      </c>
      <c r="F27" s="33">
        <v>-13.527498</v>
      </c>
      <c r="G27" s="34">
        <f>$F$27*'Risk Report'!$B$31</f>
        <v>-23.673121500000001</v>
      </c>
      <c r="H27" s="34">
        <f>$F$27*'Risk Report'!$B$32</f>
        <v>-27.054995999999999</v>
      </c>
      <c r="I27" s="34">
        <f>$F$27*'Risk Report'!$B$33</f>
        <v>6.7637489999999998</v>
      </c>
      <c r="J27" s="34">
        <f>$F$27*'Risk Report'!$B$34</f>
        <v>8.7928736999999799</v>
      </c>
      <c r="K27" s="34">
        <f>$F$27*'Risk Report'!$B$35</f>
        <v>33.142370100000036</v>
      </c>
      <c r="L27" s="34">
        <f>$F$27*'Risk Report'!$B$36</f>
        <v>6.0873740999999422</v>
      </c>
      <c r="M27" s="34">
        <f>$F$27*'Risk Report'!$B$37</f>
        <v>15.556622700000077</v>
      </c>
      <c r="N27" s="34">
        <f>$F$27*'Risk Report'!$B$38</f>
        <v>10.821998399999961</v>
      </c>
      <c r="O27" s="34">
        <f>$F$27*'Risk Report'!$B$39</f>
        <v>-3.3818744999999999</v>
      </c>
      <c r="P27" s="34">
        <f t="shared" si="0"/>
        <v>27.054995999999999</v>
      </c>
      <c r="Q27" s="35"/>
    </row>
    <row r="28" spans="1:17" x14ac:dyDescent="0.55000000000000004">
      <c r="A28" s="31" t="s">
        <v>250</v>
      </c>
      <c r="B28" s="32" t="s">
        <v>42</v>
      </c>
      <c r="C28" s="32" t="s">
        <v>29</v>
      </c>
      <c r="D28" s="32" t="s">
        <v>44</v>
      </c>
      <c r="E28" s="32" t="s">
        <v>227</v>
      </c>
      <c r="F28" s="33">
        <v>-13.300264</v>
      </c>
      <c r="G28" s="34">
        <f>$F$28*'Risk Report'!$E$31</f>
        <v>-36.176718079999986</v>
      </c>
      <c r="H28" s="34">
        <f>$F$28*'Risk Report'!$E$32</f>
        <v>-43.890871199999964</v>
      </c>
      <c r="I28" s="34">
        <f>$F$28*'Risk Report'!$E$33</f>
        <v>9.7091927199999581</v>
      </c>
      <c r="J28" s="34">
        <f>$F$28*'Risk Report'!$E$34</f>
        <v>-1.729034320000034</v>
      </c>
      <c r="K28" s="34">
        <f>$F$28*'Risk Report'!$E$35</f>
        <v>14.763293039999994</v>
      </c>
      <c r="L28" s="34">
        <f>$F$28*'Risk Report'!$E$36</f>
        <v>14.497287760000045</v>
      </c>
      <c r="M28" s="34">
        <f>$F$28*'Risk Report'!$E$37</f>
        <v>26.068517440000011</v>
      </c>
      <c r="N28" s="34">
        <f>$F$28*'Risk Report'!$E$38</f>
        <v>-11.970237599999981</v>
      </c>
      <c r="O28" s="34">
        <f>$F$28*'Risk Report'!$E$39</f>
        <v>5.3201055999999811</v>
      </c>
      <c r="P28" s="34">
        <f t="shared" si="0"/>
        <v>-23.408464639999973</v>
      </c>
      <c r="Q28" s="35"/>
    </row>
    <row r="29" spans="1:17" x14ac:dyDescent="0.55000000000000004">
      <c r="A29" s="31" t="s">
        <v>251</v>
      </c>
      <c r="B29" s="32" t="s">
        <v>42</v>
      </c>
      <c r="C29" s="32" t="s">
        <v>29</v>
      </c>
      <c r="D29" s="32" t="s">
        <v>30</v>
      </c>
      <c r="E29" s="32" t="s">
        <v>225</v>
      </c>
      <c r="F29" s="33">
        <v>-12.768632999999999</v>
      </c>
      <c r="G29" s="34">
        <f>$F$29*'Risk Report'!$B$31</f>
        <v>-22.34510775</v>
      </c>
      <c r="H29" s="34">
        <f>$F$29*'Risk Report'!$B$32</f>
        <v>-25.537265999999999</v>
      </c>
      <c r="I29" s="34">
        <f>$F$29*'Risk Report'!$B$33</f>
        <v>6.3843164999999997</v>
      </c>
      <c r="J29" s="34">
        <f>$F$29*'Risk Report'!$B$34</f>
        <v>8.2996114499999809</v>
      </c>
      <c r="K29" s="34">
        <f>$F$29*'Risk Report'!$B$35</f>
        <v>31.283150850000034</v>
      </c>
      <c r="L29" s="34">
        <f>$F$29*'Risk Report'!$B$36</f>
        <v>5.7458848499999453</v>
      </c>
      <c r="M29" s="34">
        <f>$F$29*'Risk Report'!$B$37</f>
        <v>14.683927950000072</v>
      </c>
      <c r="N29" s="34">
        <f>$F$29*'Risk Report'!$B$38</f>
        <v>10.214906399999963</v>
      </c>
      <c r="O29" s="34">
        <f>$F$29*'Risk Report'!$B$39</f>
        <v>-3.1921582499999999</v>
      </c>
      <c r="P29" s="34">
        <f t="shared" si="0"/>
        <v>25.537265999999995</v>
      </c>
      <c r="Q29" s="35"/>
    </row>
    <row r="30" spans="1:17" x14ac:dyDescent="0.55000000000000004">
      <c r="A30" s="31" t="s">
        <v>252</v>
      </c>
      <c r="B30" s="32" t="s">
        <v>42</v>
      </c>
      <c r="C30" s="32" t="s">
        <v>51</v>
      </c>
      <c r="D30" s="32" t="s">
        <v>30</v>
      </c>
      <c r="E30" s="32" t="s">
        <v>228</v>
      </c>
      <c r="F30" s="33">
        <v>-12.766484</v>
      </c>
      <c r="G30" s="34">
        <f>$F$30*'Risk Report'!$C$31</f>
        <v>-95.748630000000006</v>
      </c>
      <c r="H30" s="34">
        <f>$F$30*'Risk Report'!$C$32</f>
        <v>-134.04808199999999</v>
      </c>
      <c r="I30" s="34">
        <f>$F$30*'Risk Report'!$C$33</f>
        <v>-12.766484</v>
      </c>
      <c r="J30" s="34">
        <f>$F$30*'Risk Report'!$C$34</f>
        <v>63.832419999999999</v>
      </c>
      <c r="K30" s="34">
        <f>$F$30*'Risk Report'!$C$35</f>
        <v>153.19780800000001</v>
      </c>
      <c r="L30" s="34">
        <f>$F$30*'Risk Report'!$C$36</f>
        <v>0</v>
      </c>
      <c r="M30" s="34">
        <f>$F$30*'Risk Report'!$C$37</f>
        <v>70.215661999999995</v>
      </c>
      <c r="N30" s="34">
        <f>$F$30*'Risk Report'!$C$38</f>
        <v>38.299452000000002</v>
      </c>
      <c r="O30" s="34">
        <f>$F$30*'Risk Report'!$C$39</f>
        <v>-31.91621</v>
      </c>
      <c r="P30" s="34">
        <f t="shared" si="0"/>
        <v>51.065936000000015</v>
      </c>
      <c r="Q30" s="35"/>
    </row>
    <row r="31" spans="1:17" x14ac:dyDescent="0.55000000000000004">
      <c r="A31" s="31" t="s">
        <v>253</v>
      </c>
      <c r="B31" s="32" t="s">
        <v>226</v>
      </c>
      <c r="C31" s="32" t="s">
        <v>51</v>
      </c>
      <c r="D31" s="32" t="s">
        <v>30</v>
      </c>
      <c r="E31" s="32" t="s">
        <v>228</v>
      </c>
      <c r="F31" s="33">
        <v>-12.727713</v>
      </c>
      <c r="G31" s="34">
        <f>$F$31*'Risk Report'!$C$31</f>
        <v>-95.4578475</v>
      </c>
      <c r="H31" s="34">
        <f>$F$31*'Risk Report'!$C$32</f>
        <v>-133.6409865</v>
      </c>
      <c r="I31" s="34">
        <f>$F$31*'Risk Report'!$C$33</f>
        <v>-12.727713</v>
      </c>
      <c r="J31" s="34">
        <f>$F$31*'Risk Report'!$C$34</f>
        <v>63.638565</v>
      </c>
      <c r="K31" s="34">
        <f>$F$31*'Risk Report'!$C$35</f>
        <v>152.73255599999999</v>
      </c>
      <c r="L31" s="34">
        <f>$F$31*'Risk Report'!$C$36</f>
        <v>0</v>
      </c>
      <c r="M31" s="34">
        <f>$F$31*'Risk Report'!$C$37</f>
        <v>70.002421499999997</v>
      </c>
      <c r="N31" s="34">
        <f>$F$31*'Risk Report'!$C$38</f>
        <v>38.183138999999997</v>
      </c>
      <c r="O31" s="34">
        <f>$F$31*'Risk Report'!$C$39</f>
        <v>-31.8192825</v>
      </c>
      <c r="P31" s="34">
        <f t="shared" si="0"/>
        <v>50.910851999999977</v>
      </c>
      <c r="Q31" s="35"/>
    </row>
    <row r="32" spans="1:17" x14ac:dyDescent="0.55000000000000004">
      <c r="A32" s="31" t="s">
        <v>254</v>
      </c>
      <c r="B32" s="32" t="s">
        <v>42</v>
      </c>
      <c r="C32" s="32" t="s">
        <v>29</v>
      </c>
      <c r="D32" s="32" t="s">
        <v>30</v>
      </c>
      <c r="E32" s="32" t="s">
        <v>225</v>
      </c>
      <c r="F32" s="33">
        <v>-12.533436</v>
      </c>
      <c r="G32" s="34">
        <f>$F$32*'Risk Report'!$B$31</f>
        <v>-21.933513000000001</v>
      </c>
      <c r="H32" s="34">
        <f>$F$32*'Risk Report'!$B$32</f>
        <v>-25.066872</v>
      </c>
      <c r="I32" s="34">
        <f>$F$32*'Risk Report'!$B$33</f>
        <v>6.266718</v>
      </c>
      <c r="J32" s="34">
        <f>$F$32*'Risk Report'!$B$34</f>
        <v>8.1467333999999827</v>
      </c>
      <c r="K32" s="34">
        <f>$F$32*'Risk Report'!$B$35</f>
        <v>30.706918200000036</v>
      </c>
      <c r="L32" s="34">
        <f>$F$32*'Risk Report'!$B$36</f>
        <v>5.6400461999999463</v>
      </c>
      <c r="M32" s="34">
        <f>$F$32*'Risk Report'!$B$37</f>
        <v>14.413451400000071</v>
      </c>
      <c r="N32" s="34">
        <f>$F$32*'Risk Report'!$B$38</f>
        <v>10.026748799999964</v>
      </c>
      <c r="O32" s="34">
        <f>$F$32*'Risk Report'!$B$39</f>
        <v>-3.133359</v>
      </c>
      <c r="P32" s="34">
        <f t="shared" si="0"/>
        <v>25.066871999999996</v>
      </c>
      <c r="Q32" s="35"/>
    </row>
    <row r="33" spans="1:17" x14ac:dyDescent="0.55000000000000004">
      <c r="A33" s="31" t="s">
        <v>255</v>
      </c>
      <c r="B33" s="32" t="s">
        <v>226</v>
      </c>
      <c r="C33" s="32" t="s">
        <v>51</v>
      </c>
      <c r="D33" s="32" t="s">
        <v>30</v>
      </c>
      <c r="E33" s="32" t="s">
        <v>228</v>
      </c>
      <c r="F33" s="33">
        <v>-12.480352</v>
      </c>
      <c r="G33" s="34">
        <f>$F$33*'Risk Report'!$C$31</f>
        <v>-93.602639999999994</v>
      </c>
      <c r="H33" s="34">
        <f>$F$33*'Risk Report'!$C$32</f>
        <v>-131.04369600000001</v>
      </c>
      <c r="I33" s="34">
        <f>$F$33*'Risk Report'!$C$33</f>
        <v>-12.480352</v>
      </c>
      <c r="J33" s="34">
        <f>$F$33*'Risk Report'!$C$34</f>
        <v>62.401759999999996</v>
      </c>
      <c r="K33" s="34">
        <f>$F$33*'Risk Report'!$C$35</f>
        <v>149.76422400000001</v>
      </c>
      <c r="L33" s="34">
        <f>$F$33*'Risk Report'!$C$36</f>
        <v>0</v>
      </c>
      <c r="M33" s="34">
        <f>$F$33*'Risk Report'!$C$37</f>
        <v>68.641936000000001</v>
      </c>
      <c r="N33" s="34">
        <f>$F$33*'Risk Report'!$C$38</f>
        <v>37.441056000000003</v>
      </c>
      <c r="O33" s="34">
        <f>$F$33*'Risk Report'!$C$39</f>
        <v>-31.200879999999998</v>
      </c>
      <c r="P33" s="34">
        <f t="shared" si="0"/>
        <v>49.921407999999985</v>
      </c>
      <c r="Q33" s="35"/>
    </row>
    <row r="34" spans="1:17" x14ac:dyDescent="0.55000000000000004">
      <c r="A34" s="31" t="s">
        <v>256</v>
      </c>
      <c r="B34" s="32" t="s">
        <v>49</v>
      </c>
      <c r="C34" s="32" t="s">
        <v>29</v>
      </c>
      <c r="D34" s="32" t="s">
        <v>44</v>
      </c>
      <c r="E34" s="32" t="s">
        <v>227</v>
      </c>
      <c r="F34" s="33">
        <v>-12.227057</v>
      </c>
      <c r="G34" s="34">
        <f>$F$34*'Risk Report'!$E$31</f>
        <v>-33.257595039999984</v>
      </c>
      <c r="H34" s="34">
        <f>$F$34*'Risk Report'!$E$32</f>
        <v>-40.349288099999967</v>
      </c>
      <c r="I34" s="34">
        <f>$F$34*'Risk Report'!$E$33</f>
        <v>8.9257516099999616</v>
      </c>
      <c r="J34" s="34">
        <f>$F$34*'Risk Report'!$E$34</f>
        <v>-1.5895174100000313</v>
      </c>
      <c r="K34" s="34">
        <f>$F$34*'Risk Report'!$E$35</f>
        <v>13.572033269999993</v>
      </c>
      <c r="L34" s="34">
        <f>$F$34*'Risk Report'!$E$36</f>
        <v>13.327492130000042</v>
      </c>
      <c r="M34" s="34">
        <f>$F$34*'Risk Report'!$E$37</f>
        <v>23.96503172000001</v>
      </c>
      <c r="N34" s="34">
        <f>$F$34*'Risk Report'!$E$38</f>
        <v>-11.004351299999984</v>
      </c>
      <c r="O34" s="34">
        <f>$F$34*'Risk Report'!$E$39</f>
        <v>4.8908227999999827</v>
      </c>
      <c r="P34" s="34">
        <f t="shared" si="0"/>
        <v>-21.51962031999998</v>
      </c>
      <c r="Q34" s="35"/>
    </row>
    <row r="35" spans="1:17" x14ac:dyDescent="0.55000000000000004">
      <c r="A35" s="31" t="s">
        <v>257</v>
      </c>
      <c r="B35" s="32" t="s">
        <v>49</v>
      </c>
      <c r="C35" s="32" t="s">
        <v>29</v>
      </c>
      <c r="D35" s="32" t="s">
        <v>44</v>
      </c>
      <c r="E35" s="32" t="s">
        <v>227</v>
      </c>
      <c r="F35" s="33">
        <v>-12.324176</v>
      </c>
      <c r="G35" s="34">
        <f>$F$35*'Risk Report'!$E$31</f>
        <v>-33.521758719999987</v>
      </c>
      <c r="H35" s="34">
        <f>$F$35*'Risk Report'!$E$32</f>
        <v>-40.669780799999963</v>
      </c>
      <c r="I35" s="34">
        <f>$F$35*'Risk Report'!$E$33</f>
        <v>8.996648479999962</v>
      </c>
      <c r="J35" s="34">
        <f>$F$35*'Risk Report'!$E$34</f>
        <v>-1.6021428800000315</v>
      </c>
      <c r="K35" s="34">
        <f>$F$35*'Risk Report'!$E$35</f>
        <v>13.679835359999993</v>
      </c>
      <c r="L35" s="34">
        <f>$F$35*'Risk Report'!$E$36</f>
        <v>13.433351840000041</v>
      </c>
      <c r="M35" s="34">
        <f>$F$35*'Risk Report'!$E$37</f>
        <v>24.15538496000001</v>
      </c>
      <c r="N35" s="34">
        <f>$F$35*'Risk Report'!$E$38</f>
        <v>-11.091758399999982</v>
      </c>
      <c r="O35" s="34">
        <f>$F$35*'Risk Report'!$E$39</f>
        <v>4.9296703999999822</v>
      </c>
      <c r="P35" s="34">
        <f t="shared" si="0"/>
        <v>-21.690549759999975</v>
      </c>
      <c r="Q35" s="35"/>
    </row>
    <row r="36" spans="1:17" x14ac:dyDescent="0.55000000000000004">
      <c r="A36" s="31" t="s">
        <v>258</v>
      </c>
      <c r="B36" s="32" t="s">
        <v>42</v>
      </c>
      <c r="C36" s="32" t="s">
        <v>29</v>
      </c>
      <c r="D36" s="32" t="s">
        <v>30</v>
      </c>
      <c r="E36" s="32" t="s">
        <v>225</v>
      </c>
      <c r="F36" s="33">
        <v>-12.234235999999999</v>
      </c>
      <c r="G36" s="34">
        <f>$F$36*'Risk Report'!$B$31</f>
        <v>-21.409913</v>
      </c>
      <c r="H36" s="34">
        <f>$F$36*'Risk Report'!$B$32</f>
        <v>-24.468471999999998</v>
      </c>
      <c r="I36" s="34">
        <f>$F$36*'Risk Report'!$B$33</f>
        <v>6.1171179999999996</v>
      </c>
      <c r="J36" s="34">
        <f>$F$36*'Risk Report'!$B$34</f>
        <v>7.9522533999999823</v>
      </c>
      <c r="K36" s="34">
        <f>$F$36*'Risk Report'!$B$35</f>
        <v>29.973878200000033</v>
      </c>
      <c r="L36" s="34">
        <f>$F$36*'Risk Report'!$B$36</f>
        <v>5.5054061999999471</v>
      </c>
      <c r="M36" s="34">
        <f>$F$36*'Risk Report'!$B$37</f>
        <v>14.069371400000069</v>
      </c>
      <c r="N36" s="34">
        <f>$F$36*'Risk Report'!$B$38</f>
        <v>9.7873887999999649</v>
      </c>
      <c r="O36" s="34">
        <f>$F$36*'Risk Report'!$B$39</f>
        <v>-3.0585589999999998</v>
      </c>
      <c r="P36" s="34">
        <f t="shared" si="0"/>
        <v>24.468472000000002</v>
      </c>
      <c r="Q36" s="35"/>
    </row>
    <row r="37" spans="1:17" x14ac:dyDescent="0.55000000000000004">
      <c r="A37" s="31" t="s">
        <v>259</v>
      </c>
      <c r="B37" s="32" t="s">
        <v>49</v>
      </c>
      <c r="C37" s="32" t="s">
        <v>29</v>
      </c>
      <c r="D37" s="32" t="s">
        <v>30</v>
      </c>
      <c r="E37" s="32" t="s">
        <v>225</v>
      </c>
      <c r="F37" s="33">
        <v>-11.956849</v>
      </c>
      <c r="G37" s="34">
        <f>$F$37*'Risk Report'!$B$31</f>
        <v>-20.924485749999999</v>
      </c>
      <c r="H37" s="34">
        <f>$F$37*'Risk Report'!$B$32</f>
        <v>-23.913698</v>
      </c>
      <c r="I37" s="34">
        <f>$F$37*'Risk Report'!$B$33</f>
        <v>5.9784245</v>
      </c>
      <c r="J37" s="34">
        <f>$F$37*'Risk Report'!$B$34</f>
        <v>7.7719518499999829</v>
      </c>
      <c r="K37" s="34">
        <f>$F$37*'Risk Report'!$B$35</f>
        <v>29.294280050000033</v>
      </c>
      <c r="L37" s="34">
        <f>$F$37*'Risk Report'!$B$36</f>
        <v>5.3805820499999495</v>
      </c>
      <c r="M37" s="34">
        <f>$F$37*'Risk Report'!$B$37</f>
        <v>13.750376350000067</v>
      </c>
      <c r="N37" s="34">
        <f>$F$37*'Risk Report'!$B$38</f>
        <v>9.5654791999999667</v>
      </c>
      <c r="O37" s="34">
        <f>$F$37*'Risk Report'!$B$39</f>
        <v>-2.98921225</v>
      </c>
      <c r="P37" s="34">
        <f t="shared" si="0"/>
        <v>23.913698</v>
      </c>
      <c r="Q37" s="35"/>
    </row>
    <row r="38" spans="1:17" x14ac:dyDescent="0.55000000000000004">
      <c r="A38" s="31" t="s">
        <v>260</v>
      </c>
      <c r="B38" s="32" t="s">
        <v>38</v>
      </c>
      <c r="C38" s="32" t="s">
        <v>29</v>
      </c>
      <c r="D38" s="32" t="s">
        <v>30</v>
      </c>
      <c r="E38" s="32" t="s">
        <v>225</v>
      </c>
      <c r="F38" s="33">
        <v>-11.558622</v>
      </c>
      <c r="G38" s="34">
        <f>$F$38*'Risk Report'!$B$31</f>
        <v>-20.2275885</v>
      </c>
      <c r="H38" s="34">
        <f>$F$38*'Risk Report'!$B$32</f>
        <v>-23.117243999999999</v>
      </c>
      <c r="I38" s="34">
        <f>$F$38*'Risk Report'!$B$33</f>
        <v>5.7793109999999999</v>
      </c>
      <c r="J38" s="34">
        <f>$F$38*'Risk Report'!$B$34</f>
        <v>7.5131042999999833</v>
      </c>
      <c r="K38" s="34">
        <f>$F$38*'Risk Report'!$B$35</f>
        <v>28.318623900000031</v>
      </c>
      <c r="L38" s="34">
        <f>$F$38*'Risk Report'!$B$36</f>
        <v>5.2013798999999503</v>
      </c>
      <c r="M38" s="34">
        <f>$F$38*'Risk Report'!$B$37</f>
        <v>13.292415300000066</v>
      </c>
      <c r="N38" s="34">
        <f>$F$38*'Risk Report'!$B$38</f>
        <v>9.2468975999999667</v>
      </c>
      <c r="O38" s="34">
        <f>$F$38*'Risk Report'!$B$39</f>
        <v>-2.8896554999999999</v>
      </c>
      <c r="P38" s="34">
        <f t="shared" ref="P38:P54" si="1">SUM(G38:O38)</f>
        <v>23.117244000000003</v>
      </c>
      <c r="Q38" s="35"/>
    </row>
    <row r="39" spans="1:17" x14ac:dyDescent="0.55000000000000004">
      <c r="A39" s="31" t="s">
        <v>261</v>
      </c>
      <c r="B39" s="32" t="s">
        <v>24</v>
      </c>
      <c r="C39" s="32" t="s">
        <v>29</v>
      </c>
      <c r="D39" s="32" t="s">
        <v>30</v>
      </c>
      <c r="E39" s="32" t="s">
        <v>225</v>
      </c>
      <c r="F39" s="33">
        <v>-11.353452000000001</v>
      </c>
      <c r="G39" s="34">
        <f>$F$39*'Risk Report'!$B$31</f>
        <v>-19.868541</v>
      </c>
      <c r="H39" s="34">
        <f>$F$39*'Risk Report'!$B$32</f>
        <v>-22.706904000000002</v>
      </c>
      <c r="I39" s="34">
        <f>$F$39*'Risk Report'!$B$33</f>
        <v>5.6767260000000004</v>
      </c>
      <c r="J39" s="34">
        <f>$F$39*'Risk Report'!$B$34</f>
        <v>7.379743799999984</v>
      </c>
      <c r="K39" s="34">
        <f>$F$39*'Risk Report'!$B$35</f>
        <v>27.815957400000034</v>
      </c>
      <c r="L39" s="34">
        <f>$F$39*'Risk Report'!$B$36</f>
        <v>5.1090533999999517</v>
      </c>
      <c r="M39" s="34">
        <f>$F$39*'Risk Report'!$B$37</f>
        <v>13.056469800000066</v>
      </c>
      <c r="N39" s="34">
        <f>$F$39*'Risk Report'!$B$38</f>
        <v>9.0827615999999676</v>
      </c>
      <c r="O39" s="34">
        <f>$F$39*'Risk Report'!$B$39</f>
        <v>-2.8383630000000002</v>
      </c>
      <c r="P39" s="34">
        <f t="shared" si="1"/>
        <v>22.706904000000002</v>
      </c>
      <c r="Q39" s="35"/>
    </row>
    <row r="40" spans="1:17" x14ac:dyDescent="0.55000000000000004">
      <c r="A40" s="31" t="s">
        <v>262</v>
      </c>
      <c r="B40" s="32" t="s">
        <v>24</v>
      </c>
      <c r="C40" s="32" t="s">
        <v>29</v>
      </c>
      <c r="D40" s="32" t="s">
        <v>30</v>
      </c>
      <c r="E40" s="32" t="s">
        <v>225</v>
      </c>
      <c r="F40" s="33">
        <v>-11.140293</v>
      </c>
      <c r="G40" s="34">
        <f>$F$40*'Risk Report'!$B$31</f>
        <v>-19.49551275</v>
      </c>
      <c r="H40" s="34">
        <f>$F$40*'Risk Report'!$B$32</f>
        <v>-22.280586</v>
      </c>
      <c r="I40" s="34">
        <f>$F$40*'Risk Report'!$B$33</f>
        <v>5.5701464999999999</v>
      </c>
      <c r="J40" s="34">
        <f>$F$40*'Risk Report'!$B$34</f>
        <v>7.2411904499999844</v>
      </c>
      <c r="K40" s="34">
        <f>$F$40*'Risk Report'!$B$35</f>
        <v>27.293717850000032</v>
      </c>
      <c r="L40" s="34">
        <f>$F$40*'Risk Report'!$B$36</f>
        <v>5.0131318499999526</v>
      </c>
      <c r="M40" s="34">
        <f>$F$40*'Risk Report'!$B$37</f>
        <v>12.811336950000063</v>
      </c>
      <c r="N40" s="34">
        <f>$F$40*'Risk Report'!$B$38</f>
        <v>8.9122343999999689</v>
      </c>
      <c r="O40" s="34">
        <f>$F$40*'Risk Report'!$B$39</f>
        <v>-2.7850732499999999</v>
      </c>
      <c r="P40" s="34">
        <f t="shared" si="1"/>
        <v>22.280585999999996</v>
      </c>
      <c r="Q40" s="35"/>
    </row>
    <row r="41" spans="1:17" x14ac:dyDescent="0.55000000000000004">
      <c r="A41" s="31" t="s">
        <v>263</v>
      </c>
      <c r="B41" s="32" t="s">
        <v>24</v>
      </c>
      <c r="C41" s="32" t="s">
        <v>29</v>
      </c>
      <c r="D41" s="32" t="s">
        <v>30</v>
      </c>
      <c r="E41" s="32" t="s">
        <v>225</v>
      </c>
      <c r="F41" s="33">
        <v>-10.916781</v>
      </c>
      <c r="G41" s="34">
        <f>$F$41*'Risk Report'!$B$31</f>
        <v>-19.104366750000001</v>
      </c>
      <c r="H41" s="34">
        <f>$F$41*'Risk Report'!$B$32</f>
        <v>-21.833562000000001</v>
      </c>
      <c r="I41" s="34">
        <f>$F$41*'Risk Report'!$B$33</f>
        <v>5.4583905000000001</v>
      </c>
      <c r="J41" s="34">
        <f>$F$41*'Risk Report'!$B$34</f>
        <v>7.0959076499999849</v>
      </c>
      <c r="K41" s="34">
        <f>$F$41*'Risk Report'!$B$35</f>
        <v>26.746113450000031</v>
      </c>
      <c r="L41" s="34">
        <f>$F$41*'Risk Report'!$B$36</f>
        <v>4.9125514499999534</v>
      </c>
      <c r="M41" s="34">
        <f>$F$41*'Risk Report'!$B$37</f>
        <v>12.554298150000063</v>
      </c>
      <c r="N41" s="34">
        <f>$F$41*'Risk Report'!$B$38</f>
        <v>8.7334247999999697</v>
      </c>
      <c r="O41" s="34">
        <f>$F$41*'Risk Report'!$B$39</f>
        <v>-2.7291952500000001</v>
      </c>
      <c r="P41" s="34">
        <f t="shared" si="1"/>
        <v>21.833562000000008</v>
      </c>
      <c r="Q41" s="35"/>
    </row>
    <row r="42" spans="1:17" x14ac:dyDescent="0.55000000000000004">
      <c r="A42" s="31" t="s">
        <v>84</v>
      </c>
      <c r="B42" s="32" t="s">
        <v>56</v>
      </c>
      <c r="C42" s="32" t="s">
        <v>29</v>
      </c>
      <c r="D42" s="32" t="s">
        <v>44</v>
      </c>
      <c r="E42" s="32" t="s">
        <v>227</v>
      </c>
      <c r="F42" s="33">
        <v>-10.852645000000001</v>
      </c>
      <c r="G42" s="34">
        <f>$F$42*'Risk Report'!$E$31</f>
        <v>-29.519194399999989</v>
      </c>
      <c r="H42" s="34">
        <f>$F$42*'Risk Report'!$E$32</f>
        <v>-35.813728499999975</v>
      </c>
      <c r="I42" s="34">
        <f>$F$42*'Risk Report'!$E$33</f>
        <v>7.9224308499999667</v>
      </c>
      <c r="J42" s="34">
        <f>$F$42*'Risk Report'!$E$34</f>
        <v>-1.4108438500000278</v>
      </c>
      <c r="K42" s="34">
        <f>$F$42*'Risk Report'!$E$35</f>
        <v>12.046435949999994</v>
      </c>
      <c r="L42" s="34">
        <f>$F$42*'Risk Report'!$E$36</f>
        <v>11.829383050000038</v>
      </c>
      <c r="M42" s="34">
        <f>$F$42*'Risk Report'!$E$37</f>
        <v>21.271184200000011</v>
      </c>
      <c r="N42" s="34">
        <f>$F$42*'Risk Report'!$E$38</f>
        <v>-9.7673804999999856</v>
      </c>
      <c r="O42" s="34">
        <f>$F$42*'Risk Report'!$E$39</f>
        <v>4.3410579999999852</v>
      </c>
      <c r="P42" s="34">
        <f t="shared" si="1"/>
        <v>-19.100655199999981</v>
      </c>
      <c r="Q42" s="35"/>
    </row>
    <row r="43" spans="1:17" x14ac:dyDescent="0.55000000000000004">
      <c r="A43" s="31" t="s">
        <v>264</v>
      </c>
      <c r="B43" s="32" t="s">
        <v>42</v>
      </c>
      <c r="C43" s="32" t="s">
        <v>29</v>
      </c>
      <c r="D43" s="32" t="s">
        <v>44</v>
      </c>
      <c r="E43" s="32" t="s">
        <v>227</v>
      </c>
      <c r="F43" s="33">
        <v>-10.676226</v>
      </c>
      <c r="G43" s="34">
        <f>$F$43*'Risk Report'!$E$31</f>
        <v>-29.039334719999989</v>
      </c>
      <c r="H43" s="34">
        <f>$F$43*'Risk Report'!$E$32</f>
        <v>-35.231545799999971</v>
      </c>
      <c r="I43" s="34">
        <f>$F$43*'Risk Report'!$E$33</f>
        <v>7.7936449799999661</v>
      </c>
      <c r="J43" s="34">
        <f>$F$43*'Risk Report'!$E$34</f>
        <v>-1.3879093800000273</v>
      </c>
      <c r="K43" s="34">
        <f>$F$43*'Risk Report'!$E$35</f>
        <v>11.850610859999994</v>
      </c>
      <c r="L43" s="34">
        <f>$F$43*'Risk Report'!$E$36</f>
        <v>11.637086340000035</v>
      </c>
      <c r="M43" s="34">
        <f>$F$43*'Risk Report'!$E$37</f>
        <v>20.92540296000001</v>
      </c>
      <c r="N43" s="34">
        <f>$F$43*'Risk Report'!$E$38</f>
        <v>-9.6086033999999838</v>
      </c>
      <c r="O43" s="34">
        <f>$F$43*'Risk Report'!$E$39</f>
        <v>4.2704903999999848</v>
      </c>
      <c r="P43" s="34">
        <f t="shared" si="1"/>
        <v>-18.790157759999978</v>
      </c>
      <c r="Q43" s="35"/>
    </row>
    <row r="44" spans="1:17" x14ac:dyDescent="0.55000000000000004">
      <c r="A44" s="31" t="s">
        <v>265</v>
      </c>
      <c r="B44" s="32" t="s">
        <v>49</v>
      </c>
      <c r="C44" s="32" t="s">
        <v>29</v>
      </c>
      <c r="D44" s="32" t="s">
        <v>44</v>
      </c>
      <c r="E44" s="32" t="s">
        <v>227</v>
      </c>
      <c r="F44" s="33">
        <v>-10.437324</v>
      </c>
      <c r="G44" s="34">
        <f>$F$44*'Risk Report'!$E$31</f>
        <v>-28.38952127999999</v>
      </c>
      <c r="H44" s="34">
        <f>$F$44*'Risk Report'!$E$32</f>
        <v>-34.443169199999971</v>
      </c>
      <c r="I44" s="34">
        <f>$F$44*'Risk Report'!$E$33</f>
        <v>7.6192465199999679</v>
      </c>
      <c r="J44" s="34">
        <f>$F$44*'Risk Report'!$E$34</f>
        <v>-1.3568521200000268</v>
      </c>
      <c r="K44" s="34">
        <f>$F$44*'Risk Report'!$E$35</f>
        <v>11.585429639999994</v>
      </c>
      <c r="L44" s="34">
        <f>$F$44*'Risk Report'!$E$36</f>
        <v>11.376683160000036</v>
      </c>
      <c r="M44" s="34">
        <f>$F$44*'Risk Report'!$E$37</f>
        <v>20.457155040000011</v>
      </c>
      <c r="N44" s="34">
        <f>$F$44*'Risk Report'!$E$38</f>
        <v>-9.3935915999999846</v>
      </c>
      <c r="O44" s="34">
        <f>$F$44*'Risk Report'!$E$39</f>
        <v>4.1749295999999854</v>
      </c>
      <c r="P44" s="34">
        <f t="shared" si="1"/>
        <v>-18.369690239999983</v>
      </c>
      <c r="Q44" s="35"/>
    </row>
    <row r="45" spans="1:17" x14ac:dyDescent="0.55000000000000004">
      <c r="A45" s="31" t="s">
        <v>266</v>
      </c>
      <c r="B45" s="32" t="s">
        <v>42</v>
      </c>
      <c r="C45" s="32" t="s">
        <v>29</v>
      </c>
      <c r="D45" s="32" t="s">
        <v>30</v>
      </c>
      <c r="E45" s="32" t="s">
        <v>225</v>
      </c>
      <c r="F45" s="33">
        <v>-10.417903000000001</v>
      </c>
      <c r="G45" s="34">
        <f>$F$45*'Risk Report'!$B$31</f>
        <v>-18.231330250000003</v>
      </c>
      <c r="H45" s="34">
        <f>$F$45*'Risk Report'!$B$32</f>
        <v>-20.835806000000002</v>
      </c>
      <c r="I45" s="34">
        <f>$F$45*'Risk Report'!$B$33</f>
        <v>5.2089515000000004</v>
      </c>
      <c r="J45" s="34">
        <f>$F$45*'Risk Report'!$B$34</f>
        <v>6.7716369499999853</v>
      </c>
      <c r="K45" s="34">
        <f>$F$45*'Risk Report'!$B$35</f>
        <v>25.52386235000003</v>
      </c>
      <c r="L45" s="34">
        <f>$F$45*'Risk Report'!$B$36</f>
        <v>4.6880563499999557</v>
      </c>
      <c r="M45" s="34">
        <f>$F$45*'Risk Report'!$B$37</f>
        <v>11.980588450000059</v>
      </c>
      <c r="N45" s="34">
        <f>$F$45*'Risk Report'!$B$38</f>
        <v>8.3343223999999712</v>
      </c>
      <c r="O45" s="34">
        <f>$F$45*'Risk Report'!$B$39</f>
        <v>-2.6044757500000002</v>
      </c>
      <c r="P45" s="34">
        <f t="shared" si="1"/>
        <v>20.835805999999998</v>
      </c>
      <c r="Q45" s="35"/>
    </row>
    <row r="46" spans="1:17" x14ac:dyDescent="0.55000000000000004">
      <c r="A46" s="31" t="s">
        <v>267</v>
      </c>
      <c r="B46" s="32" t="s">
        <v>24</v>
      </c>
      <c r="C46" s="32" t="s">
        <v>29</v>
      </c>
      <c r="D46" s="32" t="s">
        <v>30</v>
      </c>
      <c r="E46" s="32" t="s">
        <v>225</v>
      </c>
      <c r="F46" s="33">
        <v>-10.261774000000001</v>
      </c>
      <c r="G46" s="34">
        <f>$F$46*'Risk Report'!$B$31</f>
        <v>-17.958104500000001</v>
      </c>
      <c r="H46" s="34">
        <f>$F$46*'Risk Report'!$B$32</f>
        <v>-20.523548000000002</v>
      </c>
      <c r="I46" s="34">
        <f>$F$46*'Risk Report'!$B$33</f>
        <v>5.1308870000000004</v>
      </c>
      <c r="J46" s="34">
        <f>$F$46*'Risk Report'!$B$34</f>
        <v>6.6701530999999861</v>
      </c>
      <c r="K46" s="34">
        <f>$F$46*'Risk Report'!$B$35</f>
        <v>25.141346300000031</v>
      </c>
      <c r="L46" s="34">
        <f>$F$46*'Risk Report'!$B$36</f>
        <v>4.6177982999999569</v>
      </c>
      <c r="M46" s="34">
        <f>$F$46*'Risk Report'!$B$37</f>
        <v>11.801040100000058</v>
      </c>
      <c r="N46" s="34">
        <f>$F$46*'Risk Report'!$B$38</f>
        <v>8.2094191999999708</v>
      </c>
      <c r="O46" s="34">
        <f>$F$46*'Risk Report'!$B$39</f>
        <v>-2.5654435000000002</v>
      </c>
      <c r="P46" s="34">
        <f t="shared" si="1"/>
        <v>20.523548000000002</v>
      </c>
      <c r="Q46" s="35"/>
    </row>
    <row r="47" spans="1:17" x14ac:dyDescent="0.55000000000000004">
      <c r="A47" s="31" t="s">
        <v>268</v>
      </c>
      <c r="B47" s="32" t="s">
        <v>38</v>
      </c>
      <c r="C47" s="32" t="s">
        <v>29</v>
      </c>
      <c r="D47" s="32" t="s">
        <v>44</v>
      </c>
      <c r="E47" s="32" t="s">
        <v>227</v>
      </c>
      <c r="F47" s="33">
        <v>-10.182200999999999</v>
      </c>
      <c r="G47" s="34">
        <f>$F$47*'Risk Report'!$E$31</f>
        <v>-27.695586719999987</v>
      </c>
      <c r="H47" s="34">
        <f>$F$47*'Risk Report'!$E$32</f>
        <v>-33.601263299999971</v>
      </c>
      <c r="I47" s="34">
        <f>$F$47*'Risk Report'!$E$33</f>
        <v>7.4330067299999678</v>
      </c>
      <c r="J47" s="34">
        <f>$F$47*'Risk Report'!$E$34</f>
        <v>-1.323686130000026</v>
      </c>
      <c r="K47" s="34">
        <f>$F$47*'Risk Report'!$E$35</f>
        <v>11.302243109999994</v>
      </c>
      <c r="L47" s="34">
        <f>$F$47*'Risk Report'!$E$36</f>
        <v>11.098599090000034</v>
      </c>
      <c r="M47" s="34">
        <f>$F$47*'Risk Report'!$E$37</f>
        <v>19.957113960000008</v>
      </c>
      <c r="N47" s="34">
        <f>$F$47*'Risk Report'!$E$38</f>
        <v>-9.1639808999999843</v>
      </c>
      <c r="O47" s="34">
        <f>$F$47*'Risk Report'!$E$39</f>
        <v>4.0728803999999856</v>
      </c>
      <c r="P47" s="34">
        <f t="shared" si="1"/>
        <v>-17.920673759999982</v>
      </c>
      <c r="Q47" s="35"/>
    </row>
    <row r="48" spans="1:17" x14ac:dyDescent="0.55000000000000004">
      <c r="A48" s="31" t="s">
        <v>269</v>
      </c>
      <c r="B48" s="32" t="s">
        <v>49</v>
      </c>
      <c r="C48" s="32" t="s">
        <v>29</v>
      </c>
      <c r="D48" s="32" t="s">
        <v>30</v>
      </c>
      <c r="E48" s="32" t="s">
        <v>225</v>
      </c>
      <c r="F48" s="33">
        <v>-10.099816000000001</v>
      </c>
      <c r="G48" s="34">
        <f>$F$48*'Risk Report'!$B$31</f>
        <v>-17.674678</v>
      </c>
      <c r="H48" s="34">
        <f>$F$48*'Risk Report'!$B$32</f>
        <v>-20.199632000000001</v>
      </c>
      <c r="I48" s="34">
        <f>$F$48*'Risk Report'!$B$33</f>
        <v>5.0499080000000003</v>
      </c>
      <c r="J48" s="34">
        <f>$F$48*'Risk Report'!$B$34</f>
        <v>6.5648803999999856</v>
      </c>
      <c r="K48" s="34">
        <f>$F$48*'Risk Report'!$B$35</f>
        <v>24.74454920000003</v>
      </c>
      <c r="L48" s="34">
        <f>$F$48*'Risk Report'!$B$36</f>
        <v>4.5449171999999569</v>
      </c>
      <c r="M48" s="34">
        <f>$F$48*'Risk Report'!$B$37</f>
        <v>11.614788400000059</v>
      </c>
      <c r="N48" s="34">
        <f>$F$48*'Risk Report'!$B$38</f>
        <v>8.079852799999971</v>
      </c>
      <c r="O48" s="34">
        <f>$F$48*'Risk Report'!$B$39</f>
        <v>-2.5249540000000001</v>
      </c>
      <c r="P48" s="34">
        <f t="shared" si="1"/>
        <v>20.199632000000001</v>
      </c>
      <c r="Q48" s="35"/>
    </row>
    <row r="49" spans="1:17" x14ac:dyDescent="0.55000000000000004">
      <c r="A49" s="31" t="s">
        <v>270</v>
      </c>
      <c r="B49" s="32" t="s">
        <v>42</v>
      </c>
      <c r="C49" s="32" t="s">
        <v>29</v>
      </c>
      <c r="D49" s="32" t="s">
        <v>44</v>
      </c>
      <c r="E49" s="32" t="s">
        <v>227</v>
      </c>
      <c r="F49" s="33">
        <v>-10.069551000000001</v>
      </c>
      <c r="G49" s="34">
        <f>$F$49*'Risk Report'!$E$31</f>
        <v>-27.38917871999999</v>
      </c>
      <c r="H49" s="34">
        <f>$F$49*'Risk Report'!$E$32</f>
        <v>-33.229518299999974</v>
      </c>
      <c r="I49" s="34">
        <f>$F$49*'Risk Report'!$E$33</f>
        <v>7.3507722299999694</v>
      </c>
      <c r="J49" s="34">
        <f>$F$49*'Risk Report'!$E$34</f>
        <v>-1.3090416300000258</v>
      </c>
      <c r="K49" s="34">
        <f>$F$49*'Risk Report'!$E$35</f>
        <v>11.177201609999996</v>
      </c>
      <c r="L49" s="34">
        <f>$F$49*'Risk Report'!$E$36</f>
        <v>10.975810590000036</v>
      </c>
      <c r="M49" s="34">
        <f>$F$49*'Risk Report'!$E$37</f>
        <v>19.73631996000001</v>
      </c>
      <c r="N49" s="34">
        <f>$F$49*'Risk Report'!$E$38</f>
        <v>-9.0625958999999856</v>
      </c>
      <c r="O49" s="34">
        <f>$F$49*'Risk Report'!$E$39</f>
        <v>4.0278203999999862</v>
      </c>
      <c r="P49" s="34">
        <f t="shared" si="1"/>
        <v>-17.722409759999973</v>
      </c>
      <c r="Q49" s="35"/>
    </row>
    <row r="50" spans="1:17" x14ac:dyDescent="0.55000000000000004">
      <c r="A50" s="31" t="s">
        <v>271</v>
      </c>
      <c r="B50" s="32" t="s">
        <v>42</v>
      </c>
      <c r="C50" s="32" t="s">
        <v>29</v>
      </c>
      <c r="D50" s="32" t="s">
        <v>30</v>
      </c>
      <c r="E50" s="32" t="s">
        <v>225</v>
      </c>
      <c r="F50" s="33">
        <v>-10.041492</v>
      </c>
      <c r="G50" s="34">
        <f>$F$50*'Risk Report'!$B$31</f>
        <v>-17.572610999999998</v>
      </c>
      <c r="H50" s="34">
        <f>$F$50*'Risk Report'!$B$32</f>
        <v>-20.082984</v>
      </c>
      <c r="I50" s="34">
        <f>$F$50*'Risk Report'!$B$33</f>
        <v>5.0207459999999999</v>
      </c>
      <c r="J50" s="34">
        <f>$F$50*'Risk Report'!$B$34</f>
        <v>6.5269697999999856</v>
      </c>
      <c r="K50" s="34">
        <f>$F$50*'Risk Report'!$B$35</f>
        <v>24.601655400000027</v>
      </c>
      <c r="L50" s="34">
        <f>$F$50*'Risk Report'!$B$36</f>
        <v>4.518671399999957</v>
      </c>
      <c r="M50" s="34">
        <f>$F$50*'Risk Report'!$B$37</f>
        <v>11.547715800000057</v>
      </c>
      <c r="N50" s="34">
        <f>$F$50*'Risk Report'!$B$38</f>
        <v>8.0331935999999722</v>
      </c>
      <c r="O50" s="34">
        <f>$F$50*'Risk Report'!$B$39</f>
        <v>-2.510373</v>
      </c>
      <c r="P50" s="34">
        <f t="shared" si="1"/>
        <v>20.082984000000003</v>
      </c>
      <c r="Q50" s="35"/>
    </row>
    <row r="51" spans="1:17" x14ac:dyDescent="0.55000000000000004">
      <c r="A51" s="31" t="s">
        <v>272</v>
      </c>
      <c r="B51" s="32" t="s">
        <v>42</v>
      </c>
      <c r="C51" s="32" t="s">
        <v>51</v>
      </c>
      <c r="D51" s="32" t="s">
        <v>30</v>
      </c>
      <c r="E51" s="32" t="s">
        <v>228</v>
      </c>
      <c r="F51" s="33">
        <v>-9.8650110000000009</v>
      </c>
      <c r="G51" s="34">
        <f>$F$51*'Risk Report'!$C$31</f>
        <v>-73.987582500000002</v>
      </c>
      <c r="H51" s="34">
        <f>$F$51*'Risk Report'!$C$32</f>
        <v>-103.5826155</v>
      </c>
      <c r="I51" s="34">
        <f>$F$51*'Risk Report'!$C$33</f>
        <v>-9.8650110000000009</v>
      </c>
      <c r="J51" s="34">
        <f>$F$51*'Risk Report'!$C$34</f>
        <v>49.325055000000006</v>
      </c>
      <c r="K51" s="34">
        <f>$F$51*'Risk Report'!$C$35</f>
        <v>118.380132</v>
      </c>
      <c r="L51" s="34">
        <f>$F$51*'Risk Report'!$C$36</f>
        <v>0</v>
      </c>
      <c r="M51" s="34">
        <f>$F$51*'Risk Report'!$C$37</f>
        <v>54.257560500000004</v>
      </c>
      <c r="N51" s="34">
        <f>$F$51*'Risk Report'!$C$38</f>
        <v>29.595033000000001</v>
      </c>
      <c r="O51" s="34">
        <f>$F$51*'Risk Report'!$C$39</f>
        <v>-24.662527500000003</v>
      </c>
      <c r="P51" s="34">
        <f t="shared" si="1"/>
        <v>39.460043999999989</v>
      </c>
      <c r="Q51" s="35"/>
    </row>
    <row r="52" spans="1:17" x14ac:dyDescent="0.55000000000000004">
      <c r="A52" s="31" t="s">
        <v>273</v>
      </c>
      <c r="B52" s="32" t="s">
        <v>42</v>
      </c>
      <c r="C52" s="32" t="s">
        <v>51</v>
      </c>
      <c r="D52" s="32" t="s">
        <v>30</v>
      </c>
      <c r="E52" s="32" t="s">
        <v>228</v>
      </c>
      <c r="F52" s="33">
        <v>-9.6715789999999995</v>
      </c>
      <c r="G52" s="34">
        <f>$F$52*'Risk Report'!$C$31</f>
        <v>-72.536842499999992</v>
      </c>
      <c r="H52" s="34">
        <f>$F$52*'Risk Report'!$C$32</f>
        <v>-101.55157949999999</v>
      </c>
      <c r="I52" s="34">
        <f>$F$52*'Risk Report'!$C$33</f>
        <v>-9.6715789999999995</v>
      </c>
      <c r="J52" s="34">
        <f>$F$52*'Risk Report'!$C$34</f>
        <v>48.357894999999999</v>
      </c>
      <c r="K52" s="34">
        <f>$F$52*'Risk Report'!$C$35</f>
        <v>116.05894799999999</v>
      </c>
      <c r="L52" s="34">
        <f>$F$52*'Risk Report'!$C$36</f>
        <v>0</v>
      </c>
      <c r="M52" s="34">
        <f>$F$52*'Risk Report'!$C$37</f>
        <v>53.193684499999996</v>
      </c>
      <c r="N52" s="34">
        <f>$F$52*'Risk Report'!$C$38</f>
        <v>29.014736999999997</v>
      </c>
      <c r="O52" s="34">
        <f>$F$52*'Risk Report'!$C$39</f>
        <v>-24.1789475</v>
      </c>
      <c r="P52" s="34">
        <f t="shared" si="1"/>
        <v>38.686315999999977</v>
      </c>
      <c r="Q52" s="35"/>
    </row>
    <row r="53" spans="1:17" x14ac:dyDescent="0.55000000000000004">
      <c r="A53" s="31" t="s">
        <v>274</v>
      </c>
      <c r="B53" s="32" t="s">
        <v>42</v>
      </c>
      <c r="C53" s="32" t="s">
        <v>29</v>
      </c>
      <c r="D53" s="32" t="s">
        <v>30</v>
      </c>
      <c r="E53" s="32" t="s">
        <v>225</v>
      </c>
      <c r="F53" s="33">
        <v>-9.6419239999999995</v>
      </c>
      <c r="G53" s="34">
        <f>$F$53*'Risk Report'!$B$31</f>
        <v>-16.873366999999998</v>
      </c>
      <c r="H53" s="34">
        <f>$F$53*'Risk Report'!$B$32</f>
        <v>-19.283847999999999</v>
      </c>
      <c r="I53" s="34">
        <f>$F$53*'Risk Report'!$B$33</f>
        <v>4.8209619999999997</v>
      </c>
      <c r="J53" s="34">
        <f>$F$53*'Risk Report'!$B$34</f>
        <v>6.2672505999999863</v>
      </c>
      <c r="K53" s="34">
        <f>$F$53*'Risk Report'!$B$35</f>
        <v>23.622713800000025</v>
      </c>
      <c r="L53" s="34">
        <f>$F$53*'Risk Report'!$B$36</f>
        <v>4.3388657999999589</v>
      </c>
      <c r="M53" s="34">
        <f>$F$53*'Risk Report'!$B$37</f>
        <v>11.088212600000054</v>
      </c>
      <c r="N53" s="34">
        <f>$F$53*'Risk Report'!$B$38</f>
        <v>7.7135391999999721</v>
      </c>
      <c r="O53" s="34">
        <f>$F$53*'Risk Report'!$B$39</f>
        <v>-2.4104809999999999</v>
      </c>
      <c r="P53" s="34">
        <f t="shared" si="1"/>
        <v>19.283848000000003</v>
      </c>
      <c r="Q53" s="35"/>
    </row>
    <row r="54" spans="1:17" x14ac:dyDescent="0.55000000000000004">
      <c r="A54" s="31" t="s">
        <v>275</v>
      </c>
      <c r="B54" s="32" t="s">
        <v>24</v>
      </c>
      <c r="C54" s="32" t="s">
        <v>29</v>
      </c>
      <c r="D54" s="32" t="s">
        <v>30</v>
      </c>
      <c r="E54" s="32" t="s">
        <v>225</v>
      </c>
      <c r="F54" s="33">
        <v>-9.5488219999999995</v>
      </c>
      <c r="G54" s="34">
        <f>$F$54*'Risk Report'!$B$31</f>
        <v>-16.710438499999999</v>
      </c>
      <c r="H54" s="34">
        <f>$F$54*'Risk Report'!$B$32</f>
        <v>-19.097643999999999</v>
      </c>
      <c r="I54" s="34">
        <f>$F$54*'Risk Report'!$B$33</f>
        <v>4.7744109999999997</v>
      </c>
      <c r="J54" s="34">
        <f>$F$54*'Risk Report'!$B$34</f>
        <v>6.2067342999999857</v>
      </c>
      <c r="K54" s="34">
        <f>$F$54*'Risk Report'!$B$35</f>
        <v>23.394613900000024</v>
      </c>
      <c r="L54" s="34">
        <f>$F$54*'Risk Report'!$B$36</f>
        <v>4.2969698999999588</v>
      </c>
      <c r="M54" s="34">
        <f>$F$54*'Risk Report'!$B$37</f>
        <v>10.981145300000053</v>
      </c>
      <c r="N54" s="34">
        <f>$F$54*'Risk Report'!$B$38</f>
        <v>7.6390575999999726</v>
      </c>
      <c r="O54" s="34">
        <f>$F$54*'Risk Report'!$B$39</f>
        <v>-2.3872054999999999</v>
      </c>
      <c r="P54" s="34">
        <f t="shared" si="1"/>
        <v>19.097643999999999</v>
      </c>
      <c r="Q54" s="35"/>
    </row>
    <row r="55" spans="1:17" x14ac:dyDescent="0.55000000000000004">
      <c r="A55" s="36" t="s">
        <v>230</v>
      </c>
      <c r="B55" s="36"/>
      <c r="C55" s="36"/>
      <c r="D55" s="36"/>
      <c r="E55" s="36"/>
      <c r="F55" s="37"/>
      <c r="G55" s="37">
        <f t="shared" ref="G55:P55" si="2">SUM(G6:G54)</f>
        <v>-3785.5510767750002</v>
      </c>
      <c r="H55" s="37">
        <f t="shared" si="2"/>
        <v>-4710.2952447499956</v>
      </c>
      <c r="I55" s="37">
        <f t="shared" si="2"/>
        <v>519.4894647499973</v>
      </c>
      <c r="J55" s="37">
        <f t="shared" si="2"/>
        <v>1225.7503843999978</v>
      </c>
      <c r="K55" s="37">
        <f t="shared" si="2"/>
        <v>3928.5709290000027</v>
      </c>
      <c r="L55" s="37">
        <f t="shared" si="2"/>
        <v>748.52715779999539</v>
      </c>
      <c r="M55" s="37">
        <f t="shared" si="2"/>
        <v>2678.8965995500039</v>
      </c>
      <c r="N55" s="37">
        <f t="shared" si="2"/>
        <v>371.55283034999889</v>
      </c>
      <c r="O55" s="37">
        <f t="shared" si="2"/>
        <v>-201.59200845000075</v>
      </c>
      <c r="P55" s="37">
        <f t="shared" si="2"/>
        <v>775.34903587499957</v>
      </c>
      <c r="Q55" s="38"/>
    </row>
    <row r="57" spans="1:17" ht="24" customHeight="1" x14ac:dyDescent="0.55000000000000004">
      <c r="A57" s="27" t="s">
        <v>231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spans="1:17" x14ac:dyDescent="0.55000000000000004">
      <c r="A58" s="28" t="s">
        <v>218</v>
      </c>
      <c r="B58" s="28" t="s">
        <v>219</v>
      </c>
      <c r="C58" s="28" t="s">
        <v>220</v>
      </c>
      <c r="D58" s="28" t="s">
        <v>221</v>
      </c>
      <c r="E58" s="28" t="s">
        <v>222</v>
      </c>
      <c r="F58" s="28" t="s">
        <v>224</v>
      </c>
      <c r="G58" s="29">
        <v>45293</v>
      </c>
      <c r="H58" s="29">
        <v>45294</v>
      </c>
      <c r="I58" s="29">
        <v>45295</v>
      </c>
      <c r="J58" s="29">
        <v>45296</v>
      </c>
      <c r="K58" s="29">
        <v>45299</v>
      </c>
      <c r="L58" s="29">
        <v>45300</v>
      </c>
      <c r="M58" s="29">
        <v>45301</v>
      </c>
      <c r="N58" s="29">
        <v>45302</v>
      </c>
      <c r="O58" s="29">
        <v>45303</v>
      </c>
      <c r="P58" s="29">
        <v>45306</v>
      </c>
      <c r="Q58" s="28" t="s">
        <v>193</v>
      </c>
    </row>
    <row r="59" spans="1:17" x14ac:dyDescent="0.55000000000000004">
      <c r="A59" s="31" t="s">
        <v>232</v>
      </c>
      <c r="B59" s="32" t="s">
        <v>24</v>
      </c>
      <c r="C59" s="32" t="s">
        <v>29</v>
      </c>
      <c r="D59" s="32" t="s">
        <v>30</v>
      </c>
      <c r="E59" s="32" t="s">
        <v>225</v>
      </c>
      <c r="F59" s="33">
        <v>-9.5155169999999991</v>
      </c>
      <c r="G59" s="34">
        <f>$F$59*'Risk Report'!$B$31</f>
        <v>-16.652154749999998</v>
      </c>
      <c r="H59" s="34">
        <f>$F$59*'Risk Report'!$B$32</f>
        <v>-19.031033999999998</v>
      </c>
      <c r="I59" s="34">
        <f>$F$59*'Risk Report'!$B$33</f>
        <v>4.7577584999999996</v>
      </c>
      <c r="J59" s="34">
        <f>$F$59*'Risk Report'!$B$34</f>
        <v>6.1850860499999856</v>
      </c>
      <c r="K59" s="34">
        <f>$F$59*'Risk Report'!$B$35</f>
        <v>23.313016650000026</v>
      </c>
      <c r="L59" s="34">
        <f>$F$59*'Risk Report'!$B$36</f>
        <v>4.2819826499999589</v>
      </c>
      <c r="M59" s="34">
        <f>$F$59*'Risk Report'!$B$37</f>
        <v>10.942844550000054</v>
      </c>
      <c r="N59" s="34">
        <f>$F$59*'Risk Report'!$B$38</f>
        <v>7.6124135999999725</v>
      </c>
      <c r="O59" s="34">
        <f>$F$59*'Risk Report'!$B$39</f>
        <v>-2.3788792499999998</v>
      </c>
      <c r="P59" s="34">
        <f>$F$59*'Risk Report'!$B$40</f>
        <v>0</v>
      </c>
      <c r="Q59" s="34">
        <f t="shared" ref="Q59:Q90" si="3">SUM(G59:P59)</f>
        <v>19.031033999999998</v>
      </c>
    </row>
    <row r="60" spans="1:17" x14ac:dyDescent="0.55000000000000004">
      <c r="A60" s="31" t="s">
        <v>276</v>
      </c>
      <c r="B60" s="32" t="s">
        <v>38</v>
      </c>
      <c r="C60" s="32" t="s">
        <v>29</v>
      </c>
      <c r="D60" s="32" t="s">
        <v>30</v>
      </c>
      <c r="E60" s="32" t="s">
        <v>225</v>
      </c>
      <c r="F60" s="33">
        <v>-9.1700959999999991</v>
      </c>
      <c r="G60" s="34">
        <f>$F$60*'Risk Report'!$B$31</f>
        <v>-16.047667999999998</v>
      </c>
      <c r="H60" s="34">
        <f>$F$60*'Risk Report'!$B$32</f>
        <v>-18.340191999999998</v>
      </c>
      <c r="I60" s="34">
        <f>$F$60*'Risk Report'!$B$33</f>
        <v>4.5850479999999996</v>
      </c>
      <c r="J60" s="34">
        <f>$F$60*'Risk Report'!$B$34</f>
        <v>5.9605623999999864</v>
      </c>
      <c r="K60" s="34">
        <f>$F$60*'Risk Report'!$B$35</f>
        <v>22.466735200000024</v>
      </c>
      <c r="L60" s="34">
        <f>$F$60*'Risk Report'!$B$36</f>
        <v>4.1265431999999604</v>
      </c>
      <c r="M60" s="34">
        <f>$F$60*'Risk Report'!$B$37</f>
        <v>10.545610400000051</v>
      </c>
      <c r="N60" s="34">
        <f>$F$60*'Risk Report'!$B$38</f>
        <v>7.3360767999999732</v>
      </c>
      <c r="O60" s="34">
        <f>$F$60*'Risk Report'!$B$39</f>
        <v>-2.2925239999999998</v>
      </c>
      <c r="P60" s="34">
        <f>$F$60*'Risk Report'!$B$40</f>
        <v>0</v>
      </c>
      <c r="Q60" s="34">
        <f t="shared" si="3"/>
        <v>18.340191999999998</v>
      </c>
    </row>
    <row r="61" spans="1:17" x14ac:dyDescent="0.55000000000000004">
      <c r="A61" s="31" t="s">
        <v>234</v>
      </c>
      <c r="B61" s="32" t="s">
        <v>24</v>
      </c>
      <c r="C61" s="32" t="s">
        <v>29</v>
      </c>
      <c r="D61" s="32" t="s">
        <v>30</v>
      </c>
      <c r="E61" s="32" t="s">
        <v>225</v>
      </c>
      <c r="F61" s="33">
        <v>-9.1700959999999991</v>
      </c>
      <c r="G61" s="34">
        <f>$F$61*'Risk Report'!$B$31</f>
        <v>-16.047667999999998</v>
      </c>
      <c r="H61" s="34">
        <f>$F$61*'Risk Report'!$B$32</f>
        <v>-18.340191999999998</v>
      </c>
      <c r="I61" s="34">
        <f>$F$61*'Risk Report'!$B$33</f>
        <v>4.5850479999999996</v>
      </c>
      <c r="J61" s="34">
        <f>$F$61*'Risk Report'!$B$34</f>
        <v>5.9605623999999864</v>
      </c>
      <c r="K61" s="34">
        <f>$F$61*'Risk Report'!$B$35</f>
        <v>22.466735200000024</v>
      </c>
      <c r="L61" s="34">
        <f>$F$61*'Risk Report'!$B$36</f>
        <v>4.1265431999999604</v>
      </c>
      <c r="M61" s="34">
        <f>$F$61*'Risk Report'!$B$37</f>
        <v>10.545610400000051</v>
      </c>
      <c r="N61" s="34">
        <f>$F$61*'Risk Report'!$B$38</f>
        <v>7.3360767999999732</v>
      </c>
      <c r="O61" s="34">
        <f>$F$61*'Risk Report'!$B$39</f>
        <v>-2.2925239999999998</v>
      </c>
      <c r="P61" s="34">
        <f>$F$61*'Risk Report'!$B$40</f>
        <v>0</v>
      </c>
      <c r="Q61" s="34">
        <f t="shared" si="3"/>
        <v>18.340191999999998</v>
      </c>
    </row>
    <row r="62" spans="1:17" x14ac:dyDescent="0.55000000000000004">
      <c r="A62" s="31" t="s">
        <v>235</v>
      </c>
      <c r="B62" s="32" t="s">
        <v>24</v>
      </c>
      <c r="C62" s="32" t="s">
        <v>29</v>
      </c>
      <c r="D62" s="32" t="s">
        <v>30</v>
      </c>
      <c r="E62" s="32" t="s">
        <v>225</v>
      </c>
      <c r="F62" s="33">
        <v>-8.9639740000000003</v>
      </c>
      <c r="G62" s="34">
        <f>$F$62*'Risk Report'!$B$31</f>
        <v>-15.686954500000001</v>
      </c>
      <c r="H62" s="34">
        <f>$F$62*'Risk Report'!$B$32</f>
        <v>-17.927948000000001</v>
      </c>
      <c r="I62" s="34">
        <f>$F$62*'Risk Report'!$B$33</f>
        <v>4.4819870000000002</v>
      </c>
      <c r="J62" s="34">
        <f>$F$62*'Risk Report'!$B$34</f>
        <v>5.8265830999999872</v>
      </c>
      <c r="K62" s="34">
        <f>$F$62*'Risk Report'!$B$35</f>
        <v>21.961736300000027</v>
      </c>
      <c r="L62" s="34">
        <f>$F$62*'Risk Report'!$B$36</f>
        <v>4.0337882999999621</v>
      </c>
      <c r="M62" s="34">
        <f>$F$62*'Risk Report'!$B$37</f>
        <v>10.30857010000005</v>
      </c>
      <c r="N62" s="34">
        <f>$F$62*'Risk Report'!$B$38</f>
        <v>7.1711791999999752</v>
      </c>
      <c r="O62" s="34">
        <f>$F$62*'Risk Report'!$B$39</f>
        <v>-2.2409935000000001</v>
      </c>
      <c r="P62" s="34">
        <f>$F$62*'Risk Report'!$B$40</f>
        <v>0</v>
      </c>
      <c r="Q62" s="34">
        <f t="shared" si="3"/>
        <v>17.927948000000001</v>
      </c>
    </row>
    <row r="63" spans="1:17" x14ac:dyDescent="0.55000000000000004">
      <c r="A63" s="31" t="s">
        <v>277</v>
      </c>
      <c r="B63" s="32" t="s">
        <v>42</v>
      </c>
      <c r="C63" s="32" t="s">
        <v>29</v>
      </c>
      <c r="D63" s="32" t="s">
        <v>30</v>
      </c>
      <c r="E63" s="32" t="s">
        <v>225</v>
      </c>
      <c r="F63" s="33">
        <v>-8.9171200000000006</v>
      </c>
      <c r="G63" s="34">
        <f>$F$63*'Risk Report'!$B$31</f>
        <v>-15.604960000000002</v>
      </c>
      <c r="H63" s="34">
        <f>$F$63*'Risk Report'!$B$32</f>
        <v>-17.834240000000001</v>
      </c>
      <c r="I63" s="34">
        <f>$F$63*'Risk Report'!$B$33</f>
        <v>4.4585600000000003</v>
      </c>
      <c r="J63" s="34">
        <f>$F$63*'Risk Report'!$B$34</f>
        <v>5.796127999999988</v>
      </c>
      <c r="K63" s="34">
        <f>$F$63*'Risk Report'!$B$35</f>
        <v>21.846944000000025</v>
      </c>
      <c r="L63" s="34">
        <f>$F$63*'Risk Report'!$B$36</f>
        <v>4.0127039999999621</v>
      </c>
      <c r="M63" s="34">
        <f>$F$63*'Risk Report'!$B$37</f>
        <v>10.254688000000051</v>
      </c>
      <c r="N63" s="34">
        <f>$F$63*'Risk Report'!$B$38</f>
        <v>7.1336959999999747</v>
      </c>
      <c r="O63" s="34">
        <f>$F$63*'Risk Report'!$B$39</f>
        <v>-2.2292800000000002</v>
      </c>
      <c r="P63" s="34">
        <f>$F$63*'Risk Report'!$B$40</f>
        <v>0</v>
      </c>
      <c r="Q63" s="34">
        <f t="shared" si="3"/>
        <v>17.834240000000001</v>
      </c>
    </row>
    <row r="64" spans="1:17" x14ac:dyDescent="0.55000000000000004">
      <c r="A64" s="31" t="s">
        <v>278</v>
      </c>
      <c r="B64" s="32" t="s">
        <v>49</v>
      </c>
      <c r="C64" s="32" t="s">
        <v>29</v>
      </c>
      <c r="D64" s="32" t="s">
        <v>30</v>
      </c>
      <c r="E64" s="32" t="s">
        <v>225</v>
      </c>
      <c r="F64" s="33">
        <v>-8.9171200000000006</v>
      </c>
      <c r="G64" s="34">
        <f>$F$64*'Risk Report'!$B$31</f>
        <v>-15.604960000000002</v>
      </c>
      <c r="H64" s="34">
        <f>$F$64*'Risk Report'!$B$32</f>
        <v>-17.834240000000001</v>
      </c>
      <c r="I64" s="34">
        <f>$F$64*'Risk Report'!$B$33</f>
        <v>4.4585600000000003</v>
      </c>
      <c r="J64" s="34">
        <f>$F$64*'Risk Report'!$B$34</f>
        <v>5.796127999999988</v>
      </c>
      <c r="K64" s="34">
        <f>$F$64*'Risk Report'!$B$35</f>
        <v>21.846944000000025</v>
      </c>
      <c r="L64" s="34">
        <f>$F$64*'Risk Report'!$B$36</f>
        <v>4.0127039999999621</v>
      </c>
      <c r="M64" s="34">
        <f>$F$64*'Risk Report'!$B$37</f>
        <v>10.254688000000051</v>
      </c>
      <c r="N64" s="34">
        <f>$F$64*'Risk Report'!$B$38</f>
        <v>7.1336959999999747</v>
      </c>
      <c r="O64" s="34">
        <f>$F$64*'Risk Report'!$B$39</f>
        <v>-2.2292800000000002</v>
      </c>
      <c r="P64" s="34">
        <f>$F$64*'Risk Report'!$B$40</f>
        <v>0</v>
      </c>
      <c r="Q64" s="34">
        <f t="shared" si="3"/>
        <v>17.834240000000001</v>
      </c>
    </row>
    <row r="65" spans="1:17" x14ac:dyDescent="0.55000000000000004">
      <c r="A65" s="31" t="s">
        <v>238</v>
      </c>
      <c r="B65" s="32" t="s">
        <v>53</v>
      </c>
      <c r="C65" s="32" t="s">
        <v>51</v>
      </c>
      <c r="D65" s="32" t="s">
        <v>30</v>
      </c>
      <c r="E65" s="32" t="s">
        <v>228</v>
      </c>
      <c r="F65" s="33">
        <v>-8.9171200000000006</v>
      </c>
      <c r="G65" s="34">
        <f>$F$65*'Risk Report'!$C$31</f>
        <v>-66.878399999999999</v>
      </c>
      <c r="H65" s="34">
        <f>$F$65*'Risk Report'!$C$32</f>
        <v>-93.629760000000005</v>
      </c>
      <c r="I65" s="34">
        <f>$F$65*'Risk Report'!$C$33</f>
        <v>-8.9171200000000006</v>
      </c>
      <c r="J65" s="34">
        <f>$F$65*'Risk Report'!$C$34</f>
        <v>44.585599999999999</v>
      </c>
      <c r="K65" s="34">
        <f>$F$65*'Risk Report'!$C$35</f>
        <v>107.00544000000001</v>
      </c>
      <c r="L65" s="34">
        <f>$F$65*'Risk Report'!$C$36</f>
        <v>0</v>
      </c>
      <c r="M65" s="34">
        <f>$F$65*'Risk Report'!$C$37</f>
        <v>49.044160000000005</v>
      </c>
      <c r="N65" s="34">
        <f>$F$65*'Risk Report'!$C$38</f>
        <v>26.751360000000002</v>
      </c>
      <c r="O65" s="34">
        <f>$F$65*'Risk Report'!$C$39</f>
        <v>-22.2928</v>
      </c>
      <c r="P65" s="34">
        <f>$F$65*'Risk Report'!$C$40</f>
        <v>0</v>
      </c>
      <c r="Q65" s="34">
        <f t="shared" si="3"/>
        <v>35.668480000000002</v>
      </c>
    </row>
    <row r="66" spans="1:17" x14ac:dyDescent="0.55000000000000004">
      <c r="A66" s="31" t="s">
        <v>54</v>
      </c>
      <c r="B66" s="32" t="s">
        <v>56</v>
      </c>
      <c r="C66" s="32" t="s">
        <v>59</v>
      </c>
      <c r="D66" s="32" t="s">
        <v>44</v>
      </c>
      <c r="E66" s="32" t="s">
        <v>229</v>
      </c>
      <c r="F66" s="33">
        <v>-8.7334250000000004</v>
      </c>
      <c r="G66" s="34">
        <f>$F$66*'Risk Report'!$F$31</f>
        <v>-129.8223626250001</v>
      </c>
      <c r="H66" s="34">
        <f>$F$66*'Risk Report'!$F$32</f>
        <v>-155.89163624999972</v>
      </c>
      <c r="I66" s="34">
        <f>$F$66*'Risk Report'!$F$33</f>
        <v>28.121628499999744</v>
      </c>
      <c r="J66" s="34">
        <f>$F$66*'Risk Report'!$F$34</f>
        <v>7.7727482499998812</v>
      </c>
      <c r="K66" s="34">
        <f>$F$66*'Risk Report'!$F$35</f>
        <v>44.453133250000278</v>
      </c>
      <c r="L66" s="34">
        <f>$F$66*'Risk Report'!$F$36</f>
        <v>35.195702749999761</v>
      </c>
      <c r="M66" s="34">
        <f>$F$66*'Risk Report'!$F$37</f>
        <v>94.408324250000021</v>
      </c>
      <c r="N66" s="34">
        <f>$F$66*'Risk Report'!$F$38</f>
        <v>-52.487884249999922</v>
      </c>
      <c r="O66" s="34">
        <f>$F$66*'Risk Report'!$F$39</f>
        <v>31.178327249999942</v>
      </c>
      <c r="P66" s="34">
        <f>$F$66*'Risk Report'!$F$40</f>
        <v>-70.216736999999682</v>
      </c>
      <c r="Q66" s="34">
        <f t="shared" si="3"/>
        <v>-167.28875587499974</v>
      </c>
    </row>
    <row r="67" spans="1:17" x14ac:dyDescent="0.55000000000000004">
      <c r="A67" s="31" t="s">
        <v>61</v>
      </c>
      <c r="B67" s="32" t="s">
        <v>56</v>
      </c>
      <c r="C67" s="32" t="s">
        <v>59</v>
      </c>
      <c r="D67" s="32" t="s">
        <v>44</v>
      </c>
      <c r="E67" s="32" t="s">
        <v>229</v>
      </c>
      <c r="F67" s="33">
        <v>-8.7334250000000004</v>
      </c>
      <c r="G67" s="34">
        <f>$F$67*'Risk Report'!$F$31</f>
        <v>-129.8223626250001</v>
      </c>
      <c r="H67" s="34">
        <f>$F$67*'Risk Report'!$F$32</f>
        <v>-155.89163624999972</v>
      </c>
      <c r="I67" s="34">
        <f>$F$67*'Risk Report'!$F$33</f>
        <v>28.121628499999744</v>
      </c>
      <c r="J67" s="34">
        <f>$F$67*'Risk Report'!$F$34</f>
        <v>7.7727482499998812</v>
      </c>
      <c r="K67" s="34">
        <f>$F$67*'Risk Report'!$F$35</f>
        <v>44.453133250000278</v>
      </c>
      <c r="L67" s="34">
        <f>$F$67*'Risk Report'!$F$36</f>
        <v>35.195702749999761</v>
      </c>
      <c r="M67" s="34">
        <f>$F$67*'Risk Report'!$F$37</f>
        <v>94.408324250000021</v>
      </c>
      <c r="N67" s="34">
        <f>$F$67*'Risk Report'!$F$38</f>
        <v>-52.487884249999922</v>
      </c>
      <c r="O67" s="34">
        <f>$F$67*'Risk Report'!$F$39</f>
        <v>31.178327249999942</v>
      </c>
      <c r="P67" s="34">
        <f>$F$67*'Risk Report'!$F$40</f>
        <v>-70.216736999999682</v>
      </c>
      <c r="Q67" s="34">
        <f t="shared" si="3"/>
        <v>-167.28875587499974</v>
      </c>
    </row>
    <row r="68" spans="1:17" x14ac:dyDescent="0.55000000000000004">
      <c r="A68" s="31" t="s">
        <v>63</v>
      </c>
      <c r="B68" s="32" t="s">
        <v>56</v>
      </c>
      <c r="C68" s="32" t="s">
        <v>59</v>
      </c>
      <c r="D68" s="32" t="s">
        <v>44</v>
      </c>
      <c r="E68" s="32" t="s">
        <v>229</v>
      </c>
      <c r="F68" s="33">
        <v>-8.7334250000000004</v>
      </c>
      <c r="G68" s="34">
        <f>$F$68*'Risk Report'!$F$31</f>
        <v>-129.8223626250001</v>
      </c>
      <c r="H68" s="34">
        <f>$F$68*'Risk Report'!$F$32</f>
        <v>-155.89163624999972</v>
      </c>
      <c r="I68" s="34">
        <f>$F$68*'Risk Report'!$F$33</f>
        <v>28.121628499999744</v>
      </c>
      <c r="J68" s="34">
        <f>$F$68*'Risk Report'!$F$34</f>
        <v>7.7727482499998812</v>
      </c>
      <c r="K68" s="34">
        <f>$F$68*'Risk Report'!$F$35</f>
        <v>44.453133250000278</v>
      </c>
      <c r="L68" s="34">
        <f>$F$68*'Risk Report'!$F$36</f>
        <v>35.195702749999761</v>
      </c>
      <c r="M68" s="34">
        <f>$F$68*'Risk Report'!$F$37</f>
        <v>94.408324250000021</v>
      </c>
      <c r="N68" s="34">
        <f>$F$68*'Risk Report'!$F$38</f>
        <v>-52.487884249999922</v>
      </c>
      <c r="O68" s="34">
        <f>$F$68*'Risk Report'!$F$39</f>
        <v>31.178327249999942</v>
      </c>
      <c r="P68" s="34">
        <f>$F$68*'Risk Report'!$F$40</f>
        <v>-70.216736999999682</v>
      </c>
      <c r="Q68" s="34">
        <f t="shared" si="3"/>
        <v>-167.28875587499974</v>
      </c>
    </row>
    <row r="69" spans="1:17" x14ac:dyDescent="0.55000000000000004">
      <c r="A69" s="31" t="s">
        <v>239</v>
      </c>
      <c r="B69" s="32" t="s">
        <v>24</v>
      </c>
      <c r="C69" s="32" t="s">
        <v>29</v>
      </c>
      <c r="D69" s="32" t="s">
        <v>30</v>
      </c>
      <c r="E69" s="32" t="s">
        <v>225</v>
      </c>
      <c r="F69" s="33">
        <v>-8.4971599999999992</v>
      </c>
      <c r="G69" s="34">
        <f>$F$69*'Risk Report'!$B$31</f>
        <v>-14.870029999999998</v>
      </c>
      <c r="H69" s="34">
        <f>$F$69*'Risk Report'!$B$32</f>
        <v>-16.994319999999998</v>
      </c>
      <c r="I69" s="34">
        <f>$F$69*'Risk Report'!$B$33</f>
        <v>4.2485799999999996</v>
      </c>
      <c r="J69" s="34">
        <f>$F$69*'Risk Report'!$B$34</f>
        <v>5.5231539999999875</v>
      </c>
      <c r="K69" s="34">
        <f>$F$69*'Risk Report'!$B$35</f>
        <v>20.818042000000023</v>
      </c>
      <c r="L69" s="34">
        <f>$F$69*'Risk Report'!$B$36</f>
        <v>3.8237219999999632</v>
      </c>
      <c r="M69" s="34">
        <f>$F$69*'Risk Report'!$B$37</f>
        <v>9.7717340000000465</v>
      </c>
      <c r="N69" s="34">
        <f>$F$69*'Risk Report'!$B$38</f>
        <v>6.7977279999999753</v>
      </c>
      <c r="O69" s="34">
        <f>$F$69*'Risk Report'!$B$39</f>
        <v>-2.1242899999999998</v>
      </c>
      <c r="P69" s="34">
        <f>$F$69*'Risk Report'!$B$40</f>
        <v>0</v>
      </c>
      <c r="Q69" s="34">
        <f t="shared" si="3"/>
        <v>16.994320000000002</v>
      </c>
    </row>
    <row r="70" spans="1:17" x14ac:dyDescent="0.55000000000000004">
      <c r="A70" s="31" t="s">
        <v>279</v>
      </c>
      <c r="B70" s="32" t="s">
        <v>24</v>
      </c>
      <c r="C70" s="32" t="s">
        <v>29</v>
      </c>
      <c r="D70" s="32" t="s">
        <v>44</v>
      </c>
      <c r="E70" s="32" t="s">
        <v>227</v>
      </c>
      <c r="F70" s="33">
        <v>-8.2769049999999993</v>
      </c>
      <c r="G70" s="34">
        <f>$F$70*'Risk Report'!$E$31</f>
        <v>-22.513181599999989</v>
      </c>
      <c r="H70" s="34">
        <f>$F$70*'Risk Report'!$E$32</f>
        <v>-27.313786499999974</v>
      </c>
      <c r="I70" s="34">
        <f>$F$70*'Risk Report'!$E$33</f>
        <v>6.0421406499999737</v>
      </c>
      <c r="J70" s="34">
        <f>$F$70*'Risk Report'!$E$34</f>
        <v>-1.075997650000021</v>
      </c>
      <c r="K70" s="34">
        <f>$F$70*'Risk Report'!$E$35</f>
        <v>9.1873645499999945</v>
      </c>
      <c r="L70" s="34">
        <f>$F$70*'Risk Report'!$E$36</f>
        <v>9.0218264500000274</v>
      </c>
      <c r="M70" s="34">
        <f>$F$70*'Risk Report'!$E$37</f>
        <v>16.222733800000007</v>
      </c>
      <c r="N70" s="34">
        <f>$F$70*'Risk Report'!$E$38</f>
        <v>-7.4492144999999876</v>
      </c>
      <c r="O70" s="34">
        <f>$F$70*'Risk Report'!$E$39</f>
        <v>3.310761999999988</v>
      </c>
      <c r="P70" s="34">
        <f>$F$70*'Risk Report'!$E$40</f>
        <v>-6.9526002000000275</v>
      </c>
      <c r="Q70" s="34">
        <f t="shared" si="3"/>
        <v>-21.519953000000008</v>
      </c>
    </row>
    <row r="71" spans="1:17" x14ac:dyDescent="0.55000000000000004">
      <c r="A71" s="31" t="s">
        <v>280</v>
      </c>
      <c r="B71" s="32" t="s">
        <v>42</v>
      </c>
      <c r="C71" s="32" t="s">
        <v>29</v>
      </c>
      <c r="D71" s="32" t="s">
        <v>44</v>
      </c>
      <c r="E71" s="32" t="s">
        <v>227</v>
      </c>
      <c r="F71" s="33">
        <v>-8.2210479999999997</v>
      </c>
      <c r="G71" s="34">
        <f>$F$71*'Risk Report'!$E$31</f>
        <v>-22.361250559999991</v>
      </c>
      <c r="H71" s="34">
        <f>$F$71*'Risk Report'!$E$32</f>
        <v>-27.129458399999976</v>
      </c>
      <c r="I71" s="34">
        <f>$F$71*'Risk Report'!$E$33</f>
        <v>6.0013650399999738</v>
      </c>
      <c r="J71" s="34">
        <f>$F$71*'Risk Report'!$E$34</f>
        <v>-1.0687362400000211</v>
      </c>
      <c r="K71" s="34">
        <f>$F$71*'Risk Report'!$E$35</f>
        <v>9.1253632799999949</v>
      </c>
      <c r="L71" s="34">
        <f>$F$71*'Risk Report'!$E$36</f>
        <v>8.9609423200000276</v>
      </c>
      <c r="M71" s="34">
        <f>$F$71*'Risk Report'!$E$37</f>
        <v>16.113254080000008</v>
      </c>
      <c r="N71" s="34">
        <f>$F$71*'Risk Report'!$E$38</f>
        <v>-7.3989431999999882</v>
      </c>
      <c r="O71" s="34">
        <f>$F$71*'Risk Report'!$E$39</f>
        <v>3.2884191999999883</v>
      </c>
      <c r="P71" s="34">
        <f>$F$71*'Risk Report'!$E$40</f>
        <v>-6.9056803200000276</v>
      </c>
      <c r="Q71" s="34">
        <f t="shared" si="3"/>
        <v>-21.374724800000003</v>
      </c>
    </row>
    <row r="72" spans="1:17" x14ac:dyDescent="0.55000000000000004">
      <c r="A72" s="31" t="s">
        <v>242</v>
      </c>
      <c r="B72" s="32" t="s">
        <v>42</v>
      </c>
      <c r="C72" s="32" t="s">
        <v>29</v>
      </c>
      <c r="D72" s="32" t="s">
        <v>30</v>
      </c>
      <c r="E72" s="32" t="s">
        <v>225</v>
      </c>
      <c r="F72" s="33">
        <v>-7.9573520000000002</v>
      </c>
      <c r="G72" s="34">
        <f>$F$72*'Risk Report'!$B$31</f>
        <v>-13.925366</v>
      </c>
      <c r="H72" s="34">
        <f>$F$72*'Risk Report'!$B$32</f>
        <v>-15.914704</v>
      </c>
      <c r="I72" s="34">
        <f>$F$72*'Risk Report'!$B$33</f>
        <v>3.9786760000000001</v>
      </c>
      <c r="J72" s="34">
        <f>$F$72*'Risk Report'!$B$34</f>
        <v>5.1722787999999884</v>
      </c>
      <c r="K72" s="34">
        <f>$F$72*'Risk Report'!$B$35</f>
        <v>19.495512400000024</v>
      </c>
      <c r="L72" s="34">
        <f>$F$72*'Risk Report'!$B$36</f>
        <v>3.5808083999999663</v>
      </c>
      <c r="M72" s="34">
        <f>$F$72*'Risk Report'!$B$37</f>
        <v>9.1509548000000454</v>
      </c>
      <c r="N72" s="34">
        <f>$F$72*'Risk Report'!$B$38</f>
        <v>6.3658815999999776</v>
      </c>
      <c r="O72" s="34">
        <f>$F$72*'Risk Report'!$B$39</f>
        <v>-1.9893380000000001</v>
      </c>
      <c r="P72" s="34">
        <f>$F$72*'Risk Report'!$B$40</f>
        <v>0</v>
      </c>
      <c r="Q72" s="34">
        <f t="shared" si="3"/>
        <v>15.914704000000004</v>
      </c>
    </row>
    <row r="73" spans="1:17" x14ac:dyDescent="0.55000000000000004">
      <c r="A73" s="31" t="s">
        <v>281</v>
      </c>
      <c r="B73" s="32" t="s">
        <v>226</v>
      </c>
      <c r="C73" s="32" t="s">
        <v>29</v>
      </c>
      <c r="D73" s="32" t="s">
        <v>30</v>
      </c>
      <c r="E73" s="32" t="s">
        <v>225</v>
      </c>
      <c r="F73" s="33">
        <v>-7.9573520000000002</v>
      </c>
      <c r="G73" s="34">
        <f>$F$73*'Risk Report'!$B$31</f>
        <v>-13.925366</v>
      </c>
      <c r="H73" s="34">
        <f>$F$73*'Risk Report'!$B$32</f>
        <v>-15.914704</v>
      </c>
      <c r="I73" s="34">
        <f>$F$73*'Risk Report'!$B$33</f>
        <v>3.9786760000000001</v>
      </c>
      <c r="J73" s="34">
        <f>$F$73*'Risk Report'!$B$34</f>
        <v>5.1722787999999884</v>
      </c>
      <c r="K73" s="34">
        <f>$F$73*'Risk Report'!$B$35</f>
        <v>19.495512400000024</v>
      </c>
      <c r="L73" s="34">
        <f>$F$73*'Risk Report'!$B$36</f>
        <v>3.5808083999999663</v>
      </c>
      <c r="M73" s="34">
        <f>$F$73*'Risk Report'!$B$37</f>
        <v>9.1509548000000454</v>
      </c>
      <c r="N73" s="34">
        <f>$F$73*'Risk Report'!$B$38</f>
        <v>6.3658815999999776</v>
      </c>
      <c r="O73" s="34">
        <f>$F$73*'Risk Report'!$B$39</f>
        <v>-1.9893380000000001</v>
      </c>
      <c r="P73" s="34">
        <f>$F$73*'Risk Report'!$B$40</f>
        <v>0</v>
      </c>
      <c r="Q73" s="34">
        <f t="shared" si="3"/>
        <v>15.914704000000004</v>
      </c>
    </row>
    <row r="74" spans="1:17" x14ac:dyDescent="0.55000000000000004">
      <c r="A74" s="31" t="s">
        <v>282</v>
      </c>
      <c r="B74" s="32" t="s">
        <v>24</v>
      </c>
      <c r="C74" s="32" t="s">
        <v>29</v>
      </c>
      <c r="D74" s="32" t="s">
        <v>30</v>
      </c>
      <c r="E74" s="32" t="s">
        <v>225</v>
      </c>
      <c r="F74" s="33">
        <v>-7.9573520000000002</v>
      </c>
      <c r="G74" s="34">
        <f>$F$74*'Risk Report'!$B$31</f>
        <v>-13.925366</v>
      </c>
      <c r="H74" s="34">
        <f>$F$74*'Risk Report'!$B$32</f>
        <v>-15.914704</v>
      </c>
      <c r="I74" s="34">
        <f>$F$74*'Risk Report'!$B$33</f>
        <v>3.9786760000000001</v>
      </c>
      <c r="J74" s="34">
        <f>$F$74*'Risk Report'!$B$34</f>
        <v>5.1722787999999884</v>
      </c>
      <c r="K74" s="34">
        <f>$F$74*'Risk Report'!$B$35</f>
        <v>19.495512400000024</v>
      </c>
      <c r="L74" s="34">
        <f>$F$74*'Risk Report'!$B$36</f>
        <v>3.5808083999999663</v>
      </c>
      <c r="M74" s="34">
        <f>$F$74*'Risk Report'!$B$37</f>
        <v>9.1509548000000454</v>
      </c>
      <c r="N74" s="34">
        <f>$F$74*'Risk Report'!$B$38</f>
        <v>6.3658815999999776</v>
      </c>
      <c r="O74" s="34">
        <f>$F$74*'Risk Report'!$B$39</f>
        <v>-1.9893380000000001</v>
      </c>
      <c r="P74" s="34">
        <f>$F$74*'Risk Report'!$B$40</f>
        <v>0</v>
      </c>
      <c r="Q74" s="34">
        <f t="shared" si="3"/>
        <v>15.914704000000004</v>
      </c>
    </row>
    <row r="75" spans="1:17" x14ac:dyDescent="0.55000000000000004">
      <c r="A75" s="31" t="s">
        <v>245</v>
      </c>
      <c r="B75" s="32" t="s">
        <v>24</v>
      </c>
      <c r="C75" s="32" t="s">
        <v>29</v>
      </c>
      <c r="D75" s="32" t="s">
        <v>30</v>
      </c>
      <c r="E75" s="32" t="s">
        <v>225</v>
      </c>
      <c r="F75" s="33">
        <v>-7.9573520000000002</v>
      </c>
      <c r="G75" s="34">
        <f>$F$75*'Risk Report'!$B$31</f>
        <v>-13.925366</v>
      </c>
      <c r="H75" s="34">
        <f>$F$75*'Risk Report'!$B$32</f>
        <v>-15.914704</v>
      </c>
      <c r="I75" s="34">
        <f>$F$75*'Risk Report'!$B$33</f>
        <v>3.9786760000000001</v>
      </c>
      <c r="J75" s="34">
        <f>$F$75*'Risk Report'!$B$34</f>
        <v>5.1722787999999884</v>
      </c>
      <c r="K75" s="34">
        <f>$F$75*'Risk Report'!$B$35</f>
        <v>19.495512400000024</v>
      </c>
      <c r="L75" s="34">
        <f>$F$75*'Risk Report'!$B$36</f>
        <v>3.5808083999999663</v>
      </c>
      <c r="M75" s="34">
        <f>$F$75*'Risk Report'!$B$37</f>
        <v>9.1509548000000454</v>
      </c>
      <c r="N75" s="34">
        <f>$F$75*'Risk Report'!$B$38</f>
        <v>6.3658815999999776</v>
      </c>
      <c r="O75" s="34">
        <f>$F$75*'Risk Report'!$B$39</f>
        <v>-1.9893380000000001</v>
      </c>
      <c r="P75" s="34">
        <f>$F$75*'Risk Report'!$B$40</f>
        <v>0</v>
      </c>
      <c r="Q75" s="34">
        <f t="shared" si="3"/>
        <v>15.914704000000004</v>
      </c>
    </row>
    <row r="76" spans="1:17" x14ac:dyDescent="0.55000000000000004">
      <c r="A76" s="31" t="s">
        <v>246</v>
      </c>
      <c r="B76" s="32" t="s">
        <v>24</v>
      </c>
      <c r="C76" s="32" t="s">
        <v>29</v>
      </c>
      <c r="D76" s="32" t="s">
        <v>30</v>
      </c>
      <c r="E76" s="32" t="s">
        <v>225</v>
      </c>
      <c r="F76" s="33">
        <v>-7.9573520000000002</v>
      </c>
      <c r="G76" s="34">
        <f>$F$76*'Risk Report'!$B$31</f>
        <v>-13.925366</v>
      </c>
      <c r="H76" s="34">
        <f>$F$76*'Risk Report'!$B$32</f>
        <v>-15.914704</v>
      </c>
      <c r="I76" s="34">
        <f>$F$76*'Risk Report'!$B$33</f>
        <v>3.9786760000000001</v>
      </c>
      <c r="J76" s="34">
        <f>$F$76*'Risk Report'!$B$34</f>
        <v>5.1722787999999884</v>
      </c>
      <c r="K76" s="34">
        <f>$F$76*'Risk Report'!$B$35</f>
        <v>19.495512400000024</v>
      </c>
      <c r="L76" s="34">
        <f>$F$76*'Risk Report'!$B$36</f>
        <v>3.5808083999999663</v>
      </c>
      <c r="M76" s="34">
        <f>$F$76*'Risk Report'!$B$37</f>
        <v>9.1509548000000454</v>
      </c>
      <c r="N76" s="34">
        <f>$F$76*'Risk Report'!$B$38</f>
        <v>6.3658815999999776</v>
      </c>
      <c r="O76" s="34">
        <f>$F$76*'Risk Report'!$B$39</f>
        <v>-1.9893380000000001</v>
      </c>
      <c r="P76" s="34">
        <f>$F$76*'Risk Report'!$B$40</f>
        <v>0</v>
      </c>
      <c r="Q76" s="34">
        <f t="shared" si="3"/>
        <v>15.914704000000004</v>
      </c>
    </row>
    <row r="77" spans="1:17" x14ac:dyDescent="0.55000000000000004">
      <c r="A77" s="31" t="s">
        <v>283</v>
      </c>
      <c r="B77" s="32" t="s">
        <v>42</v>
      </c>
      <c r="C77" s="32" t="s">
        <v>59</v>
      </c>
      <c r="D77" s="32" t="s">
        <v>44</v>
      </c>
      <c r="E77" s="32" t="s">
        <v>229</v>
      </c>
      <c r="F77" s="33">
        <v>-7.9161169999999998</v>
      </c>
      <c r="G77" s="34">
        <f>$F$77*'Risk Report'!$F$31</f>
        <v>-117.67307920500006</v>
      </c>
      <c r="H77" s="34">
        <f>$F$77*'Risk Report'!$F$32</f>
        <v>-141.30268844999972</v>
      </c>
      <c r="I77" s="34">
        <f>$F$77*'Risk Report'!$F$33</f>
        <v>25.489896739999764</v>
      </c>
      <c r="J77" s="34">
        <f>$F$77*'Risk Report'!$F$34</f>
        <v>7.0453441299998918</v>
      </c>
      <c r="K77" s="34">
        <f>$F$77*'Risk Report'!$F$35</f>
        <v>40.293035530000253</v>
      </c>
      <c r="L77" s="34">
        <f>$F$77*'Risk Report'!$F$36</f>
        <v>31.901951509999783</v>
      </c>
      <c r="M77" s="34">
        <f>$F$77*'Risk Report'!$F$37</f>
        <v>85.57322477000001</v>
      </c>
      <c r="N77" s="34">
        <f>$F$77*'Risk Report'!$F$38</f>
        <v>-47.575863169999927</v>
      </c>
      <c r="O77" s="34">
        <f>$F$77*'Risk Report'!$F$39</f>
        <v>28.260537689999946</v>
      </c>
      <c r="P77" s="34">
        <f>$F$77*'Risk Report'!$F$40</f>
        <v>-63.645580679999711</v>
      </c>
      <c r="Q77" s="34">
        <f t="shared" si="3"/>
        <v>-151.63322113499976</v>
      </c>
    </row>
    <row r="78" spans="1:17" x14ac:dyDescent="0.55000000000000004">
      <c r="A78" s="31" t="s">
        <v>248</v>
      </c>
      <c r="B78" s="32" t="s">
        <v>49</v>
      </c>
      <c r="C78" s="32" t="s">
        <v>29</v>
      </c>
      <c r="D78" s="32" t="s">
        <v>30</v>
      </c>
      <c r="E78" s="32" t="s">
        <v>225</v>
      </c>
      <c r="F78" s="33">
        <v>-7.8600820000000002</v>
      </c>
      <c r="G78" s="34">
        <f>$F$78*'Risk Report'!$B$31</f>
        <v>-13.755143500000001</v>
      </c>
      <c r="H78" s="34">
        <f>$F$78*'Risk Report'!$B$32</f>
        <v>-15.720164</v>
      </c>
      <c r="I78" s="34">
        <f>$F$78*'Risk Report'!$B$33</f>
        <v>3.9300410000000001</v>
      </c>
      <c r="J78" s="34">
        <f>$F$78*'Risk Report'!$B$34</f>
        <v>5.1090532999999887</v>
      </c>
      <c r="K78" s="34">
        <f>$F$78*'Risk Report'!$B$35</f>
        <v>19.257200900000022</v>
      </c>
      <c r="L78" s="34">
        <f>$F$78*'Risk Report'!$B$36</f>
        <v>3.5370368999999666</v>
      </c>
      <c r="M78" s="34">
        <f>$F$78*'Risk Report'!$B$37</f>
        <v>9.0390943000000448</v>
      </c>
      <c r="N78" s="34">
        <f>$F$78*'Risk Report'!$B$38</f>
        <v>6.2880655999999782</v>
      </c>
      <c r="O78" s="34">
        <f>$F$78*'Risk Report'!$B$39</f>
        <v>-1.9650205000000001</v>
      </c>
      <c r="P78" s="34">
        <f>$F$78*'Risk Report'!$B$40</f>
        <v>0</v>
      </c>
      <c r="Q78" s="34">
        <f t="shared" si="3"/>
        <v>15.720163999999999</v>
      </c>
    </row>
    <row r="79" spans="1:17" x14ac:dyDescent="0.55000000000000004">
      <c r="A79" s="31" t="s">
        <v>70</v>
      </c>
      <c r="B79" s="32" t="s">
        <v>71</v>
      </c>
      <c r="C79" s="32" t="s">
        <v>59</v>
      </c>
      <c r="D79" s="32" t="s">
        <v>44</v>
      </c>
      <c r="E79" s="32" t="s">
        <v>229</v>
      </c>
      <c r="F79" s="33">
        <v>-7.7473910000000004</v>
      </c>
      <c r="G79" s="34">
        <f>$F$79*'Risk Report'!$F$31</f>
        <v>-115.16496721500008</v>
      </c>
      <c r="H79" s="34">
        <f>$F$79*'Risk Report'!$F$32</f>
        <v>-138.29092934999974</v>
      </c>
      <c r="I79" s="34">
        <f>$F$79*'Risk Report'!$F$33</f>
        <v>24.946599019999773</v>
      </c>
      <c r="J79" s="34">
        <f>$F$79*'Risk Report'!$F$34</f>
        <v>6.8951779899998948</v>
      </c>
      <c r="K79" s="34">
        <f>$F$79*'Risk Report'!$F$35</f>
        <v>39.434220190000246</v>
      </c>
      <c r="L79" s="34">
        <f>$F$79*'Risk Report'!$F$36</f>
        <v>31.22198572999979</v>
      </c>
      <c r="M79" s="34">
        <f>$F$79*'Risk Report'!$F$37</f>
        <v>83.749296710000024</v>
      </c>
      <c r="N79" s="34">
        <f>$F$79*'Risk Report'!$F$38</f>
        <v>-46.561819909999933</v>
      </c>
      <c r="O79" s="34">
        <f>$F$79*'Risk Report'!$F$39</f>
        <v>27.658185869999947</v>
      </c>
      <c r="P79" s="34">
        <f>$F$79*'Risk Report'!$F$40</f>
        <v>-62.289023639999719</v>
      </c>
      <c r="Q79" s="34">
        <f t="shared" si="3"/>
        <v>-148.40127460499977</v>
      </c>
    </row>
    <row r="80" spans="1:17" x14ac:dyDescent="0.55000000000000004">
      <c r="A80" s="31" t="s">
        <v>249</v>
      </c>
      <c r="B80" s="32" t="s">
        <v>24</v>
      </c>
      <c r="C80" s="32" t="s">
        <v>29</v>
      </c>
      <c r="D80" s="32" t="s">
        <v>30</v>
      </c>
      <c r="E80" s="32" t="s">
        <v>225</v>
      </c>
      <c r="F80" s="33">
        <v>-7.7372629999999996</v>
      </c>
      <c r="G80" s="34">
        <f>$F$80*'Risk Report'!$B$31</f>
        <v>-13.540210249999999</v>
      </c>
      <c r="H80" s="34">
        <f>$F$80*'Risk Report'!$B$32</f>
        <v>-15.474525999999999</v>
      </c>
      <c r="I80" s="34">
        <f>$F$80*'Risk Report'!$B$33</f>
        <v>3.8686314999999998</v>
      </c>
      <c r="J80" s="34">
        <f>$F$80*'Risk Report'!$B$34</f>
        <v>5.0292209499999885</v>
      </c>
      <c r="K80" s="34">
        <f>$F$80*'Risk Report'!$B$35</f>
        <v>18.956294350000022</v>
      </c>
      <c r="L80" s="34">
        <f>$F$80*'Risk Report'!$B$36</f>
        <v>3.481768349999967</v>
      </c>
      <c r="M80" s="34">
        <f>$F$80*'Risk Report'!$B$37</f>
        <v>8.8978524500000429</v>
      </c>
      <c r="N80" s="34">
        <f>$F$80*'Risk Report'!$B$38</f>
        <v>6.1898103999999776</v>
      </c>
      <c r="O80" s="34">
        <f>$F$80*'Risk Report'!$B$39</f>
        <v>-1.9343157499999999</v>
      </c>
      <c r="P80" s="34">
        <f>$F$80*'Risk Report'!$B$40</f>
        <v>0</v>
      </c>
      <c r="Q80" s="34">
        <f t="shared" si="3"/>
        <v>15.474526000000001</v>
      </c>
    </row>
    <row r="81" spans="1:17" x14ac:dyDescent="0.55000000000000004">
      <c r="A81" s="31" t="s">
        <v>284</v>
      </c>
      <c r="B81" s="32" t="s">
        <v>42</v>
      </c>
      <c r="C81" s="32" t="s">
        <v>29</v>
      </c>
      <c r="D81" s="32" t="s">
        <v>44</v>
      </c>
      <c r="E81" s="32" t="s">
        <v>227</v>
      </c>
      <c r="F81" s="33">
        <v>-7.2390939999999997</v>
      </c>
      <c r="G81" s="34">
        <f>$F$81*'Risk Report'!$E$31</f>
        <v>-19.69033567999999</v>
      </c>
      <c r="H81" s="34">
        <f>$F$81*'Risk Report'!$E$32</f>
        <v>-23.88901019999998</v>
      </c>
      <c r="I81" s="34">
        <f>$F$81*'Risk Report'!$E$33</f>
        <v>5.2845386199999771</v>
      </c>
      <c r="J81" s="34">
        <f>$F$81*'Risk Report'!$E$34</f>
        <v>-0.94108222000001851</v>
      </c>
      <c r="K81" s="34">
        <f>$F$81*'Risk Report'!$E$35</f>
        <v>8.0353943399999963</v>
      </c>
      <c r="L81" s="34">
        <f>$F$81*'Risk Report'!$E$36</f>
        <v>7.8906124600000247</v>
      </c>
      <c r="M81" s="34">
        <f>$F$81*'Risk Report'!$E$37</f>
        <v>14.188624240000006</v>
      </c>
      <c r="N81" s="34">
        <f>$F$81*'Risk Report'!$E$38</f>
        <v>-6.5151845999999898</v>
      </c>
      <c r="O81" s="34">
        <f>$F$81*'Risk Report'!$E$39</f>
        <v>2.8956375999999895</v>
      </c>
      <c r="P81" s="34">
        <f>$F$81*'Risk Report'!$E$40</f>
        <v>-6.0808389600000243</v>
      </c>
      <c r="Q81" s="34">
        <f t="shared" si="3"/>
        <v>-18.821644400000011</v>
      </c>
    </row>
    <row r="82" spans="1:17" x14ac:dyDescent="0.55000000000000004">
      <c r="A82" s="31" t="s">
        <v>251</v>
      </c>
      <c r="B82" s="32" t="s">
        <v>42</v>
      </c>
      <c r="C82" s="32" t="s">
        <v>29</v>
      </c>
      <c r="D82" s="32" t="s">
        <v>30</v>
      </c>
      <c r="E82" s="32" t="s">
        <v>225</v>
      </c>
      <c r="F82" s="33">
        <v>-7.1616169999999997</v>
      </c>
      <c r="G82" s="34">
        <f>$F$82*'Risk Report'!$B$31</f>
        <v>-12.532829749999999</v>
      </c>
      <c r="H82" s="34">
        <f>$F$82*'Risk Report'!$B$32</f>
        <v>-14.323233999999999</v>
      </c>
      <c r="I82" s="34">
        <f>$F$82*'Risk Report'!$B$33</f>
        <v>3.5808084999999998</v>
      </c>
      <c r="J82" s="34">
        <f>$F$82*'Risk Report'!$B$34</f>
        <v>4.6550510499999893</v>
      </c>
      <c r="K82" s="34">
        <f>$F$82*'Risk Report'!$B$35</f>
        <v>17.54596165000002</v>
      </c>
      <c r="L82" s="34">
        <f>$F$82*'Risk Report'!$B$36</f>
        <v>3.2227276499999693</v>
      </c>
      <c r="M82" s="34">
        <f>$F$82*'Risk Report'!$B$37</f>
        <v>8.2358595500000398</v>
      </c>
      <c r="N82" s="34">
        <f>$F$82*'Risk Report'!$B$38</f>
        <v>5.7292935999999797</v>
      </c>
      <c r="O82" s="34">
        <f>$F$82*'Risk Report'!$B$39</f>
        <v>-1.7904042499999999</v>
      </c>
      <c r="P82" s="34">
        <f>$F$82*'Risk Report'!$B$40</f>
        <v>0</v>
      </c>
      <c r="Q82" s="34">
        <f t="shared" si="3"/>
        <v>14.323234000000001</v>
      </c>
    </row>
    <row r="83" spans="1:17" x14ac:dyDescent="0.55000000000000004">
      <c r="A83" s="31" t="s">
        <v>252</v>
      </c>
      <c r="B83" s="32" t="s">
        <v>42</v>
      </c>
      <c r="C83" s="32" t="s">
        <v>51</v>
      </c>
      <c r="D83" s="32" t="s">
        <v>30</v>
      </c>
      <c r="E83" s="32" t="s">
        <v>228</v>
      </c>
      <c r="F83" s="33">
        <v>-7.1616169999999997</v>
      </c>
      <c r="G83" s="34">
        <f>$F$83*'Risk Report'!$C$31</f>
        <v>-53.712127499999994</v>
      </c>
      <c r="H83" s="34">
        <f>$F$83*'Risk Report'!$C$32</f>
        <v>-75.1969785</v>
      </c>
      <c r="I83" s="34">
        <f>$F$83*'Risk Report'!$C$33</f>
        <v>-7.1616169999999997</v>
      </c>
      <c r="J83" s="34">
        <f>$F$83*'Risk Report'!$C$34</f>
        <v>35.808084999999998</v>
      </c>
      <c r="K83" s="34">
        <f>$F$83*'Risk Report'!$C$35</f>
        <v>85.939403999999996</v>
      </c>
      <c r="L83" s="34">
        <f>$F$83*'Risk Report'!$C$36</f>
        <v>0</v>
      </c>
      <c r="M83" s="34">
        <f>$F$83*'Risk Report'!$C$37</f>
        <v>39.388893499999995</v>
      </c>
      <c r="N83" s="34">
        <f>$F$83*'Risk Report'!$C$38</f>
        <v>21.484850999999999</v>
      </c>
      <c r="O83" s="34">
        <f>$F$83*'Risk Report'!$C$39</f>
        <v>-17.904042499999999</v>
      </c>
      <c r="P83" s="34">
        <f>$F$83*'Risk Report'!$C$40</f>
        <v>0</v>
      </c>
      <c r="Q83" s="34">
        <f t="shared" si="3"/>
        <v>28.646467999999981</v>
      </c>
    </row>
    <row r="84" spans="1:17" x14ac:dyDescent="0.55000000000000004">
      <c r="A84" s="31" t="s">
        <v>253</v>
      </c>
      <c r="B84" s="32" t="s">
        <v>226</v>
      </c>
      <c r="C84" s="32" t="s">
        <v>51</v>
      </c>
      <c r="D84" s="32" t="s">
        <v>30</v>
      </c>
      <c r="E84" s="32" t="s">
        <v>228</v>
      </c>
      <c r="F84" s="33">
        <v>-7.1616169999999997</v>
      </c>
      <c r="G84" s="34">
        <f>$F$84*'Risk Report'!$C$31</f>
        <v>-53.712127499999994</v>
      </c>
      <c r="H84" s="34">
        <f>$F$84*'Risk Report'!$C$32</f>
        <v>-75.1969785</v>
      </c>
      <c r="I84" s="34">
        <f>$F$84*'Risk Report'!$C$33</f>
        <v>-7.1616169999999997</v>
      </c>
      <c r="J84" s="34">
        <f>$F$84*'Risk Report'!$C$34</f>
        <v>35.808084999999998</v>
      </c>
      <c r="K84" s="34">
        <f>$F$84*'Risk Report'!$C$35</f>
        <v>85.939403999999996</v>
      </c>
      <c r="L84" s="34">
        <f>$F$84*'Risk Report'!$C$36</f>
        <v>0</v>
      </c>
      <c r="M84" s="34">
        <f>$F$84*'Risk Report'!$C$37</f>
        <v>39.388893499999995</v>
      </c>
      <c r="N84" s="34">
        <f>$F$84*'Risk Report'!$C$38</f>
        <v>21.484850999999999</v>
      </c>
      <c r="O84" s="34">
        <f>$F$84*'Risk Report'!$C$39</f>
        <v>-17.904042499999999</v>
      </c>
      <c r="P84" s="34">
        <f>$F$84*'Risk Report'!$C$40</f>
        <v>0</v>
      </c>
      <c r="Q84" s="34">
        <f t="shared" si="3"/>
        <v>28.646467999999981</v>
      </c>
    </row>
    <row r="85" spans="1:17" x14ac:dyDescent="0.55000000000000004">
      <c r="A85" s="31" t="s">
        <v>254</v>
      </c>
      <c r="B85" s="32" t="s">
        <v>42</v>
      </c>
      <c r="C85" s="32" t="s">
        <v>29</v>
      </c>
      <c r="D85" s="32" t="s">
        <v>30</v>
      </c>
      <c r="E85" s="32" t="s">
        <v>225</v>
      </c>
      <c r="F85" s="33">
        <v>-7.1616169999999997</v>
      </c>
      <c r="G85" s="34">
        <f>$F$85*'Risk Report'!$B$31</f>
        <v>-12.532829749999999</v>
      </c>
      <c r="H85" s="34">
        <f>$F$85*'Risk Report'!$B$32</f>
        <v>-14.323233999999999</v>
      </c>
      <c r="I85" s="34">
        <f>$F$85*'Risk Report'!$B$33</f>
        <v>3.5808084999999998</v>
      </c>
      <c r="J85" s="34">
        <f>$F$85*'Risk Report'!$B$34</f>
        <v>4.6550510499999893</v>
      </c>
      <c r="K85" s="34">
        <f>$F$85*'Risk Report'!$B$35</f>
        <v>17.54596165000002</v>
      </c>
      <c r="L85" s="34">
        <f>$F$85*'Risk Report'!$B$36</f>
        <v>3.2227276499999693</v>
      </c>
      <c r="M85" s="34">
        <f>$F$85*'Risk Report'!$B$37</f>
        <v>8.2358595500000398</v>
      </c>
      <c r="N85" s="34">
        <f>$F$85*'Risk Report'!$B$38</f>
        <v>5.7292935999999797</v>
      </c>
      <c r="O85" s="34">
        <f>$F$85*'Risk Report'!$B$39</f>
        <v>-1.7904042499999999</v>
      </c>
      <c r="P85" s="34">
        <f>$F$85*'Risk Report'!$B$40</f>
        <v>0</v>
      </c>
      <c r="Q85" s="34">
        <f t="shared" si="3"/>
        <v>14.323234000000001</v>
      </c>
    </row>
    <row r="86" spans="1:17" x14ac:dyDescent="0.55000000000000004">
      <c r="A86" s="31" t="s">
        <v>285</v>
      </c>
      <c r="B86" s="32" t="s">
        <v>226</v>
      </c>
      <c r="C86" s="32" t="s">
        <v>29</v>
      </c>
      <c r="D86" s="32" t="s">
        <v>30</v>
      </c>
      <c r="E86" s="32" t="s">
        <v>225</v>
      </c>
      <c r="F86" s="33">
        <v>-7.1616169999999997</v>
      </c>
      <c r="G86" s="34">
        <f>$F$86*'Risk Report'!$B$31</f>
        <v>-12.532829749999999</v>
      </c>
      <c r="H86" s="34">
        <f>$F$86*'Risk Report'!$B$32</f>
        <v>-14.323233999999999</v>
      </c>
      <c r="I86" s="34">
        <f>$F$86*'Risk Report'!$B$33</f>
        <v>3.5808084999999998</v>
      </c>
      <c r="J86" s="34">
        <f>$F$86*'Risk Report'!$B$34</f>
        <v>4.6550510499999893</v>
      </c>
      <c r="K86" s="34">
        <f>$F$86*'Risk Report'!$B$35</f>
        <v>17.54596165000002</v>
      </c>
      <c r="L86" s="34">
        <f>$F$86*'Risk Report'!$B$36</f>
        <v>3.2227276499999693</v>
      </c>
      <c r="M86" s="34">
        <f>$F$86*'Risk Report'!$B$37</f>
        <v>8.2358595500000398</v>
      </c>
      <c r="N86" s="34">
        <f>$F$86*'Risk Report'!$B$38</f>
        <v>5.7292935999999797</v>
      </c>
      <c r="O86" s="34">
        <f>$F$86*'Risk Report'!$B$39</f>
        <v>-1.7904042499999999</v>
      </c>
      <c r="P86" s="34">
        <f>$F$86*'Risk Report'!$B$40</f>
        <v>0</v>
      </c>
      <c r="Q86" s="34">
        <f t="shared" si="3"/>
        <v>14.323234000000001</v>
      </c>
    </row>
    <row r="87" spans="1:17" x14ac:dyDescent="0.55000000000000004">
      <c r="A87" s="31" t="s">
        <v>256</v>
      </c>
      <c r="B87" s="32" t="s">
        <v>49</v>
      </c>
      <c r="C87" s="32" t="s">
        <v>29</v>
      </c>
      <c r="D87" s="32" t="s">
        <v>44</v>
      </c>
      <c r="E87" s="32" t="s">
        <v>227</v>
      </c>
      <c r="F87" s="33">
        <v>-7.1421659999999996</v>
      </c>
      <c r="G87" s="34">
        <f>$F$87*'Risk Report'!$E$31</f>
        <v>-19.426691519999991</v>
      </c>
      <c r="H87" s="34">
        <f>$F$87*'Risk Report'!$E$32</f>
        <v>-23.569147799999978</v>
      </c>
      <c r="I87" s="34">
        <f>$F$87*'Risk Report'!$E$33</f>
        <v>5.2137811799999776</v>
      </c>
      <c r="J87" s="34">
        <f>$F$87*'Risk Report'!$E$34</f>
        <v>-0.92848158000001824</v>
      </c>
      <c r="K87" s="34">
        <f>$F$87*'Risk Report'!$E$35</f>
        <v>7.9278042599999958</v>
      </c>
      <c r="L87" s="34">
        <f>$F$87*'Risk Report'!$E$36</f>
        <v>7.7849609400000235</v>
      </c>
      <c r="M87" s="34">
        <f>$F$87*'Risk Report'!$E$37</f>
        <v>13.998645360000005</v>
      </c>
      <c r="N87" s="34">
        <f>$F$87*'Risk Report'!$E$38</f>
        <v>-6.4279493999999895</v>
      </c>
      <c r="O87" s="34">
        <f>$F$87*'Risk Report'!$E$39</f>
        <v>2.8568663999999897</v>
      </c>
      <c r="P87" s="34">
        <f>$F$87*'Risk Report'!$E$40</f>
        <v>-5.9994194400000236</v>
      </c>
      <c r="Q87" s="34">
        <f t="shared" si="3"/>
        <v>-18.569631600000015</v>
      </c>
    </row>
    <row r="88" spans="1:17" x14ac:dyDescent="0.55000000000000004">
      <c r="A88" s="31" t="s">
        <v>257</v>
      </c>
      <c r="B88" s="32" t="s">
        <v>49</v>
      </c>
      <c r="C88" s="32" t="s">
        <v>29</v>
      </c>
      <c r="D88" s="32" t="s">
        <v>44</v>
      </c>
      <c r="E88" s="32" t="s">
        <v>227</v>
      </c>
      <c r="F88" s="33">
        <v>-6.9867400000000002</v>
      </c>
      <c r="G88" s="34">
        <f>$F$88*'Risk Report'!$E$31</f>
        <v>-19.003932799999994</v>
      </c>
      <c r="H88" s="34">
        <f>$F$88*'Risk Report'!$E$32</f>
        <v>-23.05624199999998</v>
      </c>
      <c r="I88" s="34">
        <f>$F$88*'Risk Report'!$E$33</f>
        <v>5.1003201999999783</v>
      </c>
      <c r="J88" s="34">
        <f>$F$88*'Risk Report'!$E$34</f>
        <v>-0.90827620000001785</v>
      </c>
      <c r="K88" s="34">
        <f>$F$88*'Risk Report'!$E$35</f>
        <v>7.7552813999999959</v>
      </c>
      <c r="L88" s="34">
        <f>$F$88*'Risk Report'!$E$36</f>
        <v>7.615546600000024</v>
      </c>
      <c r="M88" s="34">
        <f>$F$88*'Risk Report'!$E$37</f>
        <v>13.694010400000007</v>
      </c>
      <c r="N88" s="34">
        <f>$F$88*'Risk Report'!$E$38</f>
        <v>-6.2880659999999899</v>
      </c>
      <c r="O88" s="34">
        <f>$F$88*'Risk Report'!$E$39</f>
        <v>2.7946959999999903</v>
      </c>
      <c r="P88" s="34">
        <f>$F$88*'Risk Report'!$E$40</f>
        <v>-5.8688616000000238</v>
      </c>
      <c r="Q88" s="34">
        <f t="shared" si="3"/>
        <v>-18.165524000000008</v>
      </c>
    </row>
    <row r="89" spans="1:17" x14ac:dyDescent="0.55000000000000004">
      <c r="A89" s="31" t="s">
        <v>258</v>
      </c>
      <c r="B89" s="32" t="s">
        <v>42</v>
      </c>
      <c r="C89" s="32" t="s">
        <v>29</v>
      </c>
      <c r="D89" s="32" t="s">
        <v>30</v>
      </c>
      <c r="E89" s="32" t="s">
        <v>225</v>
      </c>
      <c r="F89" s="33">
        <v>-6.8906999999999998</v>
      </c>
      <c r="G89" s="34">
        <f>$F$89*'Risk Report'!$B$31</f>
        <v>-12.058724999999999</v>
      </c>
      <c r="H89" s="34">
        <f>$F$89*'Risk Report'!$B$32</f>
        <v>-13.7814</v>
      </c>
      <c r="I89" s="34">
        <f>$F$89*'Risk Report'!$B$33</f>
        <v>3.4453499999999999</v>
      </c>
      <c r="J89" s="34">
        <f>$F$89*'Risk Report'!$B$34</f>
        <v>4.4789549999999902</v>
      </c>
      <c r="K89" s="34">
        <f>$F$89*'Risk Report'!$B$35</f>
        <v>16.88221500000002</v>
      </c>
      <c r="L89" s="34">
        <f>$F$89*'Risk Report'!$B$36</f>
        <v>3.1008149999999706</v>
      </c>
      <c r="M89" s="34">
        <f>$F$89*'Risk Report'!$B$37</f>
        <v>7.9243050000000386</v>
      </c>
      <c r="N89" s="34">
        <f>$F$89*'Risk Report'!$B$38</f>
        <v>5.5125599999999801</v>
      </c>
      <c r="O89" s="34">
        <f>$F$89*'Risk Report'!$B$39</f>
        <v>-1.722675</v>
      </c>
      <c r="P89" s="34">
        <f>$F$89*'Risk Report'!$B$40</f>
        <v>0</v>
      </c>
      <c r="Q89" s="34">
        <f t="shared" si="3"/>
        <v>13.781399999999996</v>
      </c>
    </row>
    <row r="90" spans="1:17" x14ac:dyDescent="0.55000000000000004">
      <c r="A90" s="31" t="s">
        <v>259</v>
      </c>
      <c r="B90" s="32" t="s">
        <v>49</v>
      </c>
      <c r="C90" s="32" t="s">
        <v>29</v>
      </c>
      <c r="D90" s="32" t="s">
        <v>30</v>
      </c>
      <c r="E90" s="32" t="s">
        <v>225</v>
      </c>
      <c r="F90" s="33">
        <v>-6.8845169999999998</v>
      </c>
      <c r="G90" s="34">
        <f>$F$90*'Risk Report'!$B$31</f>
        <v>-12.047904749999999</v>
      </c>
      <c r="H90" s="34">
        <f>$F$90*'Risk Report'!$B$32</f>
        <v>-13.769034</v>
      </c>
      <c r="I90" s="34">
        <f>$F$90*'Risk Report'!$B$33</f>
        <v>3.4422584999999999</v>
      </c>
      <c r="J90" s="34">
        <f>$F$90*'Risk Report'!$B$34</f>
        <v>4.4749360499999904</v>
      </c>
      <c r="K90" s="34">
        <f>$F$90*'Risk Report'!$B$35</f>
        <v>16.867066650000019</v>
      </c>
      <c r="L90" s="34">
        <f>$F$90*'Risk Report'!$B$36</f>
        <v>3.0980326499999706</v>
      </c>
      <c r="M90" s="34">
        <f>$F$90*'Risk Report'!$B$37</f>
        <v>7.9171945500000387</v>
      </c>
      <c r="N90" s="34">
        <f>$F$90*'Risk Report'!$B$38</f>
        <v>5.5076135999999805</v>
      </c>
      <c r="O90" s="34">
        <f>$F$90*'Risk Report'!$B$39</f>
        <v>-1.7211292499999999</v>
      </c>
      <c r="P90" s="34">
        <f>$F$90*'Risk Report'!$B$40</f>
        <v>0</v>
      </c>
      <c r="Q90" s="34">
        <f t="shared" si="3"/>
        <v>13.769034000000001</v>
      </c>
    </row>
    <row r="91" spans="1:17" x14ac:dyDescent="0.55000000000000004">
      <c r="A91" s="31" t="s">
        <v>260</v>
      </c>
      <c r="B91" s="32" t="s">
        <v>38</v>
      </c>
      <c r="C91" s="32" t="s">
        <v>29</v>
      </c>
      <c r="D91" s="32" t="s">
        <v>30</v>
      </c>
      <c r="E91" s="32" t="s">
        <v>225</v>
      </c>
      <c r="F91" s="33">
        <v>-6.852436</v>
      </c>
      <c r="G91" s="34">
        <f>$F$91*'Risk Report'!$B$31</f>
        <v>-11.991763000000001</v>
      </c>
      <c r="H91" s="34">
        <f>$F$91*'Risk Report'!$B$32</f>
        <v>-13.704872</v>
      </c>
      <c r="I91" s="34">
        <f>$F$91*'Risk Report'!$B$33</f>
        <v>3.426218</v>
      </c>
      <c r="J91" s="34">
        <f>$F$91*'Risk Report'!$B$34</f>
        <v>4.4540833999999903</v>
      </c>
      <c r="K91" s="34">
        <f>$F$91*'Risk Report'!$B$35</f>
        <v>16.788468200000018</v>
      </c>
      <c r="L91" s="34">
        <f>$F$91*'Risk Report'!$B$36</f>
        <v>3.0835961999999708</v>
      </c>
      <c r="M91" s="34">
        <f>$F$91*'Risk Report'!$B$37</f>
        <v>7.8803014000000386</v>
      </c>
      <c r="N91" s="34">
        <f>$F$91*'Risk Report'!$B$38</f>
        <v>5.4819487999999801</v>
      </c>
      <c r="O91" s="34">
        <f>$F$91*'Risk Report'!$B$39</f>
        <v>-1.713109</v>
      </c>
      <c r="P91" s="34">
        <f>$F$91*'Risk Report'!$B$40</f>
        <v>0</v>
      </c>
      <c r="Q91" s="34">
        <f t="shared" ref="Q91:Q109" si="4">SUM(G91:P91)</f>
        <v>13.704871999999998</v>
      </c>
    </row>
    <row r="92" spans="1:17" x14ac:dyDescent="0.55000000000000004">
      <c r="A92" s="31" t="s">
        <v>261</v>
      </c>
      <c r="B92" s="32" t="s">
        <v>24</v>
      </c>
      <c r="C92" s="32" t="s">
        <v>29</v>
      </c>
      <c r="D92" s="32" t="s">
        <v>30</v>
      </c>
      <c r="E92" s="32" t="s">
        <v>225</v>
      </c>
      <c r="F92" s="33">
        <v>-6.8502390000000002</v>
      </c>
      <c r="G92" s="34">
        <f>$F$92*'Risk Report'!$B$31</f>
        <v>-11.98791825</v>
      </c>
      <c r="H92" s="34">
        <f>$F$92*'Risk Report'!$B$32</f>
        <v>-13.700478</v>
      </c>
      <c r="I92" s="34">
        <f>$F$92*'Risk Report'!$B$33</f>
        <v>3.4251195000000001</v>
      </c>
      <c r="J92" s="34">
        <f>$F$92*'Risk Report'!$B$34</f>
        <v>4.4526553499999908</v>
      </c>
      <c r="K92" s="34">
        <f>$F$92*'Risk Report'!$B$35</f>
        <v>16.78308555000002</v>
      </c>
      <c r="L92" s="34">
        <f>$F$92*'Risk Report'!$B$36</f>
        <v>3.0826075499999708</v>
      </c>
      <c r="M92" s="34">
        <f>$F$92*'Risk Report'!$B$37</f>
        <v>7.8777748500000389</v>
      </c>
      <c r="N92" s="34">
        <f>$F$92*'Risk Report'!$B$38</f>
        <v>5.4801911999999806</v>
      </c>
      <c r="O92" s="34">
        <f>$F$92*'Risk Report'!$B$39</f>
        <v>-1.71255975</v>
      </c>
      <c r="P92" s="34">
        <f>$F$92*'Risk Report'!$B$40</f>
        <v>0</v>
      </c>
      <c r="Q92" s="34">
        <f t="shared" si="4"/>
        <v>13.700478</v>
      </c>
    </row>
    <row r="93" spans="1:17" x14ac:dyDescent="0.55000000000000004">
      <c r="A93" s="31" t="s">
        <v>286</v>
      </c>
      <c r="B93" s="32" t="s">
        <v>24</v>
      </c>
      <c r="C93" s="32" t="s">
        <v>59</v>
      </c>
      <c r="D93" s="32" t="s">
        <v>44</v>
      </c>
      <c r="E93" s="32" t="s">
        <v>229</v>
      </c>
      <c r="F93" s="33">
        <v>-6.5502779999999996</v>
      </c>
      <c r="G93" s="34">
        <f>$F$93*'Risk Report'!$F$31</f>
        <v>-97.36988247000005</v>
      </c>
      <c r="H93" s="34">
        <f>$F$93*'Risk Report'!$F$32</f>
        <v>-116.92246229999976</v>
      </c>
      <c r="I93" s="34">
        <f>$F$93*'Risk Report'!$F$33</f>
        <v>21.091895159999805</v>
      </c>
      <c r="J93" s="34">
        <f>$F$93*'Risk Report'!$F$34</f>
        <v>5.8297474199999106</v>
      </c>
      <c r="K93" s="34">
        <f>$F$93*'Risk Report'!$F$35</f>
        <v>33.340915020000203</v>
      </c>
      <c r="L93" s="34">
        <f>$F$93*'Risk Report'!$F$36</f>
        <v>26.397620339999818</v>
      </c>
      <c r="M93" s="34">
        <f>$F$93*'Risk Report'!$F$37</f>
        <v>70.808505180000012</v>
      </c>
      <c r="N93" s="34">
        <f>$F$93*'Risk Report'!$F$38</f>
        <v>-39.367170779999938</v>
      </c>
      <c r="O93" s="34">
        <f>$F$93*'Risk Report'!$F$39</f>
        <v>23.384492459999954</v>
      </c>
      <c r="P93" s="34">
        <f>$F$93*'Risk Report'!$F$40</f>
        <v>-52.664235119999759</v>
      </c>
      <c r="Q93" s="34">
        <f t="shared" si="4"/>
        <v>-125.47057508999983</v>
      </c>
    </row>
    <row r="94" spans="1:17" x14ac:dyDescent="0.55000000000000004">
      <c r="A94" s="31" t="s">
        <v>287</v>
      </c>
      <c r="B94" s="32" t="s">
        <v>24</v>
      </c>
      <c r="C94" s="32" t="s">
        <v>29</v>
      </c>
      <c r="D94" s="32" t="s">
        <v>30</v>
      </c>
      <c r="E94" s="32" t="s">
        <v>225</v>
      </c>
      <c r="F94" s="33">
        <v>-6.5500679999999996</v>
      </c>
      <c r="G94" s="34">
        <f>$F$94*'Risk Report'!$B$31</f>
        <v>-11.462619</v>
      </c>
      <c r="H94" s="34">
        <f>$F$94*'Risk Report'!$B$32</f>
        <v>-13.100135999999999</v>
      </c>
      <c r="I94" s="34">
        <f>$F$94*'Risk Report'!$B$33</f>
        <v>3.2750339999999998</v>
      </c>
      <c r="J94" s="34">
        <f>$F$94*'Risk Report'!$B$34</f>
        <v>4.2575441999999901</v>
      </c>
      <c r="K94" s="34">
        <f>$F$94*'Risk Report'!$B$35</f>
        <v>16.047666600000017</v>
      </c>
      <c r="L94" s="34">
        <f>$F$94*'Risk Report'!$B$36</f>
        <v>2.9475305999999719</v>
      </c>
      <c r="M94" s="34">
        <f>$F$94*'Risk Report'!$B$37</f>
        <v>7.532578200000037</v>
      </c>
      <c r="N94" s="34">
        <f>$F$94*'Risk Report'!$B$38</f>
        <v>5.2400543999999813</v>
      </c>
      <c r="O94" s="34">
        <f>$F$94*'Risk Report'!$B$39</f>
        <v>-1.6375169999999999</v>
      </c>
      <c r="P94" s="34">
        <f>$F$94*'Risk Report'!$B$40</f>
        <v>0</v>
      </c>
      <c r="Q94" s="34">
        <f t="shared" si="4"/>
        <v>13.100136000000003</v>
      </c>
    </row>
    <row r="95" spans="1:17" x14ac:dyDescent="0.55000000000000004">
      <c r="A95" s="31" t="s">
        <v>84</v>
      </c>
      <c r="B95" s="32" t="s">
        <v>56</v>
      </c>
      <c r="C95" s="32" t="s">
        <v>29</v>
      </c>
      <c r="D95" s="32" t="s">
        <v>44</v>
      </c>
      <c r="E95" s="32" t="s">
        <v>227</v>
      </c>
      <c r="F95" s="33">
        <v>-6.5500679999999996</v>
      </c>
      <c r="G95" s="34">
        <f>$F$95*'Risk Report'!$E$31</f>
        <v>-17.81618495999999</v>
      </c>
      <c r="H95" s="34">
        <f>$F$95*'Risk Report'!$E$32</f>
        <v>-21.615224399999981</v>
      </c>
      <c r="I95" s="34">
        <f>$F$95*'Risk Report'!$E$33</f>
        <v>4.7815496399999793</v>
      </c>
      <c r="J95" s="34">
        <f>$F$95*'Risk Report'!$E$34</f>
        <v>-0.8515088400000167</v>
      </c>
      <c r="K95" s="34">
        <f>$F$95*'Risk Report'!$E$35</f>
        <v>7.2705754799999962</v>
      </c>
      <c r="L95" s="34">
        <f>$F$95*'Risk Report'!$E$36</f>
        <v>7.139574120000022</v>
      </c>
      <c r="M95" s="34">
        <f>$F$95*'Risk Report'!$E$37</f>
        <v>12.838133280000005</v>
      </c>
      <c r="N95" s="34">
        <f>$F$95*'Risk Report'!$E$38</f>
        <v>-5.89506119999999</v>
      </c>
      <c r="O95" s="34">
        <f>$F$95*'Risk Report'!$E$39</f>
        <v>2.6200271999999907</v>
      </c>
      <c r="P95" s="34">
        <f>$F$95*'Risk Report'!$E$40</f>
        <v>-5.5020571200000221</v>
      </c>
      <c r="Q95" s="34">
        <f t="shared" si="4"/>
        <v>-17.03017680000001</v>
      </c>
    </row>
    <row r="96" spans="1:17" x14ac:dyDescent="0.55000000000000004">
      <c r="A96" s="31" t="s">
        <v>264</v>
      </c>
      <c r="B96" s="32" t="s">
        <v>42</v>
      </c>
      <c r="C96" s="32" t="s">
        <v>29</v>
      </c>
      <c r="D96" s="32" t="s">
        <v>44</v>
      </c>
      <c r="E96" s="32" t="s">
        <v>227</v>
      </c>
      <c r="F96" s="33">
        <v>-6.5500679999999996</v>
      </c>
      <c r="G96" s="34">
        <f>$F$96*'Risk Report'!$E$31</f>
        <v>-17.81618495999999</v>
      </c>
      <c r="H96" s="34">
        <f>$F$96*'Risk Report'!$E$32</f>
        <v>-21.615224399999981</v>
      </c>
      <c r="I96" s="34">
        <f>$F$96*'Risk Report'!$E$33</f>
        <v>4.7815496399999793</v>
      </c>
      <c r="J96" s="34">
        <f>$F$96*'Risk Report'!$E$34</f>
        <v>-0.8515088400000167</v>
      </c>
      <c r="K96" s="34">
        <f>$F$96*'Risk Report'!$E$35</f>
        <v>7.2705754799999962</v>
      </c>
      <c r="L96" s="34">
        <f>$F$96*'Risk Report'!$E$36</f>
        <v>7.139574120000022</v>
      </c>
      <c r="M96" s="34">
        <f>$F$96*'Risk Report'!$E$37</f>
        <v>12.838133280000005</v>
      </c>
      <c r="N96" s="34">
        <f>$F$96*'Risk Report'!$E$38</f>
        <v>-5.89506119999999</v>
      </c>
      <c r="O96" s="34">
        <f>$F$96*'Risk Report'!$E$39</f>
        <v>2.6200271999999907</v>
      </c>
      <c r="P96" s="34">
        <f>$F$96*'Risk Report'!$E$40</f>
        <v>-5.5020571200000221</v>
      </c>
      <c r="Q96" s="34">
        <f t="shared" si="4"/>
        <v>-17.03017680000001</v>
      </c>
    </row>
    <row r="97" spans="1:17" x14ac:dyDescent="0.55000000000000004">
      <c r="A97" s="31" t="s">
        <v>265</v>
      </c>
      <c r="B97" s="32" t="s">
        <v>49</v>
      </c>
      <c r="C97" s="32" t="s">
        <v>29</v>
      </c>
      <c r="D97" s="32" t="s">
        <v>44</v>
      </c>
      <c r="E97" s="32" t="s">
        <v>227</v>
      </c>
      <c r="F97" s="33">
        <v>-6.4960930000000001</v>
      </c>
      <c r="G97" s="34">
        <f>$F$97*'Risk Report'!$E$31</f>
        <v>-17.669372959999993</v>
      </c>
      <c r="H97" s="34">
        <f>$F$97*'Risk Report'!$E$32</f>
        <v>-21.437106899999982</v>
      </c>
      <c r="I97" s="34">
        <f>$F$97*'Risk Report'!$E$33</f>
        <v>4.7421478899999796</v>
      </c>
      <c r="J97" s="34">
        <f>$F$97*'Risk Report'!$E$34</f>
        <v>-0.84449209000001668</v>
      </c>
      <c r="K97" s="34">
        <f>$F$97*'Risk Report'!$E$35</f>
        <v>7.2106632299999962</v>
      </c>
      <c r="L97" s="34">
        <f>$F$97*'Risk Report'!$E$36</f>
        <v>7.0807413700000223</v>
      </c>
      <c r="M97" s="34">
        <f>$F$97*'Risk Report'!$E$37</f>
        <v>12.732342280000006</v>
      </c>
      <c r="N97" s="34">
        <f>$F$97*'Risk Report'!$E$38</f>
        <v>-5.8464836999999905</v>
      </c>
      <c r="O97" s="34">
        <f>$F$97*'Risk Report'!$E$39</f>
        <v>2.5984371999999909</v>
      </c>
      <c r="P97" s="34">
        <f>$F$97*'Risk Report'!$E$40</f>
        <v>-5.4567181200000219</v>
      </c>
      <c r="Q97" s="34">
        <f t="shared" si="4"/>
        <v>-16.889841800000017</v>
      </c>
    </row>
    <row r="98" spans="1:17" x14ac:dyDescent="0.55000000000000004">
      <c r="A98" s="31" t="s">
        <v>266</v>
      </c>
      <c r="B98" s="32" t="s">
        <v>42</v>
      </c>
      <c r="C98" s="32" t="s">
        <v>29</v>
      </c>
      <c r="D98" s="32" t="s">
        <v>30</v>
      </c>
      <c r="E98" s="32" t="s">
        <v>225</v>
      </c>
      <c r="F98" s="33">
        <v>-6.365882</v>
      </c>
      <c r="G98" s="34">
        <f>$F$98*'Risk Report'!$B$31</f>
        <v>-11.1402935</v>
      </c>
      <c r="H98" s="34">
        <f>$F$98*'Risk Report'!$B$32</f>
        <v>-12.731764</v>
      </c>
      <c r="I98" s="34">
        <f>$F$98*'Risk Report'!$B$33</f>
        <v>3.182941</v>
      </c>
      <c r="J98" s="34">
        <f>$F$98*'Risk Report'!$B$34</f>
        <v>4.1378232999999911</v>
      </c>
      <c r="K98" s="34">
        <f>$F$98*'Risk Report'!$B$35</f>
        <v>15.596410900000018</v>
      </c>
      <c r="L98" s="34">
        <f>$F$98*'Risk Report'!$B$36</f>
        <v>2.8646468999999728</v>
      </c>
      <c r="M98" s="34">
        <f>$F$98*'Risk Report'!$B$37</f>
        <v>7.320764300000036</v>
      </c>
      <c r="N98" s="34">
        <f>$F$98*'Risk Report'!$B$38</f>
        <v>5.0927055999999817</v>
      </c>
      <c r="O98" s="34">
        <f>$F$98*'Risk Report'!$B$39</f>
        <v>-1.5914705</v>
      </c>
      <c r="P98" s="34">
        <f>$F$98*'Risk Report'!$B$40</f>
        <v>0</v>
      </c>
      <c r="Q98" s="34">
        <f t="shared" si="4"/>
        <v>12.731763999999998</v>
      </c>
    </row>
    <row r="99" spans="1:17" x14ac:dyDescent="0.55000000000000004">
      <c r="A99" s="31" t="s">
        <v>288</v>
      </c>
      <c r="B99" s="32" t="s">
        <v>24</v>
      </c>
      <c r="C99" s="32" t="s">
        <v>29</v>
      </c>
      <c r="D99" s="32" t="s">
        <v>30</v>
      </c>
      <c r="E99" s="32" t="s">
        <v>225</v>
      </c>
      <c r="F99" s="33">
        <v>-6.365882</v>
      </c>
      <c r="G99" s="34">
        <f>$F$99*'Risk Report'!$B$31</f>
        <v>-11.1402935</v>
      </c>
      <c r="H99" s="34">
        <f>$F$99*'Risk Report'!$B$32</f>
        <v>-12.731764</v>
      </c>
      <c r="I99" s="34">
        <f>$F$99*'Risk Report'!$B$33</f>
        <v>3.182941</v>
      </c>
      <c r="J99" s="34">
        <f>$F$99*'Risk Report'!$B$34</f>
        <v>4.1378232999999911</v>
      </c>
      <c r="K99" s="34">
        <f>$F$99*'Risk Report'!$B$35</f>
        <v>15.596410900000018</v>
      </c>
      <c r="L99" s="34">
        <f>$F$99*'Risk Report'!$B$36</f>
        <v>2.8646468999999728</v>
      </c>
      <c r="M99" s="34">
        <f>$F$99*'Risk Report'!$B$37</f>
        <v>7.320764300000036</v>
      </c>
      <c r="N99" s="34">
        <f>$F$99*'Risk Report'!$B$38</f>
        <v>5.0927055999999817</v>
      </c>
      <c r="O99" s="34">
        <f>$F$99*'Risk Report'!$B$39</f>
        <v>-1.5914705</v>
      </c>
      <c r="P99" s="34">
        <f>$F$99*'Risk Report'!$B$40</f>
        <v>0</v>
      </c>
      <c r="Q99" s="34">
        <f t="shared" si="4"/>
        <v>12.731763999999998</v>
      </c>
    </row>
    <row r="100" spans="1:17" x14ac:dyDescent="0.55000000000000004">
      <c r="A100" s="31" t="s">
        <v>289</v>
      </c>
      <c r="B100" s="32" t="s">
        <v>42</v>
      </c>
      <c r="C100" s="32" t="s">
        <v>29</v>
      </c>
      <c r="D100" s="32" t="s">
        <v>30</v>
      </c>
      <c r="E100" s="32" t="s">
        <v>225</v>
      </c>
      <c r="F100" s="33">
        <v>-6.3094070000000002</v>
      </c>
      <c r="G100" s="34">
        <f>$F$100*'Risk Report'!$B$31</f>
        <v>-11.04146225</v>
      </c>
      <c r="H100" s="34">
        <f>$F$100*'Risk Report'!$B$32</f>
        <v>-12.618814</v>
      </c>
      <c r="I100" s="34">
        <f>$F$100*'Risk Report'!$B$33</f>
        <v>3.1547035000000001</v>
      </c>
      <c r="J100" s="34">
        <f>$F$100*'Risk Report'!$B$34</f>
        <v>4.1011145499999913</v>
      </c>
      <c r="K100" s="34">
        <f>$F$100*'Risk Report'!$B$35</f>
        <v>15.458047150000018</v>
      </c>
      <c r="L100" s="34">
        <f>$F$100*'Risk Report'!$B$36</f>
        <v>2.839233149999973</v>
      </c>
      <c r="M100" s="34">
        <f>$F$100*'Risk Report'!$B$37</f>
        <v>7.2558180500000358</v>
      </c>
      <c r="N100" s="34">
        <f>$F$100*'Risk Report'!$B$38</f>
        <v>5.0475255999999824</v>
      </c>
      <c r="O100" s="34">
        <f>$F$100*'Risk Report'!$B$39</f>
        <v>-1.5773517500000001</v>
      </c>
      <c r="P100" s="34">
        <f>$F$100*'Risk Report'!$B$40</f>
        <v>0</v>
      </c>
      <c r="Q100" s="34">
        <f t="shared" si="4"/>
        <v>12.618813999999999</v>
      </c>
    </row>
    <row r="101" spans="1:17" x14ac:dyDescent="0.55000000000000004">
      <c r="A101" s="31" t="s">
        <v>91</v>
      </c>
      <c r="B101" s="32" t="s">
        <v>93</v>
      </c>
      <c r="C101" s="32" t="s">
        <v>29</v>
      </c>
      <c r="D101" s="32" t="s">
        <v>30</v>
      </c>
      <c r="E101" s="32" t="s">
        <v>225</v>
      </c>
      <c r="F101" s="33">
        <v>-6.232164</v>
      </c>
      <c r="G101" s="34">
        <f>$F$101*'Risk Report'!$B$31</f>
        <v>-10.906287000000001</v>
      </c>
      <c r="H101" s="34">
        <f>$F$101*'Risk Report'!$B$32</f>
        <v>-12.464328</v>
      </c>
      <c r="I101" s="34">
        <f>$F$101*'Risk Report'!$B$33</f>
        <v>3.116082</v>
      </c>
      <c r="J101" s="34">
        <f>$F$101*'Risk Report'!$B$34</f>
        <v>4.0509065999999914</v>
      </c>
      <c r="K101" s="34">
        <f>$F$101*'Risk Report'!$B$35</f>
        <v>15.268801800000018</v>
      </c>
      <c r="L101" s="34">
        <f>$F$101*'Risk Report'!$B$36</f>
        <v>2.8044737999999736</v>
      </c>
      <c r="M101" s="34">
        <f>$F$101*'Risk Report'!$B$37</f>
        <v>7.1669886000000353</v>
      </c>
      <c r="N101" s="34">
        <f>$F$101*'Risk Report'!$B$38</f>
        <v>4.9857311999999823</v>
      </c>
      <c r="O101" s="34">
        <f>$F$101*'Risk Report'!$B$39</f>
        <v>-1.558041</v>
      </c>
      <c r="P101" s="34">
        <f>$F$101*'Risk Report'!$B$40</f>
        <v>0</v>
      </c>
      <c r="Q101" s="34">
        <f t="shared" si="4"/>
        <v>12.464327999999998</v>
      </c>
    </row>
    <row r="102" spans="1:17" x14ac:dyDescent="0.55000000000000004">
      <c r="A102" s="31" t="s">
        <v>290</v>
      </c>
      <c r="B102" s="32" t="s">
        <v>24</v>
      </c>
      <c r="C102" s="32" t="s">
        <v>29</v>
      </c>
      <c r="D102" s="32" t="s">
        <v>30</v>
      </c>
      <c r="E102" s="32" t="s">
        <v>225</v>
      </c>
      <c r="F102" s="33">
        <v>-6.0636419999999998</v>
      </c>
      <c r="G102" s="34">
        <f>$F$102*'Risk Report'!$B$31</f>
        <v>-10.611373499999999</v>
      </c>
      <c r="H102" s="34">
        <f>$F$102*'Risk Report'!$B$32</f>
        <v>-12.127284</v>
      </c>
      <c r="I102" s="34">
        <f>$F$102*'Risk Report'!$B$33</f>
        <v>3.0318209999999999</v>
      </c>
      <c r="J102" s="34">
        <f>$F$102*'Risk Report'!$B$34</f>
        <v>3.9413672999999911</v>
      </c>
      <c r="K102" s="34">
        <f>$F$102*'Risk Report'!$B$35</f>
        <v>14.855922900000017</v>
      </c>
      <c r="L102" s="34">
        <f>$F$102*'Risk Report'!$B$36</f>
        <v>2.7286388999999742</v>
      </c>
      <c r="M102" s="34">
        <f>$F$102*'Risk Report'!$B$37</f>
        <v>6.9731883000000341</v>
      </c>
      <c r="N102" s="34">
        <f>$F$102*'Risk Report'!$B$38</f>
        <v>4.8509135999999824</v>
      </c>
      <c r="O102" s="34">
        <f>$F$102*'Risk Report'!$B$39</f>
        <v>-1.5159104999999999</v>
      </c>
      <c r="P102" s="34">
        <f>$F$102*'Risk Report'!$B$40</f>
        <v>0</v>
      </c>
      <c r="Q102" s="34">
        <f t="shared" si="4"/>
        <v>12.127284000000001</v>
      </c>
    </row>
    <row r="103" spans="1:17" x14ac:dyDescent="0.55000000000000004">
      <c r="A103" s="31" t="s">
        <v>291</v>
      </c>
      <c r="B103" s="32" t="s">
        <v>42</v>
      </c>
      <c r="C103" s="32" t="s">
        <v>29</v>
      </c>
      <c r="D103" s="32" t="s">
        <v>44</v>
      </c>
      <c r="E103" s="32" t="s">
        <v>227</v>
      </c>
      <c r="F103" s="33">
        <v>-6.0142049999999996</v>
      </c>
      <c r="G103" s="34">
        <f>$F$103*'Risk Report'!$E$31</f>
        <v>-16.358637599999991</v>
      </c>
      <c r="H103" s="34">
        <f>$F$103*'Risk Report'!$E$32</f>
        <v>-19.846876499999983</v>
      </c>
      <c r="I103" s="34">
        <f>$F$103*'Risk Report'!$E$33</f>
        <v>4.3903696499999807</v>
      </c>
      <c r="J103" s="34">
        <f>$F$103*'Risk Report'!$E$34</f>
        <v>-0.7818466500000153</v>
      </c>
      <c r="K103" s="34">
        <f>$F$103*'Risk Report'!$E$35</f>
        <v>6.6757675499999962</v>
      </c>
      <c r="L103" s="34">
        <f>$F$103*'Risk Report'!$E$36</f>
        <v>6.5554834500000201</v>
      </c>
      <c r="M103" s="34">
        <f>$F$103*'Risk Report'!$E$37</f>
        <v>11.787841800000004</v>
      </c>
      <c r="N103" s="34">
        <f>$F$103*'Risk Report'!$E$38</f>
        <v>-5.412784499999991</v>
      </c>
      <c r="O103" s="34">
        <f>$F$103*'Risk Report'!$E$39</f>
        <v>2.4056819999999912</v>
      </c>
      <c r="P103" s="34">
        <f>$F$103*'Risk Report'!$E$40</f>
        <v>-5.05193220000002</v>
      </c>
      <c r="Q103" s="34">
        <f t="shared" si="4"/>
        <v>-15.636933000000006</v>
      </c>
    </row>
    <row r="104" spans="1:17" x14ac:dyDescent="0.55000000000000004">
      <c r="A104" s="31" t="s">
        <v>292</v>
      </c>
      <c r="B104" s="32" t="s">
        <v>24</v>
      </c>
      <c r="C104" s="32" t="s">
        <v>29</v>
      </c>
      <c r="D104" s="32" t="s">
        <v>30</v>
      </c>
      <c r="E104" s="32" t="s">
        <v>225</v>
      </c>
      <c r="F104" s="33">
        <v>-5.9680140000000002</v>
      </c>
      <c r="G104" s="34">
        <f>$F$104*'Risk Report'!$B$31</f>
        <v>-10.444024500000001</v>
      </c>
      <c r="H104" s="34">
        <f>$F$104*'Risk Report'!$B$32</f>
        <v>-11.936028</v>
      </c>
      <c r="I104" s="34">
        <f>$F$104*'Risk Report'!$B$33</f>
        <v>2.9840070000000001</v>
      </c>
      <c r="J104" s="34">
        <f>$F$104*'Risk Report'!$B$34</f>
        <v>3.8792090999999917</v>
      </c>
      <c r="K104" s="34">
        <f>$F$104*'Risk Report'!$B$35</f>
        <v>14.621634300000018</v>
      </c>
      <c r="L104" s="34">
        <f>$F$104*'Risk Report'!$B$36</f>
        <v>2.6856062999999746</v>
      </c>
      <c r="M104" s="34">
        <f>$F$104*'Risk Report'!$B$37</f>
        <v>6.8632161000000345</v>
      </c>
      <c r="N104" s="34">
        <f>$F$104*'Risk Report'!$B$38</f>
        <v>4.7744111999999834</v>
      </c>
      <c r="O104" s="34">
        <f>$F$104*'Risk Report'!$B$39</f>
        <v>-1.4920035</v>
      </c>
      <c r="P104" s="34">
        <f>$F$104*'Risk Report'!$B$40</f>
        <v>0</v>
      </c>
      <c r="Q104" s="34">
        <f t="shared" si="4"/>
        <v>11.936028000000004</v>
      </c>
    </row>
    <row r="105" spans="1:17" x14ac:dyDescent="0.55000000000000004">
      <c r="A105" s="31" t="s">
        <v>293</v>
      </c>
      <c r="B105" s="32" t="s">
        <v>24</v>
      </c>
      <c r="C105" s="32" t="s">
        <v>29</v>
      </c>
      <c r="D105" s="32" t="s">
        <v>30</v>
      </c>
      <c r="E105" s="32" t="s">
        <v>225</v>
      </c>
      <c r="F105" s="33">
        <v>-5.9680140000000002</v>
      </c>
      <c r="G105" s="34">
        <f>$F$105*'Risk Report'!$B$31</f>
        <v>-10.444024500000001</v>
      </c>
      <c r="H105" s="34">
        <f>$F$105*'Risk Report'!$B$32</f>
        <v>-11.936028</v>
      </c>
      <c r="I105" s="34">
        <f>$F$105*'Risk Report'!$B$33</f>
        <v>2.9840070000000001</v>
      </c>
      <c r="J105" s="34">
        <f>$F$105*'Risk Report'!$B$34</f>
        <v>3.8792090999999917</v>
      </c>
      <c r="K105" s="34">
        <f>$F$105*'Risk Report'!$B$35</f>
        <v>14.621634300000018</v>
      </c>
      <c r="L105" s="34">
        <f>$F$105*'Risk Report'!$B$36</f>
        <v>2.6856062999999746</v>
      </c>
      <c r="M105" s="34">
        <f>$F$105*'Risk Report'!$B$37</f>
        <v>6.8632161000000345</v>
      </c>
      <c r="N105" s="34">
        <f>$F$105*'Risk Report'!$B$38</f>
        <v>4.7744111999999834</v>
      </c>
      <c r="O105" s="34">
        <f>$F$105*'Risk Report'!$B$39</f>
        <v>-1.4920035</v>
      </c>
      <c r="P105" s="34">
        <f>$F$105*'Risk Report'!$B$40</f>
        <v>0</v>
      </c>
      <c r="Q105" s="34">
        <f t="shared" si="4"/>
        <v>11.936028000000004</v>
      </c>
    </row>
    <row r="106" spans="1:17" x14ac:dyDescent="0.55000000000000004">
      <c r="A106" s="31" t="s">
        <v>294</v>
      </c>
      <c r="B106" s="32" t="s">
        <v>24</v>
      </c>
      <c r="C106" s="32" t="s">
        <v>29</v>
      </c>
      <c r="D106" s="32" t="s">
        <v>30</v>
      </c>
      <c r="E106" s="32" t="s">
        <v>225</v>
      </c>
      <c r="F106" s="33">
        <v>-5.9680140000000002</v>
      </c>
      <c r="G106" s="34">
        <f>$F$106*'Risk Report'!$B$31</f>
        <v>-10.444024500000001</v>
      </c>
      <c r="H106" s="34">
        <f>$F$106*'Risk Report'!$B$32</f>
        <v>-11.936028</v>
      </c>
      <c r="I106" s="34">
        <f>$F$106*'Risk Report'!$B$33</f>
        <v>2.9840070000000001</v>
      </c>
      <c r="J106" s="34">
        <f>$F$106*'Risk Report'!$B$34</f>
        <v>3.8792090999999917</v>
      </c>
      <c r="K106" s="34">
        <f>$F$106*'Risk Report'!$B$35</f>
        <v>14.621634300000018</v>
      </c>
      <c r="L106" s="34">
        <f>$F$106*'Risk Report'!$B$36</f>
        <v>2.6856062999999746</v>
      </c>
      <c r="M106" s="34">
        <f>$F$106*'Risk Report'!$B$37</f>
        <v>6.8632161000000345</v>
      </c>
      <c r="N106" s="34">
        <f>$F$106*'Risk Report'!$B$38</f>
        <v>4.7744111999999834</v>
      </c>
      <c r="O106" s="34">
        <f>$F$106*'Risk Report'!$B$39</f>
        <v>-1.4920035</v>
      </c>
      <c r="P106" s="34">
        <f>$F$106*'Risk Report'!$B$40</f>
        <v>0</v>
      </c>
      <c r="Q106" s="34">
        <f t="shared" si="4"/>
        <v>11.936028000000004</v>
      </c>
    </row>
    <row r="107" spans="1:17" x14ac:dyDescent="0.55000000000000004">
      <c r="A107" s="31" t="s">
        <v>295</v>
      </c>
      <c r="B107" s="32" t="s">
        <v>24</v>
      </c>
      <c r="C107" s="32" t="s">
        <v>29</v>
      </c>
      <c r="D107" s="32" t="s">
        <v>30</v>
      </c>
      <c r="E107" s="32" t="s">
        <v>225</v>
      </c>
      <c r="F107" s="33">
        <v>-5.9680140000000002</v>
      </c>
      <c r="G107" s="34">
        <f>$F$107*'Risk Report'!$B$31</f>
        <v>-10.444024500000001</v>
      </c>
      <c r="H107" s="34">
        <f>$F$107*'Risk Report'!$B$32</f>
        <v>-11.936028</v>
      </c>
      <c r="I107" s="34">
        <f>$F$107*'Risk Report'!$B$33</f>
        <v>2.9840070000000001</v>
      </c>
      <c r="J107" s="34">
        <f>$F$107*'Risk Report'!$B$34</f>
        <v>3.8792090999999917</v>
      </c>
      <c r="K107" s="34">
        <f>$F$107*'Risk Report'!$B$35</f>
        <v>14.621634300000018</v>
      </c>
      <c r="L107" s="34">
        <f>$F$107*'Risk Report'!$B$36</f>
        <v>2.6856062999999746</v>
      </c>
      <c r="M107" s="34">
        <f>$F$107*'Risk Report'!$B$37</f>
        <v>6.8632161000000345</v>
      </c>
      <c r="N107" s="34">
        <f>$F$107*'Risk Report'!$B$38</f>
        <v>4.7744111999999834</v>
      </c>
      <c r="O107" s="34">
        <f>$F$107*'Risk Report'!$B$39</f>
        <v>-1.4920035</v>
      </c>
      <c r="P107" s="34">
        <f>$F$107*'Risk Report'!$B$40</f>
        <v>0</v>
      </c>
      <c r="Q107" s="34">
        <f t="shared" si="4"/>
        <v>11.936028000000004</v>
      </c>
    </row>
    <row r="108" spans="1:17" x14ac:dyDescent="0.55000000000000004">
      <c r="A108" s="31" t="s">
        <v>296</v>
      </c>
      <c r="B108" s="32" t="s">
        <v>24</v>
      </c>
      <c r="C108" s="32" t="s">
        <v>29</v>
      </c>
      <c r="D108" s="32" t="s">
        <v>30</v>
      </c>
      <c r="E108" s="32" t="s">
        <v>225</v>
      </c>
      <c r="F108" s="33">
        <v>-5.9680140000000002</v>
      </c>
      <c r="G108" s="34">
        <f>$F$108*'Risk Report'!$B$31</f>
        <v>-10.444024500000001</v>
      </c>
      <c r="H108" s="34">
        <f>$F$108*'Risk Report'!$B$32</f>
        <v>-11.936028</v>
      </c>
      <c r="I108" s="34">
        <f>$F$108*'Risk Report'!$B$33</f>
        <v>2.9840070000000001</v>
      </c>
      <c r="J108" s="34">
        <f>$F$108*'Risk Report'!$B$34</f>
        <v>3.8792090999999917</v>
      </c>
      <c r="K108" s="34">
        <f>$F$108*'Risk Report'!$B$35</f>
        <v>14.621634300000018</v>
      </c>
      <c r="L108" s="34">
        <f>$F$108*'Risk Report'!$B$36</f>
        <v>2.6856062999999746</v>
      </c>
      <c r="M108" s="34">
        <f>$F$108*'Risk Report'!$B$37</f>
        <v>6.8632161000000345</v>
      </c>
      <c r="N108" s="34">
        <f>$F$108*'Risk Report'!$B$38</f>
        <v>4.7744111999999834</v>
      </c>
      <c r="O108" s="34">
        <f>$F$108*'Risk Report'!$B$39</f>
        <v>-1.4920035</v>
      </c>
      <c r="P108" s="34">
        <f>$F$108*'Risk Report'!$B$40</f>
        <v>0</v>
      </c>
      <c r="Q108" s="34">
        <f t="shared" si="4"/>
        <v>11.936028000000004</v>
      </c>
    </row>
    <row r="109" spans="1:17" x14ac:dyDescent="0.55000000000000004">
      <c r="A109" s="31" t="s">
        <v>297</v>
      </c>
      <c r="B109" s="32" t="s">
        <v>42</v>
      </c>
      <c r="C109" s="32" t="s">
        <v>59</v>
      </c>
      <c r="D109" s="32" t="s">
        <v>30</v>
      </c>
      <c r="E109" s="32" t="s">
        <v>228</v>
      </c>
      <c r="F109" s="33">
        <v>-5.7850729999999997</v>
      </c>
      <c r="G109" s="34">
        <f>$F$109*'Risk Report'!$C$31</f>
        <v>-43.388047499999999</v>
      </c>
      <c r="H109" s="34">
        <f>$F$109*'Risk Report'!$C$32</f>
        <v>-60.743266499999997</v>
      </c>
      <c r="I109" s="34">
        <f>$F$109*'Risk Report'!$C$33</f>
        <v>-5.7850729999999997</v>
      </c>
      <c r="J109" s="34">
        <f>$F$109*'Risk Report'!$C$34</f>
        <v>28.925364999999999</v>
      </c>
      <c r="K109" s="34">
        <f>$F$109*'Risk Report'!$C$35</f>
        <v>69.420875999999993</v>
      </c>
      <c r="L109" s="34">
        <f>$F$109*'Risk Report'!$C$36</f>
        <v>0</v>
      </c>
      <c r="M109" s="34">
        <f>$F$109*'Risk Report'!$C$37</f>
        <v>31.817901499999998</v>
      </c>
      <c r="N109" s="34">
        <f>$F$109*'Risk Report'!$C$38</f>
        <v>17.355218999999998</v>
      </c>
      <c r="O109" s="34">
        <f>$F$109*'Risk Report'!$C$39</f>
        <v>-14.4626825</v>
      </c>
      <c r="P109" s="34">
        <f>$F$109*'Risk Report'!$C$40</f>
        <v>0</v>
      </c>
      <c r="Q109" s="34">
        <f t="shared" si="4"/>
        <v>23.140291999999988</v>
      </c>
    </row>
    <row r="110" spans="1:17" x14ac:dyDescent="0.55000000000000004">
      <c r="A110" s="36" t="s">
        <v>230</v>
      </c>
      <c r="B110" s="36"/>
      <c r="C110" s="36"/>
      <c r="D110" s="36"/>
      <c r="E110" s="36"/>
      <c r="F110" s="37"/>
      <c r="G110" s="37">
        <f t="shared" ref="G110:Q110" si="5">SUM(G59:G109)</f>
        <v>-1521.6653224050015</v>
      </c>
      <c r="H110" s="37">
        <f t="shared" si="5"/>
        <v>-1848.8801414499985</v>
      </c>
      <c r="I110" s="37">
        <f t="shared" si="5"/>
        <v>290.81813492999839</v>
      </c>
      <c r="J110" s="37">
        <f t="shared" si="5"/>
        <v>332.85999887999878</v>
      </c>
      <c r="K110" s="37">
        <f t="shared" si="5"/>
        <v>1241.4928467600025</v>
      </c>
      <c r="L110" s="37">
        <f t="shared" si="5"/>
        <v>370.1491983599978</v>
      </c>
      <c r="M110" s="37">
        <f t="shared" si="5"/>
        <v>1077.9183693300013</v>
      </c>
      <c r="N110" s="37">
        <f t="shared" si="5"/>
        <v>-72.840937110000084</v>
      </c>
      <c r="O110" s="37">
        <f t="shared" si="5"/>
        <v>66.858923569999575</v>
      </c>
      <c r="P110" s="37">
        <f t="shared" si="5"/>
        <v>-442.56921551999841</v>
      </c>
      <c r="Q110" s="37">
        <f t="shared" si="5"/>
        <v>-505.85814465499874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9fca70-673f-44e1-94c2-b523bb9c108c">
      <Terms xmlns="http://schemas.microsoft.com/office/infopath/2007/PartnerControls"/>
    </lcf76f155ced4ddcb4097134ff3c332f>
    <TaxCatchAll xmlns="7eaf932d-7370-48c5-9459-ae540daf9d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B9E5947890A84F90C1025035B3A9E9" ma:contentTypeVersion="11" ma:contentTypeDescription="Create a new document." ma:contentTypeScope="" ma:versionID="91c5e6b7f732a30f61498b0b58265f23">
  <xsd:schema xmlns:xsd="http://www.w3.org/2001/XMLSchema" xmlns:xs="http://www.w3.org/2001/XMLSchema" xmlns:p="http://schemas.microsoft.com/office/2006/metadata/properties" xmlns:ns2="139fca70-673f-44e1-94c2-b523bb9c108c" xmlns:ns3="7eaf932d-7370-48c5-9459-ae540daf9d7d" targetNamespace="http://schemas.microsoft.com/office/2006/metadata/properties" ma:root="true" ma:fieldsID="0d7067b4b3a12e0897ffec0b2d042e35" ns2:_="" ns3:_="">
    <xsd:import namespace="139fca70-673f-44e1-94c2-b523bb9c108c"/>
    <xsd:import namespace="7eaf932d-7370-48c5-9459-ae540daf9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fca70-673f-44e1-94c2-b523bb9c1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f932d-7370-48c5-9459-ae540daf9d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3b8786-64da-44be-90b6-c30f9fd7520f}" ma:internalName="TaxCatchAll" ma:showField="CatchAllData" ma:web="7eaf932d-7370-48c5-9459-ae540daf9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35E859-CF43-4080-872A-B7529A1E18D7}">
  <ds:schemaRefs>
    <ds:schemaRef ds:uri="http://schemas.microsoft.com/office/2006/documentManagement/types"/>
    <ds:schemaRef ds:uri="139fca70-673f-44e1-94c2-b523bb9c108c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7eaf932d-7370-48c5-9459-ae540daf9d7d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549039-F66C-41FC-AF9B-5244029FD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10365C-A46E-44AA-8662-026DB64D2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fca70-673f-44e1-94c2-b523bb9c108c"/>
    <ds:schemaRef ds:uri="7eaf932d-7370-48c5-9459-ae540daf9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TestingPnL</vt:lpstr>
      <vt:lpstr>Mapping</vt:lpstr>
      <vt:lpstr>TimeSeries</vt:lpstr>
      <vt:lpstr>DataDictionary</vt:lpstr>
      <vt:lpstr>Risk Report</vt:lpstr>
      <vt:lpstr>PnL Vectors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Chaudhary</dc:creator>
  <cp:keywords/>
  <dc:description/>
  <cp:lastModifiedBy>Deepak Chaudhary</cp:lastModifiedBy>
  <cp:revision/>
  <dcterms:created xsi:type="dcterms:W3CDTF">2025-08-22T21:10:15Z</dcterms:created>
  <dcterms:modified xsi:type="dcterms:W3CDTF">2026-04-12T15:53:16Z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0x010100DFB9E5947890A84F90C1025035B3A9E9</vt:lpwstr>
  </property>
  <property fmtid="{D5CDD505-2E9C-101B-9397-08002B2CF9AE}" pid="3" name="MediaServiceImageTags">
    <vt:lpwstr/>
  </property>
</Properties>
</file>