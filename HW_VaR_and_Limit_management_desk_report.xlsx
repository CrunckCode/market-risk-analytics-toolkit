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_MQF\SEM2\Market Risk\"/>
    </mc:Choice>
  </mc:AlternateContent>
  <xr:revisionPtr revIDLastSave="0" documentId="8_{6A538275-4DDD-4930-97C1-D1C049A46C4B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Instructions" sheetId="1" r:id="rId1"/>
    <sheet name="Position_PnL(data)" sheetId="2" r:id="rId2"/>
    <sheet name="Desk_PnL" sheetId="3" r:id="rId3"/>
    <sheet name="VaR_and_Limits" sheetId="4" r:id="rId4"/>
    <sheet name="Risk_Drivers" sheetId="5" r:id="rId5"/>
    <sheet name="Equity_Risk_Repor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4" l="1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B6" i="6"/>
  <c r="B7" i="6"/>
  <c r="B8" i="6"/>
  <c r="B9" i="6"/>
  <c r="B10" i="6"/>
  <c r="B11" i="6"/>
  <c r="B12" i="6"/>
  <c r="B13" i="6"/>
  <c r="B14" i="6"/>
  <c r="C8" i="5" a="1"/>
  <c r="C8" i="5" s="1"/>
  <c r="C9" i="5" a="1"/>
  <c r="C9" i="5" s="1"/>
  <c r="C10" i="5" a="1"/>
  <c r="C10" i="5" s="1"/>
  <c r="C11" i="5" a="1"/>
  <c r="C11" i="5" s="1"/>
  <c r="C12" i="5" a="1"/>
  <c r="C12" i="5" s="1"/>
  <c r="D17" i="5" a="1"/>
  <c r="D17" i="5" s="1"/>
  <c r="D18" i="5" a="1"/>
  <c r="D18" i="5"/>
  <c r="D19" i="5" a="1"/>
  <c r="D19" i="5" s="1"/>
  <c r="D20" i="5" a="1"/>
  <c r="D20" i="5" s="1"/>
  <c r="D21" i="5" a="1"/>
  <c r="D21" i="5" s="1"/>
  <c r="D22" i="5" a="1"/>
  <c r="D22" i="5" s="1"/>
  <c r="D23" i="5" a="1"/>
  <c r="D23" i="5" s="1"/>
  <c r="D24" i="5" a="1"/>
  <c r="D24" i="5" s="1"/>
  <c r="A24" i="5" s="1"/>
  <c r="C28" i="5"/>
  <c r="D28" i="5"/>
  <c r="C29" i="5"/>
  <c r="D29" i="5" s="1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B11" i="4"/>
  <c r="C32" i="4" s="1"/>
  <c r="E32" i="4" s="1"/>
  <c r="F32" i="4" s="1"/>
  <c r="B12" i="4"/>
  <c r="A19" i="4"/>
  <c r="B19" i="4"/>
  <c r="D19" i="4"/>
  <c r="A20" i="4"/>
  <c r="B20" i="4"/>
  <c r="D20" i="4"/>
  <c r="A21" i="4"/>
  <c r="B21" i="4"/>
  <c r="C21" i="4"/>
  <c r="D21" i="4"/>
  <c r="E21" i="4"/>
  <c r="F21" i="4"/>
  <c r="A22" i="4"/>
  <c r="B22" i="4" s="1"/>
  <c r="D22" i="4"/>
  <c r="A23" i="4"/>
  <c r="B23" i="4"/>
  <c r="D23" i="4"/>
  <c r="A24" i="4"/>
  <c r="B24" i="4"/>
  <c r="C24" i="4"/>
  <c r="D24" i="4"/>
  <c r="E24" i="4"/>
  <c r="F24" i="4"/>
  <c r="A25" i="4"/>
  <c r="B25" i="4"/>
  <c r="C25" i="4"/>
  <c r="E25" i="4" s="1"/>
  <c r="F25" i="4" s="1"/>
  <c r="D25" i="4"/>
  <c r="A26" i="4"/>
  <c r="B26" i="4"/>
  <c r="D26" i="4"/>
  <c r="A27" i="4"/>
  <c r="B27" i="4"/>
  <c r="C27" i="4"/>
  <c r="D27" i="4"/>
  <c r="E27" i="4"/>
  <c r="F27" i="4"/>
  <c r="A28" i="4"/>
  <c r="B28" i="4"/>
  <c r="C28" i="4"/>
  <c r="D28" i="4"/>
  <c r="E28" i="4"/>
  <c r="F28" i="4" s="1"/>
  <c r="A29" i="4"/>
  <c r="B29" i="4" s="1"/>
  <c r="D29" i="4"/>
  <c r="A30" i="4"/>
  <c r="B30" i="4"/>
  <c r="D30" i="4"/>
  <c r="A31" i="4"/>
  <c r="B31" i="4" s="1"/>
  <c r="C31" i="4"/>
  <c r="D31" i="4"/>
  <c r="E31" i="4"/>
  <c r="F31" i="4"/>
  <c r="A32" i="4"/>
  <c r="B32" i="4" s="1"/>
  <c r="D32" i="4"/>
  <c r="A33" i="4"/>
  <c r="B33" i="4"/>
  <c r="D33" i="4"/>
  <c r="A34" i="4"/>
  <c r="B34" i="4"/>
  <c r="C34" i="4"/>
  <c r="D34" i="4"/>
  <c r="E34" i="4"/>
  <c r="F34" i="4"/>
  <c r="A35" i="4"/>
  <c r="B35" i="4"/>
  <c r="C35" i="4"/>
  <c r="E35" i="4" s="1"/>
  <c r="F35" i="4" s="1"/>
  <c r="D35" i="4"/>
  <c r="A36" i="4"/>
  <c r="B36" i="4"/>
  <c r="D36" i="4"/>
  <c r="A37" i="4"/>
  <c r="B37" i="4"/>
  <c r="D37" i="4"/>
  <c r="A38" i="4"/>
  <c r="B38" i="4" s="1"/>
  <c r="C38" i="4"/>
  <c r="D38" i="4"/>
  <c r="E38" i="4"/>
  <c r="F38" i="4"/>
  <c r="A4" i="3"/>
  <c r="B4" i="3"/>
  <c r="A5" i="3"/>
  <c r="B5" i="3" s="1"/>
  <c r="D5" i="3" s="1"/>
  <c r="A6" i="3"/>
  <c r="B6" i="3" s="1"/>
  <c r="D6" i="3" s="1"/>
  <c r="A7" i="3"/>
  <c r="B7" i="3" s="1"/>
  <c r="A8" i="3"/>
  <c r="B8" i="3" s="1"/>
  <c r="A9" i="3"/>
  <c r="B9" i="3" s="1"/>
  <c r="D9" i="3" s="1"/>
  <c r="A10" i="3"/>
  <c r="B10" i="3" s="1"/>
  <c r="A11" i="3"/>
  <c r="B11" i="3" s="1"/>
  <c r="D11" i="3" s="1"/>
  <c r="A12" i="3"/>
  <c r="B12" i="3" s="1"/>
  <c r="A13" i="3"/>
  <c r="B13" i="3" s="1"/>
  <c r="D13" i="3" s="1"/>
  <c r="A14" i="3"/>
  <c r="B14" i="3" s="1"/>
  <c r="D14" i="3" s="1"/>
  <c r="A15" i="3"/>
  <c r="B15" i="3" s="1"/>
  <c r="D15" i="3" s="1"/>
  <c r="A16" i="3"/>
  <c r="B16" i="3" s="1"/>
  <c r="A17" i="3"/>
  <c r="B17" i="3" s="1"/>
  <c r="D17" i="3" s="1"/>
  <c r="A18" i="3"/>
  <c r="B18" i="3" s="1"/>
  <c r="D18" i="3" s="1"/>
  <c r="A19" i="3"/>
  <c r="B19" i="3" s="1"/>
  <c r="A20" i="3"/>
  <c r="B20" i="3" s="1"/>
  <c r="D20" i="3" s="1"/>
  <c r="A21" i="3"/>
  <c r="B21" i="3" s="1"/>
  <c r="D21" i="3" s="1"/>
  <c r="A22" i="3"/>
  <c r="B22" i="3" s="1"/>
  <c r="A23" i="3"/>
  <c r="B23" i="3" s="1"/>
  <c r="D23" i="3" s="1"/>
  <c r="A20" i="5" l="1"/>
  <c r="A23" i="5"/>
  <c r="A22" i="5"/>
  <c r="A21" i="5"/>
  <c r="A19" i="5"/>
  <c r="A17" i="5"/>
  <c r="A18" i="5"/>
  <c r="D12" i="5"/>
  <c r="A12" i="5"/>
  <c r="A11" i="5"/>
  <c r="D11" i="5"/>
  <c r="A10" i="5"/>
  <c r="D10" i="5"/>
  <c r="A9" i="5"/>
  <c r="D9" i="5"/>
  <c r="A8" i="5"/>
  <c r="D8" i="5"/>
  <c r="C20" i="4"/>
  <c r="C37" i="4"/>
  <c r="C29" i="4"/>
  <c r="E29" i="4" s="1"/>
  <c r="F29" i="4" s="1"/>
  <c r="C23" i="4"/>
  <c r="C33" i="4"/>
  <c r="C22" i="4"/>
  <c r="E22" i="4" s="1"/>
  <c r="F22" i="4" s="1"/>
  <c r="B13" i="4"/>
  <c r="B14" i="4" s="1"/>
  <c r="C30" i="4"/>
  <c r="C26" i="4"/>
  <c r="C19" i="4"/>
  <c r="C36" i="4"/>
  <c r="D12" i="3"/>
  <c r="D8" i="3"/>
  <c r="D22" i="3"/>
  <c r="D16" i="3"/>
  <c r="D7" i="3"/>
  <c r="D19" i="3"/>
  <c r="D10" i="3"/>
  <c r="C10" i="3"/>
  <c r="C12" i="3"/>
  <c r="C23" i="3"/>
  <c r="C17" i="3"/>
  <c r="C11" i="3"/>
  <c r="C21" i="3"/>
  <c r="C15" i="3"/>
  <c r="C9" i="3"/>
  <c r="C8" i="3"/>
  <c r="C20" i="3"/>
  <c r="C14" i="3"/>
  <c r="C32" i="3"/>
  <c r="C19" i="3"/>
  <c r="C13" i="3"/>
  <c r="C7" i="3"/>
  <c r="C18" i="3"/>
  <c r="C6" i="3"/>
  <c r="C27" i="3"/>
  <c r="B24" i="3"/>
  <c r="C31" i="3"/>
  <c r="C30" i="3"/>
  <c r="C29" i="3"/>
  <c r="C5" i="3"/>
  <c r="C28" i="3"/>
  <c r="C4" i="3"/>
  <c r="C22" i="3"/>
  <c r="C16" i="3"/>
  <c r="E19" i="4" l="1"/>
  <c r="F19" i="4" s="1"/>
  <c r="E30" i="4"/>
  <c r="F30" i="4" s="1"/>
  <c r="E36" i="4"/>
  <c r="F36" i="4" s="1"/>
  <c r="E26" i="4"/>
  <c r="F26" i="4" s="1"/>
  <c r="E20" i="4"/>
  <c r="F20" i="4" s="1"/>
  <c r="E33" i="4"/>
  <c r="F33" i="4" s="1"/>
  <c r="E23" i="4"/>
  <c r="F23" i="4" s="1"/>
  <c r="E37" i="4"/>
  <c r="F3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<sst xmlns="http://schemas.openxmlformats.org/spreadsheetml/2006/main" count="792" uniqueCount="157">
  <si>
    <t>Scenario</t>
  </si>
  <si>
    <t>You are a junior market risk analyst covering the Equity Trading Desk. You have position-level daily P&amp;L ($mm) for 20 trading days (hypothetical dataset).</t>
  </si>
  <si>
    <t>Given</t>
  </si>
  <si>
    <t>• Equity Desk 1-day 99% VaR limit: 5.0 ($mm)</t>
  </si>
  <si>
    <t>Required sheets to complete</t>
  </si>
  <si>
    <t>1) Desk_PnL: Aggregate daily desk P&amp;L from Position_PnL ( by Date).</t>
  </si>
  <si>
    <t xml:space="preserve">2) VaR_and_Limits: </t>
  </si>
  <si>
    <t>ii. Identify VaR Exceptions (days where Desk P&amp;L &lt; -VaR) by flagging for each day if  the VaR is an exception or not</t>
  </si>
  <si>
    <t>3) Risk_Drivers: Identify the largest volatility driver by Product Type using stdev of aggregated daily P&amp;L by group.</t>
  </si>
  <si>
    <t>4) Equity_Risk_Report: Summarize results (key risk metrics) + write a concise summary for the Head of Market Risk covering: VaR vs limit, whether escalation is needed, key risk drivers, and recommended actions.</t>
  </si>
  <si>
    <t>Date</t>
  </si>
  <si>
    <t>Position ID</t>
  </si>
  <si>
    <t>Product Type</t>
  </si>
  <si>
    <t>Underlying</t>
  </si>
  <si>
    <t>Daily P&amp;L ($mm)</t>
  </si>
  <si>
    <t>EQ-01</t>
  </si>
  <si>
    <t>Single Stock</t>
  </si>
  <si>
    <t>AAPL</t>
  </si>
  <si>
    <t>EQ-02</t>
  </si>
  <si>
    <t>TSLA</t>
  </si>
  <si>
    <t>EQ-03</t>
  </si>
  <si>
    <t>Index Future</t>
  </si>
  <si>
    <t>S&amp;P 500</t>
  </si>
  <si>
    <t>EQ-04</t>
  </si>
  <si>
    <t>Equity Option</t>
  </si>
  <si>
    <t>EQ-05</t>
  </si>
  <si>
    <t>Equity Swap</t>
  </si>
  <si>
    <t>Nasdaq 100</t>
  </si>
  <si>
    <t>EQ-06</t>
  </si>
  <si>
    <t>ETF</t>
  </si>
  <si>
    <t>Russell 2000</t>
  </si>
  <si>
    <t>EQ-07</t>
  </si>
  <si>
    <t>NVDA</t>
  </si>
  <si>
    <t>EQ-08</t>
  </si>
  <si>
    <t>EQ-09</t>
  </si>
  <si>
    <t>EuroStoxx 50</t>
  </si>
  <si>
    <t>EQ-10</t>
  </si>
  <si>
    <t>AMZN</t>
  </si>
  <si>
    <t>Instruction: Sum all position Daily P&amp;L ($mm) per date. Formula: =SUMIF(Position_PnL!Date column, this date, P&amp;L column)</t>
  </si>
  <si>
    <t>Desk Daily P&amp;L ($mm)</t>
  </si>
  <si>
    <t>Cumulative P&amp;L ($mm)</t>
  </si>
  <si>
    <t>P&amp;L vs. Prior Day</t>
  </si>
  <si>
    <t>SUMMARY</t>
  </si>
  <si>
    <t>Total Cumul.</t>
  </si>
  <si>
    <t>KEY STATISTICS</t>
  </si>
  <si>
    <t>Max Daily Gain ($mm)</t>
  </si>
  <si>
    <t>Max Daily Loss ($mm)</t>
  </si>
  <si>
    <t>Average Daily P&amp;L ($mm)</t>
  </si>
  <si>
    <t>Days with Losses</t>
  </si>
  <si>
    <t>Days with Gains</t>
  </si>
  <si>
    <t>P&amp;L StdDev ($mm)</t>
  </si>
  <si>
    <t>INPUTS &amp; ASSUMPTIONS</t>
  </si>
  <si>
    <t>VaR Limit ($mm)</t>
  </si>
  <si>
    <t>Hard limit set by Risk Committee.</t>
  </si>
  <si>
    <t>VaR Confidence Level</t>
  </si>
  <si>
    <t>Standard Basel II/III 99% 1-day VaR.</t>
  </si>
  <si>
    <t>Observation Window</t>
  </si>
  <si>
    <t>20 trading days of position-level P&amp;L.</t>
  </si>
  <si>
    <t>Methodology</t>
  </si>
  <si>
    <t>Near Limit Threshold</t>
  </si>
  <si>
    <t>&gt;=85% utilization triggers Near Limit status.</t>
  </si>
  <si>
    <t>Q1: COMPUTED METRICS</t>
  </si>
  <si>
    <t>1-Day 99% VaR ($mm)</t>
  </si>
  <si>
    <t>PERCENTILE.INC(all 20 desk daily P&amp;L values, 1%) x (-1) → 1st-percentile loss magnitude</t>
  </si>
  <si>
    <t>Hard limit (given). Source: Risk Committee mandate.</t>
  </si>
  <si>
    <t>Utilization (VaR ÷ Limit)</t>
  </si>
  <si>
    <t>$4.8083mm divided by $5.000mm = 96.17%. Approaches limit but does not breach.</t>
  </si>
  <si>
    <t>Status</t>
  </si>
  <si>
    <t>Q2: DAILY VaR LIMIT MONITORING &amp; EXCEPTION IDENTIFICATION</t>
  </si>
  <si>
    <t>Desk P&amp;L ($mm)</t>
  </si>
  <si>
    <t>Utilization (%)</t>
  </si>
  <si>
    <t>VaR Exception?</t>
  </si>
  <si>
    <t>Q2 ANALYSIS: LIMIT STATUS, EXCEPTIONS &amp; KEY DISTINCTIONS</t>
  </si>
  <si>
    <t>All 20 trading days fall under the Near Limit classification because the VaR itself (calculated from the full period) is 96.17% utilized. The desk never breached the $5mm VaR limit on any given day.</t>
  </si>
  <si>
    <t>Mar 17, 2026 recorded a Desk P&amp;L of −$5.054mm. Since −5.054 &lt; −4.8083 (the 99% VaR threshold), this IS a VaR exception: a day where realized losses exceeded the model's 99% confidence prediction.</t>
  </si>
  <si>
    <t>A VaR Exception occurs when the actual daily P&amp;L loss EXCEEDS the VaR estimate. It is a model backtesting event. Under Basel III, VaR exceptions are tallied over a rolling 250-day window to assess model accuracy (Traffic Light Test).</t>
  </si>
  <si>
    <t>VaR EXCEPTION: Realized loss &gt; VaR estimate (model was wrong). → Backtesting concern; triggers TLT zone review. | VaR LIMIT BREACH: VaR metric itself &gt; approved limit. → Risk limit violation; triggers governance escalation &amp; potential position reduction. | These are INDEPENDENT events. On Mar 17, a VaR exception occurred but the VaR itself did NOT breach the $5mm limit (96.17% utilization = Near Limit, not Breach).</t>
  </si>
  <si>
    <t>Basel III Traffic Light Test:</t>
  </si>
  <si>
    <t>METHODOLOGY</t>
  </si>
  <si>
    <t>TABLE 1: VOLATILITY BY PRODUCT TYPE (StdDev of Aggregated Daily P&amp;L)</t>
  </si>
  <si>
    <t>Rank</t>
  </si>
  <si>
    <t>StdDev Daily P&amp;L ($mm)</t>
  </si>
  <si>
    <t>% of Total Vol</t>
  </si>
  <si>
    <t>Primary Driver?</t>
  </si>
  <si>
    <t>▶ PRIMARY DRIVER</t>
  </si>
  <si>
    <t>▶ SECONDARY</t>
  </si>
  <si>
    <t>TABLE 2: VOLATILITY BY UNDERLYING (Additional Depth)</t>
  </si>
  <si>
    <t>Primary Risk?</t>
  </si>
  <si>
    <t>▶ KEY DRIVER</t>
  </si>
  <si>
    <t>Contribution</t>
  </si>
  <si>
    <t>Significance</t>
  </si>
  <si>
    <t>Q3 ANSWER: RISK FACTOR DRIVING THE BREACH</t>
  </si>
  <si>
    <t>Combined effect on Mar 17:</t>
  </si>
  <si>
    <t>Single Stock losses (−$2.973mm) + Equity Option losses (−$2.811mm) = −$5.784mm gross. Partial offsets from Index Future gains (+$0.311mm + +$0.022mm) and ETF (+$0.093mm) and AMZN (+$0.372mm) reduced total to −$5.054mm.</t>
  </si>
  <si>
    <t>Conclusion:</t>
  </si>
  <si>
    <t>The VaR exception on Mar 17 was driven primarily by concentrated single-stock exposure in volatile tech names (NVDA, TSLA, AAPL) amplified by adverse non-linear Equity Option payoffs on Nasdaq 100. Risk reduction should target these positions first.</t>
  </si>
  <si>
    <t>SECTION 1: KEY RISK METRICS SUMMARY (Q4)</t>
  </si>
  <si>
    <t>Metric</t>
  </si>
  <si>
    <t>Value</t>
  </si>
  <si>
    <t>Interpretation</t>
  </si>
  <si>
    <t>Maximum expected 1-day loss with 99% confidence. Computed via Historical Simulation (PERCENTILE.INC at 1%). Based on 20-day observation window.</t>
  </si>
  <si>
    <t>Approved limit set by the Risk Committee. Monitored daily; any approach to 85% requires escalation.</t>
  </si>
  <si>
    <t>Limit Utilization</t>
  </si>
  <si>
    <t>Limit Status</t>
  </si>
  <si>
    <t>VaR Exceptions</t>
  </si>
  <si>
    <t>Days where realized loss exceeded the VaR estimate. 1 exception in 20 days. Green Zone under Basel III Traffic Light Test.</t>
  </si>
  <si>
    <t>Exception Day Loss</t>
  </si>
  <si>
    <t>Driven by Single Stock losses (NVDA, TSLA, AAPL) + Nasdaq 100 Equity Option losses (−$2.20mm). Largest single loss in the period.</t>
  </si>
  <si>
    <t>Average Daily P&amp;L</t>
  </si>
  <si>
    <t>Max Daily Gain</t>
  </si>
  <si>
    <t>Best trading day of the period. Single stocks (NVDA +$1.17mm) were the primary contributor.</t>
  </si>
  <si>
    <t>P&amp;L StdDev (20 days)</t>
  </si>
  <si>
    <t>SECTION 2: MEMO TO HEAD OF MARKET RISK (Q4 Written Answer)</t>
  </si>
  <si>
    <t>TO:</t>
  </si>
  <si>
    <t>Head of Market Risk</t>
  </si>
  <si>
    <t>FROM:</t>
  </si>
  <si>
    <t>DATE:</t>
  </si>
  <si>
    <t>RE:</t>
  </si>
  <si>
    <t>1. VaR vs. Limit</t>
  </si>
  <si>
    <t>2. Escalation Required?</t>
  </si>
  <si>
    <t>YES. Per the firm's risk escalation policy, Near Limit status (≥85% utilization) requires: (1) Daily notification to the Head of Market Risk; (2) Formal written communication to the Equity Desk Head to review position sizing; (3) If utilization remains above 90% for 3 or more consecutive days, a formal Risk Committee review must be initiated. The desk has been near limit throughout the 20-day period.</t>
  </si>
  <si>
    <t>3. VaR Exception (Mar 17)</t>
  </si>
  <si>
    <t>4. Key Risk Drivers</t>
  </si>
  <si>
    <t>5. Recommended Actions</t>
  </si>
  <si>
    <t>VaR of $4.8083mm divided by the $5.000mm hard limit. At 96.17%, the desk is operating in the Near Limit (Amber) zone with only ~$0.19mm of headroom remaining.</t>
  </si>
  <si>
    <t>Measured as the standard deviation of all 20 daily desk P&amp;L observations ($1.8026mm/day). Higher StdDev = greater day-to-day earnings volatility, consistent with elevated VaR utilization.</t>
  </si>
  <si>
    <t>criti</t>
  </si>
  <si>
    <t>Market Risk Limit Management &amp; Reporting - Equity Desk (Advanced)</t>
  </si>
  <si>
    <t>i. Compute 1-day 99% VaR, utilization, status (&lt;85% "Within Limit", 85-100% "Near Limit", &gt;100% "Breach").</t>
  </si>
  <si>
    <t>Desk_PnL - Q1: Aggregated Daily P&amp;L from Position_PnL</t>
  </si>
  <si>
    <t xml:space="preserve"> - </t>
  </si>
  <si>
    <t>VaR &amp; Limits Analysis - Q1, Q2 &amp; Q3 | Equity Trading Desk</t>
  </si>
  <si>
    <t>Historical Simulation  -  1st percentile of sorted daily P&amp;L.</t>
  </si>
  <si>
    <t>Thresholds: &lt;85% = Within Limit | 85-100% = Near Limit | &gt;100% = Breach</t>
  </si>
  <si>
    <t>Q2.1 - Limit Status:</t>
  </si>
  <si>
    <t>VaR = $4.8083mm vs. Limit = $5.000mm → Utilization = 96.17%. Status: NEAR LIMIT (85-100% band). The desk has not breached the limit, but is in the escalation zone requiring daily monitoring and reporting to the Head of Market Risk.</t>
  </si>
  <si>
    <t>Q2.2 - Daily Status:</t>
  </si>
  <si>
    <t>Q2.3 - VaR Exception (Mar 17):</t>
  </si>
  <si>
    <t>Q2.3i - VaR Exception Definition:</t>
  </si>
  <si>
    <t>Q2.3ii - Exception vs. Limit Breach (KEY DISTINCTION):</t>
  </si>
  <si>
    <t>With 1 exception in 20 days (extrapolated: ~12.5 per 250 days → this is illustrative only for a 20-day dataset). Over a full 250-day window: Green Zone = 0-4 exceptions (no capital add-on); Yellow = 5-9 (supervisory escalation); Red = 10+ (automatic capital surcharge). For this assignment with 20 days: 1 exception = Green Zone.</t>
  </si>
  <si>
    <t>Risk Drivers - Q3: Which Risk Factor is Driving the Breach?</t>
  </si>
  <si>
    <t>MAR 17, 2026 - EXCEPTION DAY P&amp;L BREAKDOWN (Identifying the Breach Driver)</t>
  </si>
  <si>
    <t>Primary Driver - Single Stock:</t>
  </si>
  <si>
    <t>StdDev = $1.221mm/day  -  highest of all product types. NVDA and TSLA exhibit the greatest idiosyncratic volatility. On Mar 17 alone: NVDA (−$1.137mm) + TSLA (−$1.006mm) + AAPL (−$0.830mm) = −$2.973mm combined loss from single stocks.</t>
  </si>
  <si>
    <t>Secondary Driver - Equity Options:</t>
  </si>
  <si>
    <t>StdDev = $0.977mm/day. The Nasdaq 100 Equity Option position contributed −$2.204mm on Mar 17  -  the single largest loss on the exception day. Non-linear gamma/vega exposures amplify losses on large market moves.</t>
  </si>
  <si>
    <t>EQUITY DESK - DAILY MARKET RISK MONITORING SUMMARY</t>
  </si>
  <si>
    <t>Report Period: March 2-27, 2026  |  Coverage: Equity Trading Desk  |  Analyst: Junior Market Risk Analyst</t>
  </si>
  <si>
    <t>Thresholds: &lt;85% = Within Limit (Green) | 85-100% = Near Limit (Amber) | &gt;100% = Breach (Red). Current = Amber.</t>
  </si>
  <si>
    <t>Desk ran at an average net loss over the 20-day period  -  a concerning trend for sustained profitability and risk appetite consumption.</t>
  </si>
  <si>
    <t>Junior Market Risk Analyst - Equity Desk</t>
  </si>
  <si>
    <t>Equity Desk Daily Market Risk Monitoring Summary | Period: March 2-27, 2026 | NEAR LIMIT ALERT</t>
  </si>
  <si>
    <t>The Equity Desk's 1-day 99% VaR stands at $4.8083mm, representing 96.17% utilization of the approved $5.000mm limit. This places the desk in the NEAR LIMIT zone (85-100%). While no formal VaR limit breach has occurred, the desk is operating with only $0.192mm of headroom  -  less than 4% buffer remaining.</t>
  </si>
  <si>
    <t>One VaR exception was recorded on March 17, 2026, when realized losses of $(5.054)mm exceeded the $4.8083mm VaR estimate. This is a model backtesting exceedance  -  the VaR model failed to predict a loss of this magnitude with 99% confidence. Importantly, this is NOT a VaR limit breach (the VaR itself did not exceed $5mm). Under Basel III Traffic Light Test, 1 exception in 20 trading days is in the Green Zone. However, the exception must be formally investigated and documented per internal audit requirements and Basel III guidelines.</t>
  </si>
  <si>
    <t>PRIMARY: Single Stock positions (daily P&amp;L StdDev = $1.221mm)  -  NVDA and TSLA are the dominant contributors due to high idiosyncratic beta in a volatile tech environment. SECONDARY: Equity Options (StdDev = $0.977mm)  -  Nasdaq 100 option gamma/vega exposures amplified losses non-linearly on the Mar 17 exception day (−$2.204mm from options alone). The Mar 17 exception resulted from a confluence: Single Stock losses of −$2.973mm + Equity Option losses of −$2.811mm = −$5.784mm gross, partially offset by +$0.730mm from Index Futures, ETF, and AMZN positions.</t>
  </si>
  <si>
    <t>IMMEDIATE (within 24h): Desk Head to review and reduce NVDA, TSLA, and AAPL single-stock gross notional by 15-20% to bring utilization back below 85% (Within Limit). Reduce Nasdaq 100 Equity Option gamma exposure by at least 20%. | SHORT-TERM (within 5 days): Risk team to complete formal VaR exception investigation for Mar 17 and submit written findings to Head of Market Risk per Basel III documentation requirements. Conduct stress testing on a −15% to −20% Nasdaq 100 scenario. | ONGOING: Daily P&amp;L attribution report to be circulated each morning. Initiate review of VaR model adequacy for small-sample periods. Assess whether the 20-day window is appropriate given current market volatility regime. | GOVERNANCE: Add to Risk Committee agenda at next scheduled meeting. Consider implementing intra-day risk monitoring for Single Stock and Options positions.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</si>
</sst>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/yyyy"/>
    <numFmt numFmtId="166" formatCode="#,##0.0000;\(#,##0.0000\);\-"/>
    <numFmt numFmtId="167" formatCode="\$#,##0.0"/>
    <numFmt numFmtId="168" formatCode="\$#,##0.0000"/>
    <numFmt numFmtId="169" formatCode="0.0%"/>
    <numFmt numFmtId="170" formatCode="\$#,##0.0000;&quot;($&quot;#,##0.0000\);\-"/>
    <numFmt numFmtId="171" formatCode="#,##0.0000"/>
    <numFmt numFmtId="172" formatCode="d/mmm/yy"/>
  </numFmts>
  <fonts count="21" x14ac:knownFonts="1">
    <font>
      <sz val="11"/>
      <color theme="1"/>
      <name val="Calibri"/>
      <family val="2"/>
      <charset val="1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i/>
      <sz val="10"/>
      <color rgb="FF000000"/>
      <name val="Calibri"/>
      <family val="2"/>
    </font>
    <font>
      <b/>
      <sz val="10"/>
      <color rgb="FFC00000"/>
      <name val="Calibri"/>
      <family val="2"/>
    </font>
    <font>
      <sz val="10"/>
      <color rgb="FF7030A0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7030A0"/>
      <name val="Calibri"/>
      <family val="2"/>
    </font>
    <font>
      <i/>
      <sz val="9"/>
      <color rgb="FFFFFFFF"/>
      <name val="Calibri"/>
      <family val="2"/>
    </font>
    <font>
      <sz val="10"/>
      <color rgb="FFFFFFFF"/>
      <name val="Calibri"/>
      <family val="2"/>
    </font>
    <font>
      <sz val="10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C00000"/>
        <bgColor indexed="64"/>
      </patternFill>
    </fill>
  </fills>
  <borders count="4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/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1F3864"/>
      </right>
      <top style="thin">
        <color rgb="FFBFBFBF"/>
      </top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/>
      <top style="thin">
        <color rgb="FFBFBFBF"/>
      </top>
      <bottom/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medium">
        <color rgb="FF1F3864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BFBFBF"/>
      </left>
      <right style="thin">
        <color rgb="FFBFBFBF"/>
      </right>
      <top style="thin">
        <color rgb="FFD9D9D9"/>
      </top>
      <bottom/>
      <diagonal/>
    </border>
    <border>
      <left style="thin">
        <color rgb="FFBFBFBF"/>
      </left>
      <right/>
      <top style="thin">
        <color rgb="FFD9D9D9"/>
      </top>
      <bottom/>
      <diagonal/>
    </border>
    <border>
      <left style="thin">
        <color rgb="FFBFBFBF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D9D9D9"/>
      </left>
      <right/>
      <top style="medium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D9D9D9"/>
      </top>
      <bottom style="thin">
        <color rgb="FFBFBFBF"/>
      </bottom>
      <diagonal/>
    </border>
    <border>
      <left style="thin">
        <color rgb="FFBFBFBF"/>
      </left>
      <right/>
      <top style="medium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medium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medium">
        <color rgb="FF1F3864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 indent="2"/>
    </xf>
    <xf numFmtId="164" fontId="0" fillId="0" borderId="0" xfId="0" applyNumberFormat="1"/>
    <xf numFmtId="166" fontId="5" fillId="3" borderId="5" xfId="0" applyNumberFormat="1" applyFont="1" applyFill="1" applyBorder="1" applyAlignment="1">
      <alignment horizontal="center" vertical="center"/>
    </xf>
    <xf numFmtId="166" fontId="5" fillId="6" borderId="8" xfId="0" applyNumberFormat="1" applyFont="1" applyFill="1" applyBorder="1" applyAlignment="1">
      <alignment horizontal="center" vertical="center"/>
    </xf>
    <xf numFmtId="166" fontId="5" fillId="4" borderId="8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7" fontId="6" fillId="6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9" fontId="6" fillId="4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168" fontId="6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0" fontId="6" fillId="9" borderId="1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68" fontId="5" fillId="6" borderId="1" xfId="0" applyNumberFormat="1" applyFont="1" applyFill="1" applyBorder="1" applyAlignment="1">
      <alignment horizontal="center" vertical="center"/>
    </xf>
    <xf numFmtId="167" fontId="5" fillId="6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6" fontId="9" fillId="9" borderId="1" xfId="0" applyNumberFormat="1" applyFont="1" applyFill="1" applyBorder="1" applyAlignment="1">
      <alignment horizontal="center" vertical="center"/>
    </xf>
    <xf numFmtId="168" fontId="9" fillId="9" borderId="1" xfId="0" applyNumberFormat="1" applyFont="1" applyFill="1" applyBorder="1" applyAlignment="1">
      <alignment horizontal="center" vertical="center"/>
    </xf>
    <xf numFmtId="167" fontId="9" fillId="9" borderId="1" xfId="0" applyNumberFormat="1" applyFont="1" applyFill="1" applyBorder="1" applyAlignment="1">
      <alignment horizontal="center" vertical="center"/>
    </xf>
    <xf numFmtId="10" fontId="9" fillId="9" borderId="1" xfId="0" applyNumberFormat="1" applyFont="1" applyFill="1" applyBorder="1" applyAlignment="1">
      <alignment horizontal="center" vertical="center"/>
    </xf>
    <xf numFmtId="168" fontId="5" fillId="6" borderId="11" xfId="0" applyNumberFormat="1" applyFont="1" applyFill="1" applyBorder="1" applyAlignment="1">
      <alignment horizontal="center" vertical="center"/>
    </xf>
    <xf numFmtId="167" fontId="5" fillId="6" borderId="11" xfId="0" applyNumberFormat="1" applyFont="1" applyFill="1" applyBorder="1" applyAlignment="1">
      <alignment horizontal="center" vertical="center"/>
    </xf>
    <xf numFmtId="10" fontId="5" fillId="6" borderId="11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wrapText="1"/>
    </xf>
    <xf numFmtId="0" fontId="12" fillId="4" borderId="0" xfId="0" applyFont="1" applyFill="1" applyAlignment="1">
      <alignment horizontal="left" wrapText="1"/>
    </xf>
    <xf numFmtId="0" fontId="6" fillId="3" borderId="1" xfId="0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8" fontId="5" fillId="9" borderId="1" xfId="0" applyNumberFormat="1" applyFont="1" applyFill="1" applyBorder="1" applyAlignment="1">
      <alignment horizontal="center" vertical="center"/>
    </xf>
    <xf numFmtId="169" fontId="5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9" fontId="5" fillId="6" borderId="1" xfId="0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168" fontId="5" fillId="4" borderId="11" xfId="0" applyNumberFormat="1" applyFont="1" applyFill="1" applyBorder="1" applyAlignment="1">
      <alignment horizontal="center" vertical="center"/>
    </xf>
    <xf numFmtId="169" fontId="5" fillId="4" borderId="1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8" fontId="6" fillId="9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70" fontId="9" fillId="3" borderId="1" xfId="0" applyNumberFormat="1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70" fontId="5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70" fontId="5" fillId="7" borderId="1" xfId="0" applyNumberFormat="1" applyFont="1" applyFill="1" applyBorder="1" applyAlignment="1">
      <alignment horizontal="center" vertical="center"/>
    </xf>
    <xf numFmtId="169" fontId="5" fillId="7" borderId="1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left" vertical="center"/>
    </xf>
    <xf numFmtId="170" fontId="5" fillId="7" borderId="11" xfId="0" applyNumberFormat="1" applyFont="1" applyFill="1" applyBorder="1" applyAlignment="1">
      <alignment horizontal="center" vertical="center"/>
    </xf>
    <xf numFmtId="169" fontId="5" fillId="7" borderId="1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 wrapText="1"/>
    </xf>
    <xf numFmtId="171" fontId="6" fillId="4" borderId="11" xfId="0" applyNumberFormat="1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left" wrapText="1"/>
    </xf>
    <xf numFmtId="0" fontId="16" fillId="6" borderId="12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top" wrapText="1"/>
    </xf>
    <xf numFmtId="0" fontId="6" fillId="7" borderId="10" xfId="0" applyFont="1" applyFill="1" applyBorder="1" applyAlignment="1">
      <alignment horizontal="left" vertical="top" wrapText="1"/>
    </xf>
    <xf numFmtId="164" fontId="18" fillId="5" borderId="9" xfId="0" applyNumberFormat="1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164" fontId="12" fillId="0" borderId="13" xfId="0" applyNumberFormat="1" applyFont="1" applyBorder="1"/>
    <xf numFmtId="0" fontId="12" fillId="0" borderId="13" xfId="0" applyFont="1" applyBorder="1"/>
    <xf numFmtId="164" fontId="12" fillId="0" borderId="1" xfId="0" applyNumberFormat="1" applyFont="1" applyBorder="1"/>
    <xf numFmtId="0" fontId="12" fillId="0" borderId="1" xfId="0" applyFont="1" applyBorder="1"/>
    <xf numFmtId="0" fontId="5" fillId="4" borderId="11" xfId="0" applyFont="1" applyFill="1" applyBorder="1" applyAlignment="1">
      <alignment horizontal="left" vertical="center" wrapText="1"/>
    </xf>
    <xf numFmtId="171" fontId="9" fillId="3" borderId="1" xfId="0" applyNumberFormat="1" applyFont="1" applyFill="1" applyBorder="1" applyAlignment="1">
      <alignment horizontal="left" vertical="center"/>
    </xf>
    <xf numFmtId="171" fontId="5" fillId="3" borderId="1" xfId="0" applyNumberFormat="1" applyFont="1" applyFill="1" applyBorder="1" applyAlignment="1">
      <alignment horizontal="left" vertical="center"/>
    </xf>
    <xf numFmtId="171" fontId="5" fillId="7" borderId="1" xfId="0" applyNumberFormat="1" applyFont="1" applyFill="1" applyBorder="1" applyAlignment="1">
      <alignment horizontal="left" vertical="center"/>
    </xf>
    <xf numFmtId="171" fontId="5" fillId="7" borderId="11" xfId="0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top" wrapText="1"/>
    </xf>
    <xf numFmtId="0" fontId="5" fillId="7" borderId="10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center" wrapText="1"/>
    </xf>
    <xf numFmtId="0" fontId="15" fillId="10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0" fillId="6" borderId="0" xfId="0" applyFill="1"/>
    <xf numFmtId="172" fontId="5" fillId="6" borderId="1" xfId="0" applyNumberFormat="1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left" vertical="center"/>
    </xf>
    <xf numFmtId="0" fontId="16" fillId="6" borderId="14" xfId="0" applyFont="1" applyFill="1" applyBorder="1" applyAlignment="1">
      <alignment horizontal="left" vertical="center"/>
    </xf>
    <xf numFmtId="0" fontId="16" fillId="6" borderId="15" xfId="0" applyFont="1" applyFill="1" applyBorder="1" applyAlignment="1">
      <alignment horizontal="left" vertical="center"/>
    </xf>
    <xf numFmtId="0" fontId="16" fillId="6" borderId="16" xfId="0" applyFont="1" applyFill="1" applyBorder="1" applyAlignment="1">
      <alignment horizontal="left" vertical="center"/>
    </xf>
    <xf numFmtId="0" fontId="16" fillId="6" borderId="17" xfId="0" applyFont="1" applyFill="1" applyBorder="1" applyAlignment="1">
      <alignment horizontal="left" vertical="center"/>
    </xf>
    <xf numFmtId="0" fontId="16" fillId="6" borderId="18" xfId="0" applyFont="1" applyFill="1" applyBorder="1" applyAlignment="1">
      <alignment horizontal="left" vertical="center"/>
    </xf>
    <xf numFmtId="0" fontId="16" fillId="6" borderId="19" xfId="0" applyFont="1" applyFill="1" applyBorder="1" applyAlignment="1">
      <alignment horizontal="left" vertical="center"/>
    </xf>
    <xf numFmtId="0" fontId="17" fillId="6" borderId="20" xfId="0" applyFont="1" applyFill="1" applyBorder="1"/>
    <xf numFmtId="0" fontId="11" fillId="5" borderId="0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15" fontId="5" fillId="6" borderId="25" xfId="0" applyNumberFormat="1" applyFont="1" applyFill="1" applyBorder="1" applyAlignment="1">
      <alignment horizontal="center" vertical="center"/>
    </xf>
    <xf numFmtId="166" fontId="5" fillId="7" borderId="5" xfId="0" applyNumberFormat="1" applyFont="1" applyFill="1" applyBorder="1" applyAlignment="1">
      <alignment horizontal="center" vertical="center"/>
    </xf>
    <xf numFmtId="166" fontId="5" fillId="6" borderId="26" xfId="0" applyNumberFormat="1" applyFont="1" applyFill="1" applyBorder="1" applyAlignment="1">
      <alignment horizontal="center" vertical="center"/>
    </xf>
    <xf numFmtId="166" fontId="5" fillId="4" borderId="26" xfId="0" applyNumberFormat="1" applyFont="1" applyFill="1" applyBorder="1" applyAlignment="1">
      <alignment horizontal="center" vertical="center"/>
    </xf>
    <xf numFmtId="166" fontId="6" fillId="3" borderId="5" xfId="0" applyNumberFormat="1" applyFont="1" applyFill="1" applyBorder="1" applyAlignment="1">
      <alignment horizontal="center" vertical="center"/>
    </xf>
    <xf numFmtId="166" fontId="6" fillId="4" borderId="26" xfId="0" applyNumberFormat="1" applyFont="1" applyFill="1" applyBorder="1" applyAlignment="1">
      <alignment horizontal="center" vertical="center"/>
    </xf>
    <xf numFmtId="166" fontId="6" fillId="4" borderId="8" xfId="0" applyNumberFormat="1" applyFont="1" applyFill="1" applyBorder="1" applyAlignment="1">
      <alignment horizontal="center" vertical="center"/>
    </xf>
    <xf numFmtId="166" fontId="5" fillId="3" borderId="27" xfId="0" applyNumberFormat="1" applyFont="1" applyFill="1" applyBorder="1" applyAlignment="1">
      <alignment horizontal="center" vertical="center"/>
    </xf>
    <xf numFmtId="166" fontId="5" fillId="4" borderId="28" xfId="0" applyNumberFormat="1" applyFont="1" applyFill="1" applyBorder="1" applyAlignment="1">
      <alignment horizontal="center" vertical="center"/>
    </xf>
    <xf numFmtId="15" fontId="5" fillId="6" borderId="29" xfId="0" applyNumberFormat="1" applyFont="1" applyFill="1" applyBorder="1" applyAlignment="1">
      <alignment horizontal="center" vertical="center"/>
    </xf>
    <xf numFmtId="166" fontId="5" fillId="4" borderId="30" xfId="0" applyNumberFormat="1" applyFont="1" applyFill="1" applyBorder="1" applyAlignment="1">
      <alignment horizontal="center" vertical="center"/>
    </xf>
    <xf numFmtId="15" fontId="5" fillId="6" borderId="31" xfId="0" applyNumberFormat="1" applyFont="1" applyFill="1" applyBorder="1" applyAlignment="1">
      <alignment horizontal="center" vertical="center"/>
    </xf>
    <xf numFmtId="166" fontId="5" fillId="7" borderId="32" xfId="0" applyNumberFormat="1" applyFont="1" applyFill="1" applyBorder="1" applyAlignment="1">
      <alignment horizontal="center" vertical="center"/>
    </xf>
    <xf numFmtId="166" fontId="5" fillId="6" borderId="33" xfId="0" applyNumberFormat="1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15" fontId="5" fillId="6" borderId="35" xfId="0" applyNumberFormat="1" applyFont="1" applyFill="1" applyBorder="1" applyAlignment="1">
      <alignment horizontal="center" vertical="center"/>
    </xf>
    <xf numFmtId="166" fontId="5" fillId="3" borderId="36" xfId="0" applyNumberFormat="1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166" fontId="6" fillId="8" borderId="22" xfId="0" applyNumberFormat="1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0" fillId="6" borderId="20" xfId="0" applyFill="1" applyBorder="1"/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left" vertical="center"/>
    </xf>
    <xf numFmtId="0" fontId="6" fillId="4" borderId="38" xfId="0" applyFont="1" applyFill="1" applyBorder="1" applyAlignment="1">
      <alignment horizontal="left" vertical="center"/>
    </xf>
    <xf numFmtId="0" fontId="6" fillId="6" borderId="26" xfId="0" applyFont="1" applyFill="1" applyBorder="1" applyAlignment="1">
      <alignment horizontal="left" vertical="center"/>
    </xf>
    <xf numFmtId="166" fontId="6" fillId="7" borderId="26" xfId="0" applyNumberFormat="1" applyFont="1" applyFill="1" applyBorder="1" applyAlignment="1">
      <alignment horizontal="center" vertical="center"/>
    </xf>
    <xf numFmtId="166" fontId="5" fillId="6" borderId="18" xfId="0" applyNumberFormat="1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left" vertical="center"/>
    </xf>
    <xf numFmtId="166" fontId="6" fillId="3" borderId="26" xfId="0" applyNumberFormat="1" applyFont="1" applyFill="1" applyBorder="1" applyAlignment="1">
      <alignment horizontal="center" vertical="center"/>
    </xf>
    <xf numFmtId="166" fontId="5" fillId="4" borderId="18" xfId="0" applyNumberFormat="1" applyFont="1" applyFill="1" applyBorder="1" applyAlignment="1">
      <alignment horizontal="center" vertical="center"/>
    </xf>
    <xf numFmtId="166" fontId="5" fillId="6" borderId="26" xfId="0" applyNumberFormat="1" applyFont="1" applyFill="1" applyBorder="1" applyAlignment="1">
      <alignment horizontal="center" vertical="center"/>
    </xf>
    <xf numFmtId="3" fontId="5" fillId="4" borderId="26" xfId="0" applyNumberFormat="1" applyFont="1" applyFill="1" applyBorder="1" applyAlignment="1">
      <alignment horizontal="center" vertical="center"/>
    </xf>
    <xf numFmtId="3" fontId="5" fillId="4" borderId="18" xfId="0" applyNumberFormat="1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left" vertical="center"/>
    </xf>
    <xf numFmtId="3" fontId="5" fillId="6" borderId="26" xfId="0" applyNumberFormat="1" applyFont="1" applyFill="1" applyBorder="1" applyAlignment="1">
      <alignment horizontal="center" vertical="center"/>
    </xf>
    <xf numFmtId="166" fontId="5" fillId="4" borderId="16" xfId="0" applyNumberFormat="1" applyFont="1" applyFill="1" applyBorder="1" applyAlignment="1">
      <alignment horizontal="center" vertical="center"/>
    </xf>
    <xf numFmtId="166" fontId="5" fillId="4" borderId="39" xfId="0" applyNumberFormat="1" applyFont="1" applyFill="1" applyBorder="1" applyAlignment="1">
      <alignment horizontal="center" vertical="center"/>
    </xf>
    <xf numFmtId="3" fontId="5" fillId="6" borderId="18" xfId="0" applyNumberFormat="1" applyFont="1" applyFill="1" applyBorder="1" applyAlignment="1">
      <alignment horizontal="center" vertical="center"/>
    </xf>
    <xf numFmtId="0" fontId="19" fillId="6" borderId="0" xfId="0" applyFont="1" applyFill="1"/>
    <xf numFmtId="0" fontId="20" fillId="4" borderId="11" xfId="0" applyFont="1" applyFill="1" applyBorder="1"/>
    <xf numFmtId="0" fontId="6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 wrapText="1"/>
    </xf>
    <xf numFmtId="15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5" fontId="9" fillId="9" borderId="1" xfId="0" applyNumberFormat="1" applyFont="1" applyFill="1" applyBorder="1" applyAlignment="1">
      <alignment horizontal="center" vertical="center"/>
    </xf>
    <xf numFmtId="166" fontId="5" fillId="6" borderId="11" xfId="0" applyNumberFormat="1" applyFont="1" applyFill="1" applyBorder="1" applyAlignment="1">
      <alignment horizontal="center" vertical="center"/>
    </xf>
    <xf numFmtId="0" fontId="19" fillId="6" borderId="0" xfId="0" applyFont="1" applyFill="1" applyBorder="1"/>
    <xf numFmtId="0" fontId="6" fillId="6" borderId="11" xfId="0" applyFont="1" applyFill="1" applyBorder="1" applyAlignment="1">
      <alignment horizontal="left" vertical="center"/>
    </xf>
    <xf numFmtId="9" fontId="6" fillId="6" borderId="11" xfId="0" applyNumberFormat="1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left" vertical="center"/>
    </xf>
    <xf numFmtId="0" fontId="19" fillId="6" borderId="20" xfId="0" applyFont="1" applyFill="1" applyBorder="1"/>
    <xf numFmtId="0" fontId="9" fillId="9" borderId="11" xfId="0" applyFont="1" applyFill="1" applyBorder="1" applyAlignment="1">
      <alignment horizontal="center" vertical="center"/>
    </xf>
    <xf numFmtId="15" fontId="5" fillId="6" borderId="11" xfId="0" applyNumberFormat="1" applyFont="1" applyFill="1" applyBorder="1" applyAlignment="1">
      <alignment horizontal="center" vertical="center"/>
    </xf>
    <xf numFmtId="15" fontId="5" fillId="4" borderId="11" xfId="0" applyNumberFormat="1" applyFont="1" applyFill="1" applyBorder="1" applyAlignment="1">
      <alignment horizontal="center" vertical="center"/>
    </xf>
    <xf numFmtId="166" fontId="5" fillId="4" borderId="11" xfId="0" applyNumberFormat="1" applyFont="1" applyFill="1" applyBorder="1" applyAlignment="1">
      <alignment horizontal="center" vertical="center"/>
    </xf>
    <xf numFmtId="167" fontId="5" fillId="4" borderId="11" xfId="0" applyNumberFormat="1" applyFont="1" applyFill="1" applyBorder="1" applyAlignment="1">
      <alignment horizontal="center" vertical="center"/>
    </xf>
    <xf numFmtId="10" fontId="5" fillId="4" borderId="11" xfId="0" applyNumberFormat="1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6" fillId="6" borderId="17" xfId="0" applyFont="1" applyFill="1" applyBorder="1" applyAlignment="1">
      <alignment horizontal="left" vertical="center" wrapText="1"/>
    </xf>
    <xf numFmtId="0" fontId="5" fillId="6" borderId="26" xfId="0" applyFont="1" applyFill="1" applyBorder="1" applyAlignment="1">
      <alignment horizontal="left" vertical="center" wrapText="1"/>
    </xf>
    <xf numFmtId="0" fontId="5" fillId="6" borderId="18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5" fillId="6" borderId="39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center" vertical="center"/>
    </xf>
    <xf numFmtId="169" fontId="5" fillId="6" borderId="11" xfId="0" applyNumberFormat="1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171" fontId="19" fillId="6" borderId="20" xfId="0" applyNumberFormat="1" applyFont="1" applyFill="1" applyBorder="1"/>
  </cellXfs>
  <cellStyles count="1">
    <cellStyle name="Normal" xfId="0" builtinId="0"/>
  </cellStyles>
  <dxfs count="8"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border>
        <bottom style="medium">
          <color rgb="FFD9D9D9"/>
        </bottom>
      </border>
    </dxf>
    <dxf>
      <font>
        <b/>
        <sz val="10"/>
        <color rgb="FFFFFFFF"/>
      </font>
      <fill>
        <patternFill patternType="solid">
          <fgColor indexed="64"/>
          <bgColor rgb="FF1F3864"/>
        </patternFill>
      </fill>
      <alignment horizontal="center"/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5E8D4"/>
      <rgbColor rgb="FFFDEBD0"/>
      <rgbColor rgb="FFD6E4F0"/>
      <rgbColor rgb="FFFFE6E6"/>
      <rgbColor rgb="FFEEECE1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375623"/>
      <rgbColor rgb="FF444444"/>
      <rgbColor rgb="FF993300"/>
      <rgbColor rgb="FF993366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ositionPnL" displayName="tblPositionPnL" ref="A1:E201" totalsRowShown="0" headerRowDxfId="7" dataDxfId="5" headerRowBorderDxfId="6">
  <autoFilter ref="A1:E201" xr:uid="{00000000-0009-0000-0100-000001000000}"/>
  <tableColumns count="5">
    <tableColumn id="1" xr3:uid="{00000000-0010-0000-0000-000001000000}" name="Date" dataDxfId="4"/>
    <tableColumn id="2" xr3:uid="{00000000-0010-0000-0000-000002000000}" name="Position ID" dataDxfId="3"/>
    <tableColumn id="3" xr3:uid="{00000000-0010-0000-0000-000003000000}" name="Product Type" dataDxfId="2"/>
    <tableColumn id="4" xr3:uid="{00000000-0010-0000-0000-000004000000}" name="Underlying" dataDxfId="1"/>
    <tableColumn id="5" xr3:uid="{00000000-0010-0000-0000-000005000000}" name="Daily P&amp;L ($mm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46EF11-CB15-4F49-A6D1-5667482CBB7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f88d4f4f-14a5-4681-8ee0-c486aa0b9cd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tabSelected="1" zoomScale="85" zoomScaleNormal="85" workbookViewId="0">
      <selection activeCell="D15" sqref="D15"/>
    </sheetView>
  </sheetViews>
  <sheetFormatPr defaultColWidth="8.62890625" defaultRowHeight="14.4" x14ac:dyDescent="0.55000000000000004"/>
  <cols>
    <col min="1" max="1" width="110" customWidth="1"/>
  </cols>
  <sheetData>
    <row r="1" spans="1:1" ht="18" customHeight="1" x14ac:dyDescent="0.7">
      <c r="A1" s="1" t="s">
        <v>127</v>
      </c>
    </row>
    <row r="2" spans="1:1" ht="14.25" customHeight="1" x14ac:dyDescent="0.55000000000000004">
      <c r="A2" s="2"/>
    </row>
    <row r="3" spans="1:1" ht="14.25" customHeight="1" x14ac:dyDescent="0.55000000000000004">
      <c r="A3" s="3" t="s">
        <v>0</v>
      </c>
    </row>
    <row r="4" spans="1:1" ht="28.5" customHeight="1" x14ac:dyDescent="0.55000000000000004">
      <c r="A4" s="4" t="s">
        <v>1</v>
      </c>
    </row>
    <row r="5" spans="1:1" ht="14.25" customHeight="1" x14ac:dyDescent="0.55000000000000004">
      <c r="A5" s="4"/>
    </row>
    <row r="6" spans="1:1" ht="14.25" customHeight="1" x14ac:dyDescent="0.55000000000000004">
      <c r="A6" s="3" t="s">
        <v>2</v>
      </c>
    </row>
    <row r="7" spans="1:1" ht="14.25" customHeight="1" x14ac:dyDescent="0.55000000000000004">
      <c r="A7" s="4" t="s">
        <v>3</v>
      </c>
    </row>
    <row r="8" spans="1:1" ht="14.25" customHeight="1" x14ac:dyDescent="0.55000000000000004">
      <c r="A8" s="4"/>
    </row>
    <row r="9" spans="1:1" ht="14.25" customHeight="1" x14ac:dyDescent="0.55000000000000004">
      <c r="A9" s="3" t="s">
        <v>4</v>
      </c>
    </row>
    <row r="10" spans="1:1" ht="14.25" customHeight="1" x14ac:dyDescent="0.55000000000000004">
      <c r="A10" s="4" t="s">
        <v>5</v>
      </c>
    </row>
    <row r="11" spans="1:1" ht="14.25" customHeight="1" x14ac:dyDescent="0.55000000000000004">
      <c r="A11" s="4" t="s">
        <v>6</v>
      </c>
    </row>
    <row r="12" spans="1:1" ht="14.25" customHeight="1" x14ac:dyDescent="0.55000000000000004">
      <c r="A12" s="5" t="s">
        <v>128</v>
      </c>
    </row>
    <row r="13" spans="1:1" ht="14.25" customHeight="1" x14ac:dyDescent="0.55000000000000004">
      <c r="A13" s="5" t="s">
        <v>7</v>
      </c>
    </row>
    <row r="14" spans="1:1" ht="14.25" customHeight="1" x14ac:dyDescent="0.55000000000000004">
      <c r="A14" s="4" t="s">
        <v>8</v>
      </c>
    </row>
    <row r="15" spans="1:1" ht="28.5" customHeight="1" x14ac:dyDescent="0.55000000000000004">
      <c r="A15" s="4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2890625" defaultRowHeight="14.4" x14ac:dyDescent="0.55000000000000004"/>
  <cols>
    <col min="1" max="1" width="12.1015625" style="6" customWidth="1"/>
    <col min="2" max="2" width="14.89453125" customWidth="1"/>
    <col min="3" max="3" width="18.5234375" customWidth="1"/>
    <col min="4" max="4" width="19.3671875" customWidth="1"/>
    <col min="5" max="5" width="20.26171875" customWidth="1"/>
    <col min="6" max="6" width="12.89453125" style="6" customWidth="1"/>
  </cols>
  <sheetData>
    <row r="1" spans="1:5" ht="14.25" customHeight="1" thickBot="1" x14ac:dyDescent="0.6">
      <c r="A1" s="87" t="s">
        <v>10</v>
      </c>
      <c r="B1" s="88" t="s">
        <v>11</v>
      </c>
      <c r="C1" s="88" t="s">
        <v>12</v>
      </c>
      <c r="D1" s="88" t="s">
        <v>13</v>
      </c>
      <c r="E1" s="88" t="s">
        <v>14</v>
      </c>
    </row>
    <row r="2" spans="1:5" ht="14.25" customHeight="1" x14ac:dyDescent="0.55000000000000004">
      <c r="A2" s="89">
        <v>46083</v>
      </c>
      <c r="B2" s="90" t="s">
        <v>15</v>
      </c>
      <c r="C2" s="90" t="s">
        <v>16</v>
      </c>
      <c r="D2" s="90" t="s">
        <v>17</v>
      </c>
      <c r="E2" s="90">
        <v>0.21475658753334401</v>
      </c>
    </row>
    <row r="3" spans="1:5" ht="14.25" customHeight="1" x14ac:dyDescent="0.55000000000000004">
      <c r="A3" s="91">
        <v>46083</v>
      </c>
      <c r="B3" s="92" t="s">
        <v>18</v>
      </c>
      <c r="C3" s="92" t="s">
        <v>16</v>
      </c>
      <c r="D3" s="92" t="s">
        <v>19</v>
      </c>
      <c r="E3" s="92">
        <v>-9.3938726410974602E-2</v>
      </c>
    </row>
    <row r="4" spans="1:5" ht="14.25" customHeight="1" x14ac:dyDescent="0.55000000000000004">
      <c r="A4" s="91">
        <v>46083</v>
      </c>
      <c r="B4" s="92" t="s">
        <v>20</v>
      </c>
      <c r="C4" s="92" t="s">
        <v>21</v>
      </c>
      <c r="D4" s="92" t="s">
        <v>22</v>
      </c>
      <c r="E4" s="92">
        <v>0.240026604638376</v>
      </c>
    </row>
    <row r="5" spans="1:5" ht="14.25" customHeight="1" x14ac:dyDescent="0.55000000000000004">
      <c r="A5" s="91">
        <v>46083</v>
      </c>
      <c r="B5" s="92" t="s">
        <v>23</v>
      </c>
      <c r="C5" s="92" t="s">
        <v>24</v>
      </c>
      <c r="D5" s="92" t="s">
        <v>22</v>
      </c>
      <c r="E5" s="92">
        <v>0.84662842637719904</v>
      </c>
    </row>
    <row r="6" spans="1:5" ht="14.25" customHeight="1" x14ac:dyDescent="0.55000000000000004">
      <c r="A6" s="91">
        <v>46083</v>
      </c>
      <c r="B6" s="92" t="s">
        <v>25</v>
      </c>
      <c r="C6" s="92" t="s">
        <v>26</v>
      </c>
      <c r="D6" s="92" t="s">
        <v>27</v>
      </c>
      <c r="E6" s="92">
        <v>-8.09898077760033E-2</v>
      </c>
    </row>
    <row r="7" spans="1:5" ht="14.25" customHeight="1" x14ac:dyDescent="0.55000000000000004">
      <c r="A7" s="91">
        <v>46083</v>
      </c>
      <c r="B7" s="92" t="s">
        <v>28</v>
      </c>
      <c r="C7" s="92" t="s">
        <v>29</v>
      </c>
      <c r="D7" s="92" t="s">
        <v>30</v>
      </c>
      <c r="E7" s="92">
        <v>-7.2307258158468501E-2</v>
      </c>
    </row>
    <row r="8" spans="1:5" ht="14.25" customHeight="1" x14ac:dyDescent="0.55000000000000004">
      <c r="A8" s="91">
        <v>46083</v>
      </c>
      <c r="B8" s="92" t="s">
        <v>31</v>
      </c>
      <c r="C8" s="92" t="s">
        <v>16</v>
      </c>
      <c r="D8" s="92" t="s">
        <v>32</v>
      </c>
      <c r="E8" s="92">
        <v>1.1704795370293199</v>
      </c>
    </row>
    <row r="9" spans="1:5" ht="14.25" customHeight="1" x14ac:dyDescent="0.55000000000000004">
      <c r="A9" s="91">
        <v>46083</v>
      </c>
      <c r="B9" s="92" t="s">
        <v>33</v>
      </c>
      <c r="C9" s="92" t="s">
        <v>24</v>
      </c>
      <c r="D9" s="92" t="s">
        <v>27</v>
      </c>
      <c r="E9" s="92">
        <v>0.47400548639297602</v>
      </c>
    </row>
    <row r="10" spans="1:5" ht="14.25" customHeight="1" x14ac:dyDescent="0.55000000000000004">
      <c r="A10" s="91">
        <v>46083</v>
      </c>
      <c r="B10" s="92" t="s">
        <v>34</v>
      </c>
      <c r="C10" s="92" t="s">
        <v>21</v>
      </c>
      <c r="D10" s="92" t="s">
        <v>35</v>
      </c>
      <c r="E10" s="92">
        <v>-0.12758702144728301</v>
      </c>
    </row>
    <row r="11" spans="1:5" ht="14.25" customHeight="1" x14ac:dyDescent="0.55000000000000004">
      <c r="A11" s="91">
        <v>46083</v>
      </c>
      <c r="B11" s="92" t="s">
        <v>36</v>
      </c>
      <c r="C11" s="92" t="s">
        <v>16</v>
      </c>
      <c r="D11" s="92" t="s">
        <v>37</v>
      </c>
      <c r="E11" s="92">
        <v>0.268089444053416</v>
      </c>
    </row>
    <row r="12" spans="1:5" ht="14.25" customHeight="1" x14ac:dyDescent="0.55000000000000004">
      <c r="A12" s="91">
        <v>46084</v>
      </c>
      <c r="B12" s="92" t="s">
        <v>15</v>
      </c>
      <c r="C12" s="92" t="s">
        <v>16</v>
      </c>
      <c r="D12" s="92" t="s">
        <v>17</v>
      </c>
      <c r="E12" s="92">
        <v>-0.20036071391895599</v>
      </c>
    </row>
    <row r="13" spans="1:5" ht="14.25" customHeight="1" x14ac:dyDescent="0.55000000000000004">
      <c r="A13" s="91">
        <v>46084</v>
      </c>
      <c r="B13" s="92" t="s">
        <v>18</v>
      </c>
      <c r="C13" s="92" t="s">
        <v>16</v>
      </c>
      <c r="D13" s="92" t="s">
        <v>19</v>
      </c>
      <c r="E13" s="92">
        <v>-0.31642339730137697</v>
      </c>
    </row>
    <row r="14" spans="1:5" ht="14.25" customHeight="1" x14ac:dyDescent="0.55000000000000004">
      <c r="A14" s="91">
        <v>46084</v>
      </c>
      <c r="B14" s="92" t="s">
        <v>20</v>
      </c>
      <c r="C14" s="92" t="s">
        <v>21</v>
      </c>
      <c r="D14" s="92" t="s">
        <v>22</v>
      </c>
      <c r="E14" s="92">
        <v>8.9668689621854702E-2</v>
      </c>
    </row>
    <row r="15" spans="1:5" ht="14.25" customHeight="1" x14ac:dyDescent="0.55000000000000004">
      <c r="A15" s="91">
        <v>46084</v>
      </c>
      <c r="B15" s="92" t="s">
        <v>23</v>
      </c>
      <c r="C15" s="92" t="s">
        <v>24</v>
      </c>
      <c r="D15" s="92" t="s">
        <v>22</v>
      </c>
      <c r="E15" s="92">
        <v>-1.0635625007204399</v>
      </c>
    </row>
    <row r="16" spans="1:5" ht="14.25" customHeight="1" x14ac:dyDescent="0.55000000000000004">
      <c r="A16" s="91">
        <v>46084</v>
      </c>
      <c r="B16" s="92" t="s">
        <v>25</v>
      </c>
      <c r="C16" s="92" t="s">
        <v>26</v>
      </c>
      <c r="D16" s="92" t="s">
        <v>27</v>
      </c>
      <c r="E16" s="92">
        <v>-0.59662075701319395</v>
      </c>
    </row>
    <row r="17" spans="1:5" ht="14.25" customHeight="1" x14ac:dyDescent="0.55000000000000004">
      <c r="A17" s="91">
        <v>46084</v>
      </c>
      <c r="B17" s="92" t="s">
        <v>28</v>
      </c>
      <c r="C17" s="92" t="s">
        <v>29</v>
      </c>
      <c r="D17" s="92" t="s">
        <v>30</v>
      </c>
      <c r="E17" s="92">
        <v>-0.173648235912365</v>
      </c>
    </row>
    <row r="18" spans="1:5" ht="14.25" customHeight="1" x14ac:dyDescent="0.55000000000000004">
      <c r="A18" s="91">
        <v>46084</v>
      </c>
      <c r="B18" s="92" t="s">
        <v>31</v>
      </c>
      <c r="C18" s="92" t="s">
        <v>16</v>
      </c>
      <c r="D18" s="92" t="s">
        <v>32</v>
      </c>
      <c r="E18" s="92">
        <v>-0.75068926060927099</v>
      </c>
    </row>
    <row r="19" spans="1:5" ht="14.25" customHeight="1" x14ac:dyDescent="0.55000000000000004">
      <c r="A19" s="91">
        <v>46084</v>
      </c>
      <c r="B19" s="92" t="s">
        <v>33</v>
      </c>
      <c r="C19" s="92" t="s">
        <v>24</v>
      </c>
      <c r="D19" s="92" t="s">
        <v>27</v>
      </c>
      <c r="E19" s="92">
        <v>0.194094629909352</v>
      </c>
    </row>
    <row r="20" spans="1:5" ht="14.25" customHeight="1" x14ac:dyDescent="0.55000000000000004">
      <c r="A20" s="91">
        <v>46084</v>
      </c>
      <c r="B20" s="92" t="s">
        <v>34</v>
      </c>
      <c r="C20" s="92" t="s">
        <v>21</v>
      </c>
      <c r="D20" s="92" t="s">
        <v>35</v>
      </c>
      <c r="E20" s="92">
        <v>-0.24676977204508399</v>
      </c>
    </row>
    <row r="21" spans="1:5" ht="14.25" customHeight="1" x14ac:dyDescent="0.55000000000000004">
      <c r="A21" s="91">
        <v>46084</v>
      </c>
      <c r="B21" s="92" t="s">
        <v>36</v>
      </c>
      <c r="C21" s="92" t="s">
        <v>16</v>
      </c>
      <c r="D21" s="92" t="s">
        <v>37</v>
      </c>
      <c r="E21" s="92">
        <v>-0.697846659741301</v>
      </c>
    </row>
    <row r="22" spans="1:5" ht="14.25" customHeight="1" x14ac:dyDescent="0.55000000000000004">
      <c r="A22" s="91">
        <v>46085</v>
      </c>
      <c r="B22" s="92" t="s">
        <v>15</v>
      </c>
      <c r="C22" s="92" t="s">
        <v>16</v>
      </c>
      <c r="D22" s="92" t="s">
        <v>17</v>
      </c>
      <c r="E22" s="92">
        <v>0.63367980603709895</v>
      </c>
    </row>
    <row r="23" spans="1:5" ht="14.25" customHeight="1" x14ac:dyDescent="0.55000000000000004">
      <c r="A23" s="91">
        <v>46085</v>
      </c>
      <c r="B23" s="92" t="s">
        <v>18</v>
      </c>
      <c r="C23" s="92" t="s">
        <v>16</v>
      </c>
      <c r="D23" s="92" t="s">
        <v>19</v>
      </c>
      <c r="E23" s="92">
        <v>-0.15339561941753599</v>
      </c>
    </row>
    <row r="24" spans="1:5" ht="14.25" customHeight="1" x14ac:dyDescent="0.55000000000000004">
      <c r="A24" s="91">
        <v>46085</v>
      </c>
      <c r="B24" s="92" t="s">
        <v>20</v>
      </c>
      <c r="C24" s="92" t="s">
        <v>21</v>
      </c>
      <c r="D24" s="92" t="s">
        <v>22</v>
      </c>
      <c r="E24" s="92">
        <v>2.5025247067206501E-2</v>
      </c>
    </row>
    <row r="25" spans="1:5" ht="14.25" customHeight="1" x14ac:dyDescent="0.55000000000000004">
      <c r="A25" s="91">
        <v>46085</v>
      </c>
      <c r="B25" s="92" t="s">
        <v>23</v>
      </c>
      <c r="C25" s="92" t="s">
        <v>24</v>
      </c>
      <c r="D25" s="92" t="s">
        <v>22</v>
      </c>
      <c r="E25" s="92">
        <v>-0.79199518630743904</v>
      </c>
    </row>
    <row r="26" spans="1:5" ht="14.25" customHeight="1" x14ac:dyDescent="0.55000000000000004">
      <c r="A26" s="91">
        <v>46085</v>
      </c>
      <c r="B26" s="92" t="s">
        <v>25</v>
      </c>
      <c r="C26" s="92" t="s">
        <v>26</v>
      </c>
      <c r="D26" s="92" t="s">
        <v>27</v>
      </c>
      <c r="E26" s="92">
        <v>-0.18829304624785101</v>
      </c>
    </row>
    <row r="27" spans="1:5" ht="14.25" customHeight="1" x14ac:dyDescent="0.55000000000000004">
      <c r="A27" s="91">
        <v>46085</v>
      </c>
      <c r="B27" s="92" t="s">
        <v>28</v>
      </c>
      <c r="C27" s="92" t="s">
        <v>29</v>
      </c>
      <c r="D27" s="92" t="s">
        <v>30</v>
      </c>
      <c r="E27" s="92">
        <v>3.4255627280139402E-2</v>
      </c>
    </row>
    <row r="28" spans="1:5" ht="14.25" customHeight="1" x14ac:dyDescent="0.55000000000000004">
      <c r="A28" s="91">
        <v>46085</v>
      </c>
      <c r="B28" s="92" t="s">
        <v>31</v>
      </c>
      <c r="C28" s="92" t="s">
        <v>16</v>
      </c>
      <c r="D28" s="92" t="s">
        <v>32</v>
      </c>
      <c r="E28" s="92">
        <v>-0.85309238653317998</v>
      </c>
    </row>
    <row r="29" spans="1:5" ht="14.25" customHeight="1" x14ac:dyDescent="0.55000000000000004">
      <c r="A29" s="91">
        <v>46085</v>
      </c>
      <c r="B29" s="92" t="s">
        <v>33</v>
      </c>
      <c r="C29" s="92" t="s">
        <v>24</v>
      </c>
      <c r="D29" s="92" t="s">
        <v>27</v>
      </c>
      <c r="E29" s="92">
        <v>0.23204959999579999</v>
      </c>
    </row>
    <row r="30" spans="1:5" ht="14.25" customHeight="1" x14ac:dyDescent="0.55000000000000004">
      <c r="A30" s="91">
        <v>46085</v>
      </c>
      <c r="B30" s="92" t="s">
        <v>34</v>
      </c>
      <c r="C30" s="92" t="s">
        <v>21</v>
      </c>
      <c r="D30" s="92" t="s">
        <v>35</v>
      </c>
      <c r="E30" s="92">
        <v>-0.16323297651292201</v>
      </c>
    </row>
    <row r="31" spans="1:5" ht="14.25" customHeight="1" x14ac:dyDescent="0.55000000000000004">
      <c r="A31" s="91">
        <v>46085</v>
      </c>
      <c r="B31" s="92" t="s">
        <v>36</v>
      </c>
      <c r="C31" s="92" t="s">
        <v>16</v>
      </c>
      <c r="D31" s="92" t="s">
        <v>37</v>
      </c>
      <c r="E31" s="92">
        <v>-0.14413154109006099</v>
      </c>
    </row>
    <row r="32" spans="1:5" ht="14.25" customHeight="1" x14ac:dyDescent="0.55000000000000004">
      <c r="A32" s="91">
        <v>46086</v>
      </c>
      <c r="B32" s="92" t="s">
        <v>15</v>
      </c>
      <c r="C32" s="92" t="s">
        <v>16</v>
      </c>
      <c r="D32" s="92" t="s">
        <v>17</v>
      </c>
      <c r="E32" s="92">
        <v>-0.26015054726196302</v>
      </c>
    </row>
    <row r="33" spans="1:5" ht="14.25" customHeight="1" x14ac:dyDescent="0.55000000000000004">
      <c r="A33" s="91">
        <v>46086</v>
      </c>
      <c r="B33" s="92" t="s">
        <v>18</v>
      </c>
      <c r="C33" s="92" t="s">
        <v>16</v>
      </c>
      <c r="D33" s="92" t="s">
        <v>19</v>
      </c>
      <c r="E33" s="92">
        <v>1.2584640586015901</v>
      </c>
    </row>
    <row r="34" spans="1:5" ht="14.25" customHeight="1" x14ac:dyDescent="0.55000000000000004">
      <c r="A34" s="91">
        <v>46086</v>
      </c>
      <c r="B34" s="92" t="s">
        <v>20</v>
      </c>
      <c r="C34" s="92" t="s">
        <v>21</v>
      </c>
      <c r="D34" s="92" t="s">
        <v>22</v>
      </c>
      <c r="E34" s="92">
        <v>-5.0019304577900601E-3</v>
      </c>
    </row>
    <row r="35" spans="1:5" ht="14.25" customHeight="1" x14ac:dyDescent="0.55000000000000004">
      <c r="A35" s="91">
        <v>46086</v>
      </c>
      <c r="B35" s="92" t="s">
        <v>23</v>
      </c>
      <c r="C35" s="92" t="s">
        <v>24</v>
      </c>
      <c r="D35" s="92" t="s">
        <v>22</v>
      </c>
      <c r="E35" s="92">
        <v>-0.58796492765798702</v>
      </c>
    </row>
    <row r="36" spans="1:5" ht="14.25" customHeight="1" x14ac:dyDescent="0.55000000000000004">
      <c r="A36" s="91">
        <v>46086</v>
      </c>
      <c r="B36" s="92" t="s">
        <v>25</v>
      </c>
      <c r="C36" s="92" t="s">
        <v>26</v>
      </c>
      <c r="D36" s="92" t="s">
        <v>27</v>
      </c>
      <c r="E36" s="92">
        <v>0.28450477981399602</v>
      </c>
    </row>
    <row r="37" spans="1:5" ht="14.25" customHeight="1" x14ac:dyDescent="0.55000000000000004">
      <c r="A37" s="91">
        <v>46086</v>
      </c>
      <c r="B37" s="92" t="s">
        <v>28</v>
      </c>
      <c r="C37" s="92" t="s">
        <v>29</v>
      </c>
      <c r="D37" s="92" t="s">
        <v>30</v>
      </c>
      <c r="E37" s="92">
        <v>-0.37702658358518798</v>
      </c>
    </row>
    <row r="38" spans="1:5" ht="14.25" customHeight="1" x14ac:dyDescent="0.55000000000000004">
      <c r="A38" s="91">
        <v>46086</v>
      </c>
      <c r="B38" s="92" t="s">
        <v>31</v>
      </c>
      <c r="C38" s="92" t="s">
        <v>16</v>
      </c>
      <c r="D38" s="92" t="s">
        <v>32</v>
      </c>
      <c r="E38" s="92">
        <v>0.15480533186079801</v>
      </c>
    </row>
    <row r="39" spans="1:5" ht="14.25" customHeight="1" x14ac:dyDescent="0.55000000000000004">
      <c r="A39" s="91">
        <v>46086</v>
      </c>
      <c r="B39" s="92" t="s">
        <v>33</v>
      </c>
      <c r="C39" s="92" t="s">
        <v>24</v>
      </c>
      <c r="D39" s="92" t="s">
        <v>27</v>
      </c>
      <c r="E39" s="92">
        <v>-1.2103887861117899</v>
      </c>
    </row>
    <row r="40" spans="1:5" ht="14.25" customHeight="1" x14ac:dyDescent="0.55000000000000004">
      <c r="A40" s="91">
        <v>46086</v>
      </c>
      <c r="B40" s="92" t="s">
        <v>34</v>
      </c>
      <c r="C40" s="92" t="s">
        <v>21</v>
      </c>
      <c r="D40" s="92" t="s">
        <v>35</v>
      </c>
      <c r="E40" s="92">
        <v>-0.36095537261166999</v>
      </c>
    </row>
    <row r="41" spans="1:5" ht="14.25" customHeight="1" x14ac:dyDescent="0.55000000000000004">
      <c r="A41" s="91">
        <v>46086</v>
      </c>
      <c r="B41" s="92" t="s">
        <v>36</v>
      </c>
      <c r="C41" s="92" t="s">
        <v>16</v>
      </c>
      <c r="D41" s="92" t="s">
        <v>37</v>
      </c>
      <c r="E41" s="92">
        <v>9.7272956060317994E-2</v>
      </c>
    </row>
    <row r="42" spans="1:5" ht="14.25" customHeight="1" x14ac:dyDescent="0.55000000000000004">
      <c r="A42" s="91">
        <v>46087</v>
      </c>
      <c r="B42" s="92" t="s">
        <v>15</v>
      </c>
      <c r="C42" s="92" t="s">
        <v>16</v>
      </c>
      <c r="D42" s="92" t="s">
        <v>17</v>
      </c>
      <c r="E42" s="92">
        <v>0.31927933151453303</v>
      </c>
    </row>
    <row r="43" spans="1:5" ht="14.25" customHeight="1" x14ac:dyDescent="0.55000000000000004">
      <c r="A43" s="91">
        <v>46087</v>
      </c>
      <c r="B43" s="92" t="s">
        <v>18</v>
      </c>
      <c r="C43" s="92" t="s">
        <v>16</v>
      </c>
      <c r="D43" s="92" t="s">
        <v>19</v>
      </c>
      <c r="E43" s="92">
        <v>0.11643003975619499</v>
      </c>
    </row>
    <row r="44" spans="1:5" ht="14.25" customHeight="1" x14ac:dyDescent="0.55000000000000004">
      <c r="A44" s="91">
        <v>46087</v>
      </c>
      <c r="B44" s="92" t="s">
        <v>20</v>
      </c>
      <c r="C44" s="92" t="s">
        <v>21</v>
      </c>
      <c r="D44" s="92" t="s">
        <v>22</v>
      </c>
      <c r="E44" s="92">
        <v>-4.2858045064854897E-2</v>
      </c>
    </row>
    <row r="45" spans="1:5" ht="14.25" customHeight="1" x14ac:dyDescent="0.55000000000000004">
      <c r="A45" s="91">
        <v>46087</v>
      </c>
      <c r="B45" s="92" t="s">
        <v>23</v>
      </c>
      <c r="C45" s="92" t="s">
        <v>24</v>
      </c>
      <c r="D45" s="92" t="s">
        <v>22</v>
      </c>
      <c r="E45" s="92">
        <v>-0.16737882511006</v>
      </c>
    </row>
    <row r="46" spans="1:5" ht="14.25" customHeight="1" x14ac:dyDescent="0.55000000000000004">
      <c r="A46" s="91">
        <v>46087</v>
      </c>
      <c r="B46" s="92" t="s">
        <v>25</v>
      </c>
      <c r="C46" s="92" t="s">
        <v>26</v>
      </c>
      <c r="D46" s="92" t="s">
        <v>27</v>
      </c>
      <c r="E46" s="92">
        <v>-0.51139648076367406</v>
      </c>
    </row>
    <row r="47" spans="1:5" ht="14.25" customHeight="1" x14ac:dyDescent="0.55000000000000004">
      <c r="A47" s="91">
        <v>46087</v>
      </c>
      <c r="B47" s="92" t="s">
        <v>28</v>
      </c>
      <c r="C47" s="92" t="s">
        <v>29</v>
      </c>
      <c r="D47" s="92" t="s">
        <v>30</v>
      </c>
      <c r="E47" s="92">
        <v>-0.22230561842303301</v>
      </c>
    </row>
    <row r="48" spans="1:5" ht="14.25" customHeight="1" x14ac:dyDescent="0.55000000000000004">
      <c r="A48" s="91">
        <v>46087</v>
      </c>
      <c r="B48" s="92" t="s">
        <v>31</v>
      </c>
      <c r="C48" s="92" t="s">
        <v>16</v>
      </c>
      <c r="D48" s="92" t="s">
        <v>32</v>
      </c>
      <c r="E48" s="92">
        <v>-0.34141583077106502</v>
      </c>
    </row>
    <row r="49" spans="1:5" ht="14.25" customHeight="1" x14ac:dyDescent="0.55000000000000004">
      <c r="A49" s="91">
        <v>46087</v>
      </c>
      <c r="B49" s="92" t="s">
        <v>33</v>
      </c>
      <c r="C49" s="92" t="s">
        <v>24</v>
      </c>
      <c r="D49" s="92" t="s">
        <v>27</v>
      </c>
      <c r="E49" s="92">
        <v>0.65293075225930197</v>
      </c>
    </row>
    <row r="50" spans="1:5" ht="14.25" customHeight="1" x14ac:dyDescent="0.55000000000000004">
      <c r="A50" s="91">
        <v>46087</v>
      </c>
      <c r="B50" s="92" t="s">
        <v>34</v>
      </c>
      <c r="C50" s="92" t="s">
        <v>21</v>
      </c>
      <c r="D50" s="92" t="s">
        <v>35</v>
      </c>
      <c r="E50" s="92">
        <v>9.3383654985863901E-2</v>
      </c>
    </row>
    <row r="51" spans="1:5" ht="14.25" customHeight="1" x14ac:dyDescent="0.55000000000000004">
      <c r="A51" s="91">
        <v>46087</v>
      </c>
      <c r="B51" s="92" t="s">
        <v>36</v>
      </c>
      <c r="C51" s="92" t="s">
        <v>16</v>
      </c>
      <c r="D51" s="92" t="s">
        <v>37</v>
      </c>
      <c r="E51" s="92">
        <v>-0.87115234651472395</v>
      </c>
    </row>
    <row r="52" spans="1:5" ht="14.25" customHeight="1" x14ac:dyDescent="0.55000000000000004">
      <c r="A52" s="91">
        <v>46090</v>
      </c>
      <c r="B52" s="92" t="s">
        <v>15</v>
      </c>
      <c r="C52" s="92" t="s">
        <v>16</v>
      </c>
      <c r="D52" s="92" t="s">
        <v>17</v>
      </c>
      <c r="E52" s="92">
        <v>0.14011915488929699</v>
      </c>
    </row>
    <row r="53" spans="1:5" ht="14.25" customHeight="1" x14ac:dyDescent="0.55000000000000004">
      <c r="A53" s="91">
        <v>46090</v>
      </c>
      <c r="B53" s="92" t="s">
        <v>18</v>
      </c>
      <c r="C53" s="92" t="s">
        <v>16</v>
      </c>
      <c r="D53" s="92" t="s">
        <v>19</v>
      </c>
      <c r="E53" s="92">
        <v>-0.26163036068837098</v>
      </c>
    </row>
    <row r="54" spans="1:5" ht="14.25" customHeight="1" x14ac:dyDescent="0.55000000000000004">
      <c r="A54" s="91">
        <v>46090</v>
      </c>
      <c r="B54" s="92" t="s">
        <v>20</v>
      </c>
      <c r="C54" s="92" t="s">
        <v>21</v>
      </c>
      <c r="D54" s="92" t="s">
        <v>22</v>
      </c>
      <c r="E54" s="92">
        <v>-0.25086022027642702</v>
      </c>
    </row>
    <row r="55" spans="1:5" ht="14.25" customHeight="1" x14ac:dyDescent="0.55000000000000004">
      <c r="A55" s="91">
        <v>46090</v>
      </c>
      <c r="B55" s="92" t="s">
        <v>23</v>
      </c>
      <c r="C55" s="92" t="s">
        <v>24</v>
      </c>
      <c r="D55" s="92" t="s">
        <v>22</v>
      </c>
      <c r="E55" s="92">
        <v>0.34002126202235899</v>
      </c>
    </row>
    <row r="56" spans="1:5" ht="14.25" customHeight="1" x14ac:dyDescent="0.55000000000000004">
      <c r="A56" s="91">
        <v>46090</v>
      </c>
      <c r="B56" s="92" t="s">
        <v>25</v>
      </c>
      <c r="C56" s="92" t="s">
        <v>26</v>
      </c>
      <c r="D56" s="92" t="s">
        <v>27</v>
      </c>
      <c r="E56" s="92">
        <v>0.35660580695349098</v>
      </c>
    </row>
    <row r="57" spans="1:5" ht="14.25" customHeight="1" x14ac:dyDescent="0.55000000000000004">
      <c r="A57" s="91">
        <v>46090</v>
      </c>
      <c r="B57" s="92" t="s">
        <v>28</v>
      </c>
      <c r="C57" s="92" t="s">
        <v>29</v>
      </c>
      <c r="D57" s="92" t="s">
        <v>30</v>
      </c>
      <c r="E57" s="92">
        <v>0.287602234470828</v>
      </c>
    </row>
    <row r="58" spans="1:5" ht="14.25" customHeight="1" x14ac:dyDescent="0.55000000000000004">
      <c r="A58" s="91">
        <v>46090</v>
      </c>
      <c r="B58" s="92" t="s">
        <v>31</v>
      </c>
      <c r="C58" s="92" t="s">
        <v>16</v>
      </c>
      <c r="D58" s="92" t="s">
        <v>32</v>
      </c>
      <c r="E58" s="92">
        <v>-0.62201049054488999</v>
      </c>
    </row>
    <row r="59" spans="1:5" ht="14.25" customHeight="1" x14ac:dyDescent="0.55000000000000004">
      <c r="A59" s="91">
        <v>46090</v>
      </c>
      <c r="B59" s="92" t="s">
        <v>33</v>
      </c>
      <c r="C59" s="92" t="s">
        <v>24</v>
      </c>
      <c r="D59" s="92" t="s">
        <v>27</v>
      </c>
      <c r="E59" s="92">
        <v>-0.19098479264271001</v>
      </c>
    </row>
    <row r="60" spans="1:5" ht="14.25" customHeight="1" x14ac:dyDescent="0.55000000000000004">
      <c r="A60" s="91">
        <v>46090</v>
      </c>
      <c r="B60" s="92" t="s">
        <v>34</v>
      </c>
      <c r="C60" s="92" t="s">
        <v>21</v>
      </c>
      <c r="D60" s="92" t="s">
        <v>35</v>
      </c>
      <c r="E60" s="92">
        <v>9.0026028668245606E-2</v>
      </c>
    </row>
    <row r="61" spans="1:5" ht="14.25" customHeight="1" x14ac:dyDescent="0.55000000000000004">
      <c r="A61" s="91">
        <v>46090</v>
      </c>
      <c r="B61" s="92" t="s">
        <v>36</v>
      </c>
      <c r="C61" s="92" t="s">
        <v>16</v>
      </c>
      <c r="D61" s="92" t="s">
        <v>37</v>
      </c>
      <c r="E61" s="92">
        <v>0.48203577441989498</v>
      </c>
    </row>
    <row r="62" spans="1:5" ht="14.25" customHeight="1" x14ac:dyDescent="0.55000000000000004">
      <c r="A62" s="91">
        <v>46091</v>
      </c>
      <c r="B62" s="92" t="s">
        <v>15</v>
      </c>
      <c r="C62" s="92" t="s">
        <v>16</v>
      </c>
      <c r="D62" s="92" t="s">
        <v>17</v>
      </c>
      <c r="E62" s="92">
        <v>-0.20717312669610699</v>
      </c>
    </row>
    <row r="63" spans="1:5" ht="14.25" customHeight="1" x14ac:dyDescent="0.55000000000000004">
      <c r="A63" s="91">
        <v>46091</v>
      </c>
      <c r="B63" s="92" t="s">
        <v>18</v>
      </c>
      <c r="C63" s="92" t="s">
        <v>16</v>
      </c>
      <c r="D63" s="92" t="s">
        <v>19</v>
      </c>
      <c r="E63" s="92">
        <v>-0.12613934086261899</v>
      </c>
    </row>
    <row r="64" spans="1:5" ht="14.25" customHeight="1" x14ac:dyDescent="0.55000000000000004">
      <c r="A64" s="91">
        <v>46091</v>
      </c>
      <c r="B64" s="92" t="s">
        <v>20</v>
      </c>
      <c r="C64" s="92" t="s">
        <v>21</v>
      </c>
      <c r="D64" s="92" t="s">
        <v>22</v>
      </c>
      <c r="E64" s="92">
        <v>-0.409996181470282</v>
      </c>
    </row>
    <row r="65" spans="1:5" ht="14.25" customHeight="1" x14ac:dyDescent="0.55000000000000004">
      <c r="A65" s="91">
        <v>46091</v>
      </c>
      <c r="B65" s="92" t="s">
        <v>23</v>
      </c>
      <c r="C65" s="92" t="s">
        <v>24</v>
      </c>
      <c r="D65" s="92" t="s">
        <v>22</v>
      </c>
      <c r="E65" s="92">
        <v>-0.66495251390271004</v>
      </c>
    </row>
    <row r="66" spans="1:5" ht="14.25" customHeight="1" x14ac:dyDescent="0.55000000000000004">
      <c r="A66" s="91">
        <v>46091</v>
      </c>
      <c r="B66" s="92" t="s">
        <v>25</v>
      </c>
      <c r="C66" s="92" t="s">
        <v>26</v>
      </c>
      <c r="D66" s="92" t="s">
        <v>27</v>
      </c>
      <c r="E66" s="92">
        <v>0.28103934118608598</v>
      </c>
    </row>
    <row r="67" spans="1:5" ht="14.25" customHeight="1" x14ac:dyDescent="0.55000000000000004">
      <c r="A67" s="91">
        <v>46091</v>
      </c>
      <c r="B67" s="92" t="s">
        <v>28</v>
      </c>
      <c r="C67" s="92" t="s">
        <v>29</v>
      </c>
      <c r="D67" s="92" t="s">
        <v>30</v>
      </c>
      <c r="E67" s="92">
        <v>0.418840319565631</v>
      </c>
    </row>
    <row r="68" spans="1:5" ht="14.25" customHeight="1" x14ac:dyDescent="0.55000000000000004">
      <c r="A68" s="91">
        <v>46091</v>
      </c>
      <c r="B68" s="92" t="s">
        <v>31</v>
      </c>
      <c r="C68" s="92" t="s">
        <v>16</v>
      </c>
      <c r="D68" s="92" t="s">
        <v>32</v>
      </c>
      <c r="E68" s="92">
        <v>-5.3372397273570599E-2</v>
      </c>
    </row>
    <row r="69" spans="1:5" ht="14.25" customHeight="1" x14ac:dyDescent="0.55000000000000004">
      <c r="A69" s="91">
        <v>46091</v>
      </c>
      <c r="B69" s="92" t="s">
        <v>33</v>
      </c>
      <c r="C69" s="92" t="s">
        <v>24</v>
      </c>
      <c r="D69" s="92" t="s">
        <v>27</v>
      </c>
      <c r="E69" s="92">
        <v>0.61983134370491</v>
      </c>
    </row>
    <row r="70" spans="1:5" ht="14.25" customHeight="1" x14ac:dyDescent="0.55000000000000004">
      <c r="A70" s="91">
        <v>46091</v>
      </c>
      <c r="B70" s="92" t="s">
        <v>34</v>
      </c>
      <c r="C70" s="92" t="s">
        <v>21</v>
      </c>
      <c r="D70" s="92" t="s">
        <v>35</v>
      </c>
      <c r="E70" s="92">
        <v>9.8280256955819295E-2</v>
      </c>
    </row>
    <row r="71" spans="1:5" ht="14.25" customHeight="1" x14ac:dyDescent="0.55000000000000004">
      <c r="A71" s="91">
        <v>46091</v>
      </c>
      <c r="B71" s="92" t="s">
        <v>36</v>
      </c>
      <c r="C71" s="92" t="s">
        <v>16</v>
      </c>
      <c r="D71" s="92" t="s">
        <v>37</v>
      </c>
      <c r="E71" s="92">
        <v>-0.31876618708757098</v>
      </c>
    </row>
    <row r="72" spans="1:5" ht="14.25" customHeight="1" x14ac:dyDescent="0.55000000000000004">
      <c r="A72" s="91">
        <v>46092</v>
      </c>
      <c r="B72" s="92" t="s">
        <v>15</v>
      </c>
      <c r="C72" s="92" t="s">
        <v>16</v>
      </c>
      <c r="D72" s="92" t="s">
        <v>17</v>
      </c>
      <c r="E72" s="92">
        <v>0.15625100778390399</v>
      </c>
    </row>
    <row r="73" spans="1:5" ht="14.25" customHeight="1" x14ac:dyDescent="0.55000000000000004">
      <c r="A73" s="91">
        <v>46092</v>
      </c>
      <c r="B73" s="92" t="s">
        <v>18</v>
      </c>
      <c r="C73" s="92" t="s">
        <v>16</v>
      </c>
      <c r="D73" s="92" t="s">
        <v>19</v>
      </c>
      <c r="E73" s="92">
        <v>1.0449638482491601</v>
      </c>
    </row>
    <row r="74" spans="1:5" ht="14.25" customHeight="1" x14ac:dyDescent="0.55000000000000004">
      <c r="A74" s="91">
        <v>46092</v>
      </c>
      <c r="B74" s="92" t="s">
        <v>20</v>
      </c>
      <c r="C74" s="92" t="s">
        <v>21</v>
      </c>
      <c r="D74" s="92" t="s">
        <v>22</v>
      </c>
      <c r="E74" s="92">
        <v>-1.3276755754270401E-2</v>
      </c>
    </row>
    <row r="75" spans="1:5" ht="14.25" customHeight="1" x14ac:dyDescent="0.55000000000000004">
      <c r="A75" s="91">
        <v>46092</v>
      </c>
      <c r="B75" s="92" t="s">
        <v>23</v>
      </c>
      <c r="C75" s="92" t="s">
        <v>24</v>
      </c>
      <c r="D75" s="92" t="s">
        <v>22</v>
      </c>
      <c r="E75" s="92">
        <v>0.86976088524425799</v>
      </c>
    </row>
    <row r="76" spans="1:5" ht="14.25" customHeight="1" x14ac:dyDescent="0.55000000000000004">
      <c r="A76" s="91">
        <v>46092</v>
      </c>
      <c r="B76" s="92" t="s">
        <v>25</v>
      </c>
      <c r="C76" s="92" t="s">
        <v>26</v>
      </c>
      <c r="D76" s="92" t="s">
        <v>27</v>
      </c>
      <c r="E76" s="92">
        <v>-0.90612681817226404</v>
      </c>
    </row>
    <row r="77" spans="1:5" ht="14.25" customHeight="1" x14ac:dyDescent="0.55000000000000004">
      <c r="A77" s="91">
        <v>46092</v>
      </c>
      <c r="B77" s="92" t="s">
        <v>28</v>
      </c>
      <c r="C77" s="92" t="s">
        <v>29</v>
      </c>
      <c r="D77" s="92" t="s">
        <v>30</v>
      </c>
      <c r="E77" s="92">
        <v>0.25382373350760801</v>
      </c>
    </row>
    <row r="78" spans="1:5" ht="14.25" customHeight="1" x14ac:dyDescent="0.55000000000000004">
      <c r="A78" s="91">
        <v>46092</v>
      </c>
      <c r="B78" s="92" t="s">
        <v>31</v>
      </c>
      <c r="C78" s="92" t="s">
        <v>16</v>
      </c>
      <c r="D78" s="92" t="s">
        <v>32</v>
      </c>
      <c r="E78" s="92">
        <v>6.4517467899625106E-2</v>
      </c>
    </row>
    <row r="79" spans="1:5" ht="14.25" customHeight="1" x14ac:dyDescent="0.55000000000000004">
      <c r="A79" s="91">
        <v>46092</v>
      </c>
      <c r="B79" s="92" t="s">
        <v>33</v>
      </c>
      <c r="C79" s="92" t="s">
        <v>24</v>
      </c>
      <c r="D79" s="92" t="s">
        <v>27</v>
      </c>
      <c r="E79" s="92">
        <v>-0.18468166634717001</v>
      </c>
    </row>
    <row r="80" spans="1:5" ht="14.25" customHeight="1" x14ac:dyDescent="0.55000000000000004">
      <c r="A80" s="91">
        <v>46092</v>
      </c>
      <c r="B80" s="92" t="s">
        <v>34</v>
      </c>
      <c r="C80" s="92" t="s">
        <v>21</v>
      </c>
      <c r="D80" s="92" t="s">
        <v>35</v>
      </c>
      <c r="E80" s="92">
        <v>2.4937428994212599E-2</v>
      </c>
    </row>
    <row r="81" spans="1:5" ht="14.25" customHeight="1" x14ac:dyDescent="0.55000000000000004">
      <c r="A81" s="91">
        <v>46092</v>
      </c>
      <c r="B81" s="92" t="s">
        <v>36</v>
      </c>
      <c r="C81" s="92" t="s">
        <v>16</v>
      </c>
      <c r="D81" s="92" t="s">
        <v>37</v>
      </c>
      <c r="E81" s="92">
        <v>-0.98209636266512101</v>
      </c>
    </row>
    <row r="82" spans="1:5" ht="14.25" customHeight="1" x14ac:dyDescent="0.55000000000000004">
      <c r="A82" s="91">
        <v>46093</v>
      </c>
      <c r="B82" s="92" t="s">
        <v>15</v>
      </c>
      <c r="C82" s="92" t="s">
        <v>16</v>
      </c>
      <c r="D82" s="92" t="s">
        <v>17</v>
      </c>
      <c r="E82" s="92">
        <v>-9.4976124040348706E-2</v>
      </c>
    </row>
    <row r="83" spans="1:5" ht="14.25" customHeight="1" x14ac:dyDescent="0.55000000000000004">
      <c r="A83" s="91">
        <v>46093</v>
      </c>
      <c r="B83" s="92" t="s">
        <v>18</v>
      </c>
      <c r="C83" s="92" t="s">
        <v>16</v>
      </c>
      <c r="D83" s="92" t="s">
        <v>19</v>
      </c>
      <c r="E83" s="92">
        <v>0.24262734392753699</v>
      </c>
    </row>
    <row r="84" spans="1:5" ht="14.25" customHeight="1" x14ac:dyDescent="0.55000000000000004">
      <c r="A84" s="91">
        <v>46093</v>
      </c>
      <c r="B84" s="92" t="s">
        <v>20</v>
      </c>
      <c r="C84" s="92" t="s">
        <v>21</v>
      </c>
      <c r="D84" s="92" t="s">
        <v>22</v>
      </c>
      <c r="E84" s="92">
        <v>0.54769209073055103</v>
      </c>
    </row>
    <row r="85" spans="1:5" ht="14.25" customHeight="1" x14ac:dyDescent="0.55000000000000004">
      <c r="A85" s="91">
        <v>46093</v>
      </c>
      <c r="B85" s="92" t="s">
        <v>23</v>
      </c>
      <c r="C85" s="92" t="s">
        <v>24</v>
      </c>
      <c r="D85" s="92" t="s">
        <v>22</v>
      </c>
      <c r="E85" s="92">
        <v>-0.28809829136903897</v>
      </c>
    </row>
    <row r="86" spans="1:5" ht="14.25" customHeight="1" x14ac:dyDescent="0.55000000000000004">
      <c r="A86" s="91">
        <v>46093</v>
      </c>
      <c r="B86" s="92" t="s">
        <v>25</v>
      </c>
      <c r="C86" s="92" t="s">
        <v>26</v>
      </c>
      <c r="D86" s="92" t="s">
        <v>27</v>
      </c>
      <c r="E86" s="92">
        <v>-0.27964466266529497</v>
      </c>
    </row>
    <row r="87" spans="1:5" ht="14.25" customHeight="1" x14ac:dyDescent="0.55000000000000004">
      <c r="A87" s="91">
        <v>46093</v>
      </c>
      <c r="B87" s="92" t="s">
        <v>28</v>
      </c>
      <c r="C87" s="92" t="s">
        <v>29</v>
      </c>
      <c r="D87" s="92" t="s">
        <v>30</v>
      </c>
      <c r="E87" s="92">
        <v>-0.15495493131898799</v>
      </c>
    </row>
    <row r="88" spans="1:5" ht="14.25" customHeight="1" x14ac:dyDescent="0.55000000000000004">
      <c r="A88" s="91">
        <v>46093</v>
      </c>
      <c r="B88" s="92" t="s">
        <v>31</v>
      </c>
      <c r="C88" s="92" t="s">
        <v>16</v>
      </c>
      <c r="D88" s="92" t="s">
        <v>32</v>
      </c>
      <c r="E88" s="92">
        <v>0.67847691989463299</v>
      </c>
    </row>
    <row r="89" spans="1:5" ht="14.25" customHeight="1" x14ac:dyDescent="0.55000000000000004">
      <c r="A89" s="91">
        <v>46093</v>
      </c>
      <c r="B89" s="92" t="s">
        <v>33</v>
      </c>
      <c r="C89" s="92" t="s">
        <v>24</v>
      </c>
      <c r="D89" s="92" t="s">
        <v>27</v>
      </c>
      <c r="E89" s="92">
        <v>0.203052876963847</v>
      </c>
    </row>
    <row r="90" spans="1:5" ht="14.25" customHeight="1" x14ac:dyDescent="0.55000000000000004">
      <c r="A90" s="91">
        <v>46093</v>
      </c>
      <c r="B90" s="92" t="s">
        <v>34</v>
      </c>
      <c r="C90" s="92" t="s">
        <v>21</v>
      </c>
      <c r="D90" s="92" t="s">
        <v>35</v>
      </c>
      <c r="E90" s="92">
        <v>-0.143970637174031</v>
      </c>
    </row>
    <row r="91" spans="1:5" ht="14.25" customHeight="1" x14ac:dyDescent="0.55000000000000004">
      <c r="A91" s="91">
        <v>46093</v>
      </c>
      <c r="B91" s="92" t="s">
        <v>36</v>
      </c>
      <c r="C91" s="92" t="s">
        <v>16</v>
      </c>
      <c r="D91" s="92" t="s">
        <v>37</v>
      </c>
      <c r="E91" s="92">
        <v>0.25361539689621798</v>
      </c>
    </row>
    <row r="92" spans="1:5" ht="14.25" customHeight="1" x14ac:dyDescent="0.55000000000000004">
      <c r="A92" s="91">
        <v>46094</v>
      </c>
      <c r="B92" s="92" t="s">
        <v>15</v>
      </c>
      <c r="C92" s="92" t="s">
        <v>16</v>
      </c>
      <c r="D92" s="92" t="s">
        <v>17</v>
      </c>
      <c r="E92" s="92">
        <v>4.1971913016163903E-2</v>
      </c>
    </row>
    <row r="93" spans="1:5" ht="14.25" customHeight="1" x14ac:dyDescent="0.55000000000000004">
      <c r="A93" s="91">
        <v>46094</v>
      </c>
      <c r="B93" s="92" t="s">
        <v>18</v>
      </c>
      <c r="C93" s="92" t="s">
        <v>16</v>
      </c>
      <c r="D93" s="92" t="s">
        <v>19</v>
      </c>
      <c r="E93" s="92">
        <v>0.65811113920412201</v>
      </c>
    </row>
    <row r="94" spans="1:5" ht="14.25" customHeight="1" x14ac:dyDescent="0.55000000000000004">
      <c r="A94" s="91">
        <v>46094</v>
      </c>
      <c r="B94" s="92" t="s">
        <v>20</v>
      </c>
      <c r="C94" s="92" t="s">
        <v>21</v>
      </c>
      <c r="D94" s="92" t="s">
        <v>22</v>
      </c>
      <c r="E94" s="92">
        <v>-0.260173540963682</v>
      </c>
    </row>
    <row r="95" spans="1:5" ht="14.25" customHeight="1" x14ac:dyDescent="0.55000000000000004">
      <c r="A95" s="91">
        <v>46094</v>
      </c>
      <c r="B95" s="92" t="s">
        <v>23</v>
      </c>
      <c r="C95" s="92" t="s">
        <v>24</v>
      </c>
      <c r="D95" s="92" t="s">
        <v>22</v>
      </c>
      <c r="E95" s="92">
        <v>-0.18214225176891399</v>
      </c>
    </row>
    <row r="96" spans="1:5" ht="14.25" customHeight="1" x14ac:dyDescent="0.55000000000000004">
      <c r="A96" s="91">
        <v>46094</v>
      </c>
      <c r="B96" s="92" t="s">
        <v>25</v>
      </c>
      <c r="C96" s="92" t="s">
        <v>26</v>
      </c>
      <c r="D96" s="92" t="s">
        <v>27</v>
      </c>
      <c r="E96" s="92">
        <v>-0.13562377218393401</v>
      </c>
    </row>
    <row r="97" spans="1:5" ht="14.25" customHeight="1" x14ac:dyDescent="0.55000000000000004">
      <c r="A97" s="91">
        <v>46094</v>
      </c>
      <c r="B97" s="92" t="s">
        <v>28</v>
      </c>
      <c r="C97" s="92" t="s">
        <v>29</v>
      </c>
      <c r="D97" s="92" t="s">
        <v>30</v>
      </c>
      <c r="E97" s="92">
        <v>-0.451969456476431</v>
      </c>
    </row>
    <row r="98" spans="1:5" ht="14.25" customHeight="1" x14ac:dyDescent="0.55000000000000004">
      <c r="A98" s="91">
        <v>46094</v>
      </c>
      <c r="B98" s="92" t="s">
        <v>31</v>
      </c>
      <c r="C98" s="92" t="s">
        <v>16</v>
      </c>
      <c r="D98" s="92" t="s">
        <v>32</v>
      </c>
      <c r="E98" s="92">
        <v>0.21947816114459501</v>
      </c>
    </row>
    <row r="99" spans="1:5" ht="14.25" customHeight="1" x14ac:dyDescent="0.55000000000000004">
      <c r="A99" s="91">
        <v>46094</v>
      </c>
      <c r="B99" s="92" t="s">
        <v>33</v>
      </c>
      <c r="C99" s="92" t="s">
        <v>24</v>
      </c>
      <c r="D99" s="92" t="s">
        <v>27</v>
      </c>
      <c r="E99" s="92">
        <v>0.16124059358333301</v>
      </c>
    </row>
    <row r="100" spans="1:5" ht="14.25" customHeight="1" x14ac:dyDescent="0.55000000000000004">
      <c r="A100" s="91">
        <v>46094</v>
      </c>
      <c r="B100" s="92" t="s">
        <v>34</v>
      </c>
      <c r="C100" s="92" t="s">
        <v>21</v>
      </c>
      <c r="D100" s="92" t="s">
        <v>35</v>
      </c>
      <c r="E100" s="92">
        <v>1.38966197487461E-3</v>
      </c>
    </row>
    <row r="101" spans="1:5" ht="14.25" customHeight="1" x14ac:dyDescent="0.55000000000000004">
      <c r="A101" s="91">
        <v>46094</v>
      </c>
      <c r="B101" s="92" t="s">
        <v>36</v>
      </c>
      <c r="C101" s="92" t="s">
        <v>16</v>
      </c>
      <c r="D101" s="92" t="s">
        <v>37</v>
      </c>
      <c r="E101" s="92">
        <v>-0.11591405395975</v>
      </c>
    </row>
    <row r="102" spans="1:5" ht="14.25" customHeight="1" x14ac:dyDescent="0.55000000000000004">
      <c r="A102" s="91">
        <v>46097</v>
      </c>
      <c r="B102" s="92" t="s">
        <v>15</v>
      </c>
      <c r="C102" s="92" t="s">
        <v>16</v>
      </c>
      <c r="D102" s="92" t="s">
        <v>17</v>
      </c>
      <c r="E102" s="92">
        <v>-0.611941876056047</v>
      </c>
    </row>
    <row r="103" spans="1:5" ht="14.25" customHeight="1" x14ac:dyDescent="0.55000000000000004">
      <c r="A103" s="91">
        <v>46097</v>
      </c>
      <c r="B103" s="92" t="s">
        <v>18</v>
      </c>
      <c r="C103" s="92" t="s">
        <v>16</v>
      </c>
      <c r="D103" s="92" t="s">
        <v>19</v>
      </c>
      <c r="E103" s="92">
        <v>-0.28579239584329102</v>
      </c>
    </row>
    <row r="104" spans="1:5" ht="14.25" customHeight="1" x14ac:dyDescent="0.55000000000000004">
      <c r="A104" s="91">
        <v>46097</v>
      </c>
      <c r="B104" s="92" t="s">
        <v>20</v>
      </c>
      <c r="C104" s="92" t="s">
        <v>21</v>
      </c>
      <c r="D104" s="92" t="s">
        <v>22</v>
      </c>
      <c r="E104" s="92">
        <v>-0.12700641886210801</v>
      </c>
    </row>
    <row r="105" spans="1:5" ht="14.25" customHeight="1" x14ac:dyDescent="0.55000000000000004">
      <c r="A105" s="91">
        <v>46097</v>
      </c>
      <c r="B105" s="92" t="s">
        <v>23</v>
      </c>
      <c r="C105" s="92" t="s">
        <v>24</v>
      </c>
      <c r="D105" s="92" t="s">
        <v>22</v>
      </c>
      <c r="E105" s="92">
        <v>-0.44597335968266599</v>
      </c>
    </row>
    <row r="106" spans="1:5" ht="14.25" customHeight="1" x14ac:dyDescent="0.55000000000000004">
      <c r="A106" s="91">
        <v>46097</v>
      </c>
      <c r="B106" s="92" t="s">
        <v>25</v>
      </c>
      <c r="C106" s="92" t="s">
        <v>26</v>
      </c>
      <c r="D106" s="92" t="s">
        <v>27</v>
      </c>
      <c r="E106" s="92">
        <v>-5.5786079531332702E-2</v>
      </c>
    </row>
    <row r="107" spans="1:5" ht="14.25" customHeight="1" x14ac:dyDescent="0.55000000000000004">
      <c r="A107" s="91">
        <v>46097</v>
      </c>
      <c r="B107" s="92" t="s">
        <v>28</v>
      </c>
      <c r="C107" s="92" t="s">
        <v>29</v>
      </c>
      <c r="D107" s="92" t="s">
        <v>30</v>
      </c>
      <c r="E107" s="92">
        <v>0.12478085473358499</v>
      </c>
    </row>
    <row r="108" spans="1:5" ht="14.25" customHeight="1" x14ac:dyDescent="0.55000000000000004">
      <c r="A108" s="91">
        <v>46097</v>
      </c>
      <c r="B108" s="92" t="s">
        <v>31</v>
      </c>
      <c r="C108" s="92" t="s">
        <v>16</v>
      </c>
      <c r="D108" s="92" t="s">
        <v>32</v>
      </c>
      <c r="E108" s="92">
        <v>1.3980015731387101</v>
      </c>
    </row>
    <row r="109" spans="1:5" ht="14.25" customHeight="1" x14ac:dyDescent="0.55000000000000004">
      <c r="A109" s="91">
        <v>46097</v>
      </c>
      <c r="B109" s="92" t="s">
        <v>33</v>
      </c>
      <c r="C109" s="92" t="s">
        <v>24</v>
      </c>
      <c r="D109" s="92" t="s">
        <v>27</v>
      </c>
      <c r="E109" s="92">
        <v>0.107827855505207</v>
      </c>
    </row>
    <row r="110" spans="1:5" ht="14.25" customHeight="1" x14ac:dyDescent="0.55000000000000004">
      <c r="A110" s="91">
        <v>46097</v>
      </c>
      <c r="B110" s="92" t="s">
        <v>34</v>
      </c>
      <c r="C110" s="92" t="s">
        <v>21</v>
      </c>
      <c r="D110" s="92" t="s">
        <v>35</v>
      </c>
      <c r="E110" s="92">
        <v>6.9993354716170395E-2</v>
      </c>
    </row>
    <row r="111" spans="1:5" ht="14.25" customHeight="1" x14ac:dyDescent="0.55000000000000004">
      <c r="A111" s="91">
        <v>46097</v>
      </c>
      <c r="B111" s="92" t="s">
        <v>36</v>
      </c>
      <c r="C111" s="92" t="s">
        <v>16</v>
      </c>
      <c r="D111" s="92" t="s">
        <v>37</v>
      </c>
      <c r="E111" s="92">
        <v>-3.67851713478363E-2</v>
      </c>
    </row>
    <row r="112" spans="1:5" ht="14.25" customHeight="1" x14ac:dyDescent="0.55000000000000004">
      <c r="A112" s="91">
        <v>46098</v>
      </c>
      <c r="B112" s="92" t="s">
        <v>15</v>
      </c>
      <c r="C112" s="92" t="s">
        <v>16</v>
      </c>
      <c r="D112" s="92" t="s">
        <v>17</v>
      </c>
      <c r="E112" s="92">
        <v>-0.82958932407450703</v>
      </c>
    </row>
    <row r="113" spans="1:5" ht="14.25" customHeight="1" x14ac:dyDescent="0.55000000000000004">
      <c r="A113" s="91">
        <v>46098</v>
      </c>
      <c r="B113" s="92" t="s">
        <v>18</v>
      </c>
      <c r="C113" s="92" t="s">
        <v>16</v>
      </c>
      <c r="D113" s="92" t="s">
        <v>19</v>
      </c>
      <c r="E113" s="92">
        <v>-1.0062527060151001</v>
      </c>
    </row>
    <row r="114" spans="1:5" ht="14.25" customHeight="1" x14ac:dyDescent="0.55000000000000004">
      <c r="A114" s="91">
        <v>46098</v>
      </c>
      <c r="B114" s="92" t="s">
        <v>20</v>
      </c>
      <c r="C114" s="92" t="s">
        <v>21</v>
      </c>
      <c r="D114" s="92" t="s">
        <v>22</v>
      </c>
      <c r="E114" s="92">
        <v>2.2320686469448701E-2</v>
      </c>
    </row>
    <row r="115" spans="1:5" ht="14.25" customHeight="1" x14ac:dyDescent="0.55000000000000004">
      <c r="A115" s="91">
        <v>46098</v>
      </c>
      <c r="B115" s="92" t="s">
        <v>23</v>
      </c>
      <c r="C115" s="92" t="s">
        <v>24</v>
      </c>
      <c r="D115" s="92" t="s">
        <v>22</v>
      </c>
      <c r="E115" s="92">
        <v>-0.60719992292093905</v>
      </c>
    </row>
    <row r="116" spans="1:5" ht="14.25" customHeight="1" x14ac:dyDescent="0.55000000000000004">
      <c r="A116" s="91">
        <v>46098</v>
      </c>
      <c r="B116" s="92" t="s">
        <v>25</v>
      </c>
      <c r="C116" s="92" t="s">
        <v>26</v>
      </c>
      <c r="D116" s="92" t="s">
        <v>27</v>
      </c>
      <c r="E116" s="92">
        <v>-6.6534499362383204E-2</v>
      </c>
    </row>
    <row r="117" spans="1:5" ht="14.25" customHeight="1" x14ac:dyDescent="0.55000000000000004">
      <c r="A117" s="91">
        <v>46098</v>
      </c>
      <c r="B117" s="92" t="s">
        <v>28</v>
      </c>
      <c r="C117" s="92" t="s">
        <v>29</v>
      </c>
      <c r="D117" s="92" t="s">
        <v>30</v>
      </c>
      <c r="E117" s="92">
        <v>9.3125245212139607E-2</v>
      </c>
    </row>
    <row r="118" spans="1:5" ht="14.25" customHeight="1" x14ac:dyDescent="0.55000000000000004">
      <c r="A118" s="91">
        <v>46098</v>
      </c>
      <c r="B118" s="92" t="s">
        <v>31</v>
      </c>
      <c r="C118" s="92" t="s">
        <v>16</v>
      </c>
      <c r="D118" s="92" t="s">
        <v>32</v>
      </c>
      <c r="E118" s="92">
        <v>-1.1374962918477201</v>
      </c>
    </row>
    <row r="119" spans="1:5" ht="14.25" customHeight="1" x14ac:dyDescent="0.55000000000000004">
      <c r="A119" s="91">
        <v>46098</v>
      </c>
      <c r="B119" s="92" t="s">
        <v>33</v>
      </c>
      <c r="C119" s="92" t="s">
        <v>24</v>
      </c>
      <c r="D119" s="92" t="s">
        <v>27</v>
      </c>
      <c r="E119" s="92">
        <v>-2.2041913204383201</v>
      </c>
    </row>
    <row r="120" spans="1:5" ht="14.25" customHeight="1" x14ac:dyDescent="0.55000000000000004">
      <c r="A120" s="91">
        <v>46098</v>
      </c>
      <c r="B120" s="92" t="s">
        <v>34</v>
      </c>
      <c r="C120" s="92" t="s">
        <v>21</v>
      </c>
      <c r="D120" s="92" t="s">
        <v>35</v>
      </c>
      <c r="E120" s="92">
        <v>0.31058000886586101</v>
      </c>
    </row>
    <row r="121" spans="1:5" ht="14.25" customHeight="1" x14ac:dyDescent="0.55000000000000004">
      <c r="A121" s="91">
        <v>46098</v>
      </c>
      <c r="B121" s="92" t="s">
        <v>36</v>
      </c>
      <c r="C121" s="92" t="s">
        <v>16</v>
      </c>
      <c r="D121" s="92" t="s">
        <v>37</v>
      </c>
      <c r="E121" s="92">
        <v>0.37154470013318802</v>
      </c>
    </row>
    <row r="122" spans="1:5" ht="14.25" customHeight="1" x14ac:dyDescent="0.55000000000000004">
      <c r="A122" s="91">
        <v>46099</v>
      </c>
      <c r="B122" s="92" t="s">
        <v>15</v>
      </c>
      <c r="C122" s="92" t="s">
        <v>16</v>
      </c>
      <c r="D122" s="92" t="s">
        <v>17</v>
      </c>
      <c r="E122" s="92">
        <v>0.34200620325988601</v>
      </c>
    </row>
    <row r="123" spans="1:5" ht="14.25" customHeight="1" x14ac:dyDescent="0.55000000000000004">
      <c r="A123" s="91">
        <v>46099</v>
      </c>
      <c r="B123" s="92" t="s">
        <v>18</v>
      </c>
      <c r="C123" s="92" t="s">
        <v>16</v>
      </c>
      <c r="D123" s="92" t="s">
        <v>19</v>
      </c>
      <c r="E123" s="92">
        <v>-0.61785072931999196</v>
      </c>
    </row>
    <row r="124" spans="1:5" ht="14.25" customHeight="1" x14ac:dyDescent="0.55000000000000004">
      <c r="A124" s="91">
        <v>46099</v>
      </c>
      <c r="B124" s="92" t="s">
        <v>20</v>
      </c>
      <c r="C124" s="92" t="s">
        <v>21</v>
      </c>
      <c r="D124" s="92" t="s">
        <v>22</v>
      </c>
      <c r="E124" s="92">
        <v>0.51986091408595503</v>
      </c>
    </row>
    <row r="125" spans="1:5" ht="14.25" customHeight="1" x14ac:dyDescent="0.55000000000000004">
      <c r="A125" s="91">
        <v>46099</v>
      </c>
      <c r="B125" s="92" t="s">
        <v>23</v>
      </c>
      <c r="C125" s="92" t="s">
        <v>24</v>
      </c>
      <c r="D125" s="92" t="s">
        <v>22</v>
      </c>
      <c r="E125" s="92">
        <v>-0.77926703426953103</v>
      </c>
    </row>
    <row r="126" spans="1:5" ht="14.25" customHeight="1" x14ac:dyDescent="0.55000000000000004">
      <c r="A126" s="91">
        <v>46099</v>
      </c>
      <c r="B126" s="92" t="s">
        <v>25</v>
      </c>
      <c r="C126" s="92" t="s">
        <v>26</v>
      </c>
      <c r="D126" s="92" t="s">
        <v>27</v>
      </c>
      <c r="E126" s="92">
        <v>0.20298423319769099</v>
      </c>
    </row>
    <row r="127" spans="1:5" ht="14.25" customHeight="1" x14ac:dyDescent="0.55000000000000004">
      <c r="A127" s="91">
        <v>46099</v>
      </c>
      <c r="B127" s="92" t="s">
        <v>28</v>
      </c>
      <c r="C127" s="92" t="s">
        <v>29</v>
      </c>
      <c r="D127" s="92" t="s">
        <v>30</v>
      </c>
      <c r="E127" s="92">
        <v>0.67646663937162899</v>
      </c>
    </row>
    <row r="128" spans="1:5" ht="14.25" customHeight="1" x14ac:dyDescent="0.55000000000000004">
      <c r="A128" s="91">
        <v>46099</v>
      </c>
      <c r="B128" s="92" t="s">
        <v>31</v>
      </c>
      <c r="C128" s="92" t="s">
        <v>16</v>
      </c>
      <c r="D128" s="92" t="s">
        <v>32</v>
      </c>
      <c r="E128" s="92">
        <v>-0.73416482431291996</v>
      </c>
    </row>
    <row r="129" spans="1:5" ht="14.25" customHeight="1" x14ac:dyDescent="0.55000000000000004">
      <c r="A129" s="91">
        <v>46099</v>
      </c>
      <c r="B129" s="92" t="s">
        <v>33</v>
      </c>
      <c r="C129" s="92" t="s">
        <v>24</v>
      </c>
      <c r="D129" s="92" t="s">
        <v>27</v>
      </c>
      <c r="E129" s="92">
        <v>-0.34977336907842299</v>
      </c>
    </row>
    <row r="130" spans="1:5" ht="14.25" customHeight="1" x14ac:dyDescent="0.55000000000000004">
      <c r="A130" s="91">
        <v>46099</v>
      </c>
      <c r="B130" s="92" t="s">
        <v>34</v>
      </c>
      <c r="C130" s="92" t="s">
        <v>21</v>
      </c>
      <c r="D130" s="92" t="s">
        <v>35</v>
      </c>
      <c r="E130" s="92">
        <v>2.7081820085599902E-2</v>
      </c>
    </row>
    <row r="131" spans="1:5" ht="14.25" customHeight="1" x14ac:dyDescent="0.55000000000000004">
      <c r="A131" s="91">
        <v>46099</v>
      </c>
      <c r="B131" s="92" t="s">
        <v>36</v>
      </c>
      <c r="C131" s="92" t="s">
        <v>16</v>
      </c>
      <c r="D131" s="92" t="s">
        <v>37</v>
      </c>
      <c r="E131" s="92">
        <v>-0.24877708891781999</v>
      </c>
    </row>
    <row r="132" spans="1:5" ht="14.25" customHeight="1" x14ac:dyDescent="0.55000000000000004">
      <c r="A132" s="91">
        <v>46100</v>
      </c>
      <c r="B132" s="92" t="s">
        <v>15</v>
      </c>
      <c r="C132" s="92" t="s">
        <v>16</v>
      </c>
      <c r="D132" s="92" t="s">
        <v>17</v>
      </c>
      <c r="E132" s="92">
        <v>-0.67043627577283704</v>
      </c>
    </row>
    <row r="133" spans="1:5" ht="14.25" customHeight="1" x14ac:dyDescent="0.55000000000000004">
      <c r="A133" s="91">
        <v>46100</v>
      </c>
      <c r="B133" s="92" t="s">
        <v>18</v>
      </c>
      <c r="C133" s="92" t="s">
        <v>16</v>
      </c>
      <c r="D133" s="92" t="s">
        <v>19</v>
      </c>
      <c r="E133" s="92">
        <v>4.6582657111554099E-2</v>
      </c>
    </row>
    <row r="134" spans="1:5" ht="14.25" customHeight="1" x14ac:dyDescent="0.55000000000000004">
      <c r="A134" s="91">
        <v>46100</v>
      </c>
      <c r="B134" s="92" t="s">
        <v>20</v>
      </c>
      <c r="C134" s="92" t="s">
        <v>21</v>
      </c>
      <c r="D134" s="92" t="s">
        <v>22</v>
      </c>
      <c r="E134" s="92">
        <v>-0.39367865648530898</v>
      </c>
    </row>
    <row r="135" spans="1:5" ht="14.25" customHeight="1" x14ac:dyDescent="0.55000000000000004">
      <c r="A135" s="91">
        <v>46100</v>
      </c>
      <c r="B135" s="92" t="s">
        <v>23</v>
      </c>
      <c r="C135" s="92" t="s">
        <v>24</v>
      </c>
      <c r="D135" s="92" t="s">
        <v>22</v>
      </c>
      <c r="E135" s="92">
        <v>0.263262609466139</v>
      </c>
    </row>
    <row r="136" spans="1:5" ht="14.25" customHeight="1" x14ac:dyDescent="0.55000000000000004">
      <c r="A136" s="91">
        <v>46100</v>
      </c>
      <c r="B136" s="92" t="s">
        <v>25</v>
      </c>
      <c r="C136" s="92" t="s">
        <v>26</v>
      </c>
      <c r="D136" s="92" t="s">
        <v>27</v>
      </c>
      <c r="E136" s="92">
        <v>-0.31801374668709198</v>
      </c>
    </row>
    <row r="137" spans="1:5" ht="14.25" customHeight="1" x14ac:dyDescent="0.55000000000000004">
      <c r="A137" s="91">
        <v>46100</v>
      </c>
      <c r="B137" s="92" t="s">
        <v>28</v>
      </c>
      <c r="C137" s="92" t="s">
        <v>29</v>
      </c>
      <c r="D137" s="92" t="s">
        <v>30</v>
      </c>
      <c r="E137" s="92">
        <v>0.47865791292666698</v>
      </c>
    </row>
    <row r="138" spans="1:5" ht="14.25" customHeight="1" x14ac:dyDescent="0.55000000000000004">
      <c r="A138" s="91">
        <v>46100</v>
      </c>
      <c r="B138" s="92" t="s">
        <v>31</v>
      </c>
      <c r="C138" s="92" t="s">
        <v>16</v>
      </c>
      <c r="D138" s="92" t="s">
        <v>32</v>
      </c>
      <c r="E138" s="92">
        <v>-0.58053097213237603</v>
      </c>
    </row>
    <row r="139" spans="1:5" ht="14.25" customHeight="1" x14ac:dyDescent="0.55000000000000004">
      <c r="A139" s="91">
        <v>46100</v>
      </c>
      <c r="B139" s="92" t="s">
        <v>33</v>
      </c>
      <c r="C139" s="92" t="s">
        <v>24</v>
      </c>
      <c r="D139" s="92" t="s">
        <v>27</v>
      </c>
      <c r="E139" s="92">
        <v>-0.19892105457103099</v>
      </c>
    </row>
    <row r="140" spans="1:5" ht="14.25" customHeight="1" x14ac:dyDescent="0.55000000000000004">
      <c r="A140" s="91">
        <v>46100</v>
      </c>
      <c r="B140" s="92" t="s">
        <v>34</v>
      </c>
      <c r="C140" s="92" t="s">
        <v>21</v>
      </c>
      <c r="D140" s="92" t="s">
        <v>35</v>
      </c>
      <c r="E140" s="92">
        <v>0.22108605233824</v>
      </c>
    </row>
    <row r="141" spans="1:5" ht="14.25" customHeight="1" x14ac:dyDescent="0.55000000000000004">
      <c r="A141" s="91">
        <v>46100</v>
      </c>
      <c r="B141" s="92" t="s">
        <v>36</v>
      </c>
      <c r="C141" s="92" t="s">
        <v>16</v>
      </c>
      <c r="D141" s="92" t="s">
        <v>37</v>
      </c>
      <c r="E141" s="92">
        <v>-0.60819393945231404</v>
      </c>
    </row>
    <row r="142" spans="1:5" ht="14.25" customHeight="1" x14ac:dyDescent="0.55000000000000004">
      <c r="A142" s="91">
        <v>46101</v>
      </c>
      <c r="B142" s="92" t="s">
        <v>15</v>
      </c>
      <c r="C142" s="92" t="s">
        <v>16</v>
      </c>
      <c r="D142" s="92" t="s">
        <v>17</v>
      </c>
      <c r="E142" s="92">
        <v>9.8343320922115604E-2</v>
      </c>
    </row>
    <row r="143" spans="1:5" ht="14.25" customHeight="1" x14ac:dyDescent="0.55000000000000004">
      <c r="A143" s="91">
        <v>46101</v>
      </c>
      <c r="B143" s="92" t="s">
        <v>18</v>
      </c>
      <c r="C143" s="92" t="s">
        <v>16</v>
      </c>
      <c r="D143" s="92" t="s">
        <v>19</v>
      </c>
      <c r="E143" s="92">
        <v>0.88809131883288595</v>
      </c>
    </row>
    <row r="144" spans="1:5" ht="14.25" customHeight="1" x14ac:dyDescent="0.55000000000000004">
      <c r="A144" s="91">
        <v>46101</v>
      </c>
      <c r="B144" s="92" t="s">
        <v>20</v>
      </c>
      <c r="C144" s="92" t="s">
        <v>21</v>
      </c>
      <c r="D144" s="92" t="s">
        <v>22</v>
      </c>
      <c r="E144" s="92">
        <v>-0.59571649042345898</v>
      </c>
    </row>
    <row r="145" spans="1:5" ht="14.25" customHeight="1" x14ac:dyDescent="0.55000000000000004">
      <c r="A145" s="91">
        <v>46101</v>
      </c>
      <c r="B145" s="92" t="s">
        <v>23</v>
      </c>
      <c r="C145" s="92" t="s">
        <v>24</v>
      </c>
      <c r="D145" s="92" t="s">
        <v>22</v>
      </c>
      <c r="E145" s="92">
        <v>0.10263506814884001</v>
      </c>
    </row>
    <row r="146" spans="1:5" ht="14.25" customHeight="1" x14ac:dyDescent="0.55000000000000004">
      <c r="A146" s="91">
        <v>46101</v>
      </c>
      <c r="B146" s="92" t="s">
        <v>25</v>
      </c>
      <c r="C146" s="92" t="s">
        <v>26</v>
      </c>
      <c r="D146" s="92" t="s">
        <v>27</v>
      </c>
      <c r="E146" s="92">
        <v>8.9889191540969901E-2</v>
      </c>
    </row>
    <row r="147" spans="1:5" ht="14.25" customHeight="1" x14ac:dyDescent="0.55000000000000004">
      <c r="A147" s="91">
        <v>46101</v>
      </c>
      <c r="B147" s="92" t="s">
        <v>28</v>
      </c>
      <c r="C147" s="92" t="s">
        <v>29</v>
      </c>
      <c r="D147" s="92" t="s">
        <v>30</v>
      </c>
      <c r="E147" s="92">
        <v>0.24144615596104901</v>
      </c>
    </row>
    <row r="148" spans="1:5" ht="14.25" customHeight="1" x14ac:dyDescent="0.55000000000000004">
      <c r="A148" s="91">
        <v>46101</v>
      </c>
      <c r="B148" s="92" t="s">
        <v>31</v>
      </c>
      <c r="C148" s="92" t="s">
        <v>16</v>
      </c>
      <c r="D148" s="92" t="s">
        <v>32</v>
      </c>
      <c r="E148" s="92">
        <v>-0.91680201754916302</v>
      </c>
    </row>
    <row r="149" spans="1:5" ht="14.25" customHeight="1" x14ac:dyDescent="0.55000000000000004">
      <c r="A149" s="91">
        <v>46101</v>
      </c>
      <c r="B149" s="92" t="s">
        <v>33</v>
      </c>
      <c r="C149" s="92" t="s">
        <v>24</v>
      </c>
      <c r="D149" s="92" t="s">
        <v>27</v>
      </c>
      <c r="E149" s="92">
        <v>-0.81557903932325704</v>
      </c>
    </row>
    <row r="150" spans="1:5" ht="14.25" customHeight="1" x14ac:dyDescent="0.55000000000000004">
      <c r="A150" s="91">
        <v>46101</v>
      </c>
      <c r="B150" s="92" t="s">
        <v>34</v>
      </c>
      <c r="C150" s="92" t="s">
        <v>21</v>
      </c>
      <c r="D150" s="92" t="s">
        <v>35</v>
      </c>
      <c r="E150" s="92">
        <v>0.141845799731912</v>
      </c>
    </row>
    <row r="151" spans="1:5" ht="14.25" customHeight="1" x14ac:dyDescent="0.55000000000000004">
      <c r="A151" s="91">
        <v>46101</v>
      </c>
      <c r="B151" s="92" t="s">
        <v>36</v>
      </c>
      <c r="C151" s="92" t="s">
        <v>16</v>
      </c>
      <c r="D151" s="92" t="s">
        <v>37</v>
      </c>
      <c r="E151" s="92">
        <v>0.146745889013951</v>
      </c>
    </row>
    <row r="152" spans="1:5" ht="14.25" customHeight="1" x14ac:dyDescent="0.55000000000000004">
      <c r="A152" s="91">
        <v>46104</v>
      </c>
      <c r="B152" s="92" t="s">
        <v>15</v>
      </c>
      <c r="C152" s="92" t="s">
        <v>16</v>
      </c>
      <c r="D152" s="92" t="s">
        <v>17</v>
      </c>
      <c r="E152" s="92">
        <v>0.10830170514703399</v>
      </c>
    </row>
    <row r="153" spans="1:5" ht="14.25" customHeight="1" x14ac:dyDescent="0.55000000000000004">
      <c r="A153" s="91">
        <v>46104</v>
      </c>
      <c r="B153" s="92" t="s">
        <v>18</v>
      </c>
      <c r="C153" s="92" t="s">
        <v>16</v>
      </c>
      <c r="D153" s="92" t="s">
        <v>19</v>
      </c>
      <c r="E153" s="92">
        <v>0.23538182518432299</v>
      </c>
    </row>
    <row r="154" spans="1:5" ht="14.25" customHeight="1" x14ac:dyDescent="0.55000000000000004">
      <c r="A154" s="91">
        <v>46104</v>
      </c>
      <c r="B154" s="92" t="s">
        <v>20</v>
      </c>
      <c r="C154" s="92" t="s">
        <v>21</v>
      </c>
      <c r="D154" s="92" t="s">
        <v>22</v>
      </c>
      <c r="E154" s="92">
        <v>-0.25201005636024798</v>
      </c>
    </row>
    <row r="155" spans="1:5" ht="14.25" customHeight="1" x14ac:dyDescent="0.55000000000000004">
      <c r="A155" s="91">
        <v>46104</v>
      </c>
      <c r="B155" s="92" t="s">
        <v>23</v>
      </c>
      <c r="C155" s="92" t="s">
        <v>24</v>
      </c>
      <c r="D155" s="92" t="s">
        <v>22</v>
      </c>
      <c r="E155" s="92">
        <v>0.12910619008576299</v>
      </c>
    </row>
    <row r="156" spans="1:5" ht="14.25" customHeight="1" x14ac:dyDescent="0.55000000000000004">
      <c r="A156" s="91">
        <v>46104</v>
      </c>
      <c r="B156" s="92" t="s">
        <v>25</v>
      </c>
      <c r="C156" s="92" t="s">
        <v>26</v>
      </c>
      <c r="D156" s="92" t="s">
        <v>27</v>
      </c>
      <c r="E156" s="92">
        <v>0.101368956586439</v>
      </c>
    </row>
    <row r="157" spans="1:5" ht="14.25" customHeight="1" x14ac:dyDescent="0.55000000000000004">
      <c r="A157" s="91">
        <v>46104</v>
      </c>
      <c r="B157" s="92" t="s">
        <v>28</v>
      </c>
      <c r="C157" s="92" t="s">
        <v>29</v>
      </c>
      <c r="D157" s="92" t="s">
        <v>30</v>
      </c>
      <c r="E157" s="92">
        <v>-0.220609309491931</v>
      </c>
    </row>
    <row r="158" spans="1:5" ht="14.25" customHeight="1" x14ac:dyDescent="0.55000000000000004">
      <c r="A158" s="91">
        <v>46104</v>
      </c>
      <c r="B158" s="92" t="s">
        <v>31</v>
      </c>
      <c r="C158" s="92" t="s">
        <v>16</v>
      </c>
      <c r="D158" s="92" t="s">
        <v>32</v>
      </c>
      <c r="E158" s="92">
        <v>1.38287307737189</v>
      </c>
    </row>
    <row r="159" spans="1:5" ht="14.25" customHeight="1" x14ac:dyDescent="0.55000000000000004">
      <c r="A159" s="91">
        <v>46104</v>
      </c>
      <c r="B159" s="92" t="s">
        <v>33</v>
      </c>
      <c r="C159" s="92" t="s">
        <v>24</v>
      </c>
      <c r="D159" s="92" t="s">
        <v>27</v>
      </c>
      <c r="E159" s="92">
        <v>0.29266254915738299</v>
      </c>
    </row>
    <row r="160" spans="1:5" ht="14.25" customHeight="1" x14ac:dyDescent="0.55000000000000004">
      <c r="A160" s="91">
        <v>46104</v>
      </c>
      <c r="B160" s="92" t="s">
        <v>34</v>
      </c>
      <c r="C160" s="92" t="s">
        <v>21</v>
      </c>
      <c r="D160" s="92" t="s">
        <v>35</v>
      </c>
      <c r="E160" s="92">
        <v>-0.32375539412042997</v>
      </c>
    </row>
    <row r="161" spans="1:5" ht="14.25" customHeight="1" x14ac:dyDescent="0.55000000000000004">
      <c r="A161" s="91">
        <v>46104</v>
      </c>
      <c r="B161" s="92" t="s">
        <v>36</v>
      </c>
      <c r="C161" s="92" t="s">
        <v>16</v>
      </c>
      <c r="D161" s="92" t="s">
        <v>37</v>
      </c>
      <c r="E161" s="92">
        <v>0.32441587619789303</v>
      </c>
    </row>
    <row r="162" spans="1:5" ht="14.25" customHeight="1" x14ac:dyDescent="0.55000000000000004">
      <c r="A162" s="91">
        <v>46105</v>
      </c>
      <c r="B162" s="92" t="s">
        <v>15</v>
      </c>
      <c r="C162" s="92" t="s">
        <v>16</v>
      </c>
      <c r="D162" s="92" t="s">
        <v>17</v>
      </c>
      <c r="E162" s="92">
        <v>-0.421407983163681</v>
      </c>
    </row>
    <row r="163" spans="1:5" ht="14.25" customHeight="1" x14ac:dyDescent="0.55000000000000004">
      <c r="A163" s="91">
        <v>46105</v>
      </c>
      <c r="B163" s="92" t="s">
        <v>18</v>
      </c>
      <c r="C163" s="92" t="s">
        <v>16</v>
      </c>
      <c r="D163" s="92" t="s">
        <v>19</v>
      </c>
      <c r="E163" s="92">
        <v>0.53475643840784604</v>
      </c>
    </row>
    <row r="164" spans="1:5" ht="14.25" customHeight="1" x14ac:dyDescent="0.55000000000000004">
      <c r="A164" s="91">
        <v>46105</v>
      </c>
      <c r="B164" s="92" t="s">
        <v>20</v>
      </c>
      <c r="C164" s="92" t="s">
        <v>21</v>
      </c>
      <c r="D164" s="92" t="s">
        <v>22</v>
      </c>
      <c r="E164" s="92">
        <v>-0.43534553712841401</v>
      </c>
    </row>
    <row r="165" spans="1:5" ht="14.25" customHeight="1" x14ac:dyDescent="0.55000000000000004">
      <c r="A165" s="91">
        <v>46105</v>
      </c>
      <c r="B165" s="92" t="s">
        <v>23</v>
      </c>
      <c r="C165" s="92" t="s">
        <v>24</v>
      </c>
      <c r="D165" s="92" t="s">
        <v>22</v>
      </c>
      <c r="E165" s="92">
        <v>-0.45620443802748201</v>
      </c>
    </row>
    <row r="166" spans="1:5" ht="14.25" customHeight="1" x14ac:dyDescent="0.55000000000000004">
      <c r="A166" s="91">
        <v>46105</v>
      </c>
      <c r="B166" s="92" t="s">
        <v>25</v>
      </c>
      <c r="C166" s="92" t="s">
        <v>26</v>
      </c>
      <c r="D166" s="92" t="s">
        <v>27</v>
      </c>
      <c r="E166" s="92">
        <v>0.33321598552947002</v>
      </c>
    </row>
    <row r="167" spans="1:5" ht="14.25" customHeight="1" x14ac:dyDescent="0.55000000000000004">
      <c r="A167" s="91">
        <v>46105</v>
      </c>
      <c r="B167" s="92" t="s">
        <v>28</v>
      </c>
      <c r="C167" s="92" t="s">
        <v>29</v>
      </c>
      <c r="D167" s="92" t="s">
        <v>30</v>
      </c>
      <c r="E167" s="92">
        <v>0.12747691537379799</v>
      </c>
    </row>
    <row r="168" spans="1:5" ht="14.25" customHeight="1" x14ac:dyDescent="0.55000000000000004">
      <c r="A168" s="91">
        <v>46105</v>
      </c>
      <c r="B168" s="92" t="s">
        <v>31</v>
      </c>
      <c r="C168" s="92" t="s">
        <v>16</v>
      </c>
      <c r="D168" s="92" t="s">
        <v>32</v>
      </c>
      <c r="E168" s="92">
        <v>0.60929381146862904</v>
      </c>
    </row>
    <row r="169" spans="1:5" ht="14.25" customHeight="1" x14ac:dyDescent="0.55000000000000004">
      <c r="A169" s="91">
        <v>46105</v>
      </c>
      <c r="B169" s="92" t="s">
        <v>33</v>
      </c>
      <c r="C169" s="92" t="s">
        <v>24</v>
      </c>
      <c r="D169" s="92" t="s">
        <v>27</v>
      </c>
      <c r="E169" s="92">
        <v>1.1715527668679799</v>
      </c>
    </row>
    <row r="170" spans="1:5" ht="14.25" customHeight="1" x14ac:dyDescent="0.55000000000000004">
      <c r="A170" s="91">
        <v>46105</v>
      </c>
      <c r="B170" s="92" t="s">
        <v>34</v>
      </c>
      <c r="C170" s="92" t="s">
        <v>21</v>
      </c>
      <c r="D170" s="92" t="s">
        <v>35</v>
      </c>
      <c r="E170" s="92">
        <v>-0.56080746753938804</v>
      </c>
    </row>
    <row r="171" spans="1:5" ht="14.25" customHeight="1" x14ac:dyDescent="0.55000000000000004">
      <c r="A171" s="91">
        <v>46105</v>
      </c>
      <c r="B171" s="92" t="s">
        <v>36</v>
      </c>
      <c r="C171" s="92" t="s">
        <v>16</v>
      </c>
      <c r="D171" s="92" t="s">
        <v>37</v>
      </c>
      <c r="E171" s="92">
        <v>-0.37243566247527699</v>
      </c>
    </row>
    <row r="172" spans="1:5" ht="14.25" customHeight="1" x14ac:dyDescent="0.55000000000000004">
      <c r="A172" s="91">
        <v>46106</v>
      </c>
      <c r="B172" s="92" t="s">
        <v>15</v>
      </c>
      <c r="C172" s="92" t="s">
        <v>16</v>
      </c>
      <c r="D172" s="92" t="s">
        <v>17</v>
      </c>
      <c r="E172" s="92">
        <v>-0.384585545448967</v>
      </c>
    </row>
    <row r="173" spans="1:5" ht="14.25" customHeight="1" x14ac:dyDescent="0.55000000000000004">
      <c r="A173" s="91">
        <v>46106</v>
      </c>
      <c r="B173" s="92" t="s">
        <v>18</v>
      </c>
      <c r="C173" s="92" t="s">
        <v>16</v>
      </c>
      <c r="D173" s="92" t="s">
        <v>19</v>
      </c>
      <c r="E173" s="92">
        <v>-0.55427307347935395</v>
      </c>
    </row>
    <row r="174" spans="1:5" ht="14.25" customHeight="1" x14ac:dyDescent="0.55000000000000004">
      <c r="A174" s="91">
        <v>46106</v>
      </c>
      <c r="B174" s="92" t="s">
        <v>20</v>
      </c>
      <c r="C174" s="92" t="s">
        <v>21</v>
      </c>
      <c r="D174" s="92" t="s">
        <v>22</v>
      </c>
      <c r="E174" s="92">
        <v>-2.85730878868896E-2</v>
      </c>
    </row>
    <row r="175" spans="1:5" ht="14.25" customHeight="1" x14ac:dyDescent="0.55000000000000004">
      <c r="A175" s="91">
        <v>46106</v>
      </c>
      <c r="B175" s="92" t="s">
        <v>23</v>
      </c>
      <c r="C175" s="92" t="s">
        <v>24</v>
      </c>
      <c r="D175" s="92" t="s">
        <v>22</v>
      </c>
      <c r="E175" s="92">
        <v>0.18964103584658201</v>
      </c>
    </row>
    <row r="176" spans="1:5" ht="14.25" customHeight="1" x14ac:dyDescent="0.55000000000000004">
      <c r="A176" s="91">
        <v>46106</v>
      </c>
      <c r="B176" s="92" t="s">
        <v>25</v>
      </c>
      <c r="C176" s="92" t="s">
        <v>26</v>
      </c>
      <c r="D176" s="92" t="s">
        <v>27</v>
      </c>
      <c r="E176" s="92">
        <v>9.5702804529742405E-2</v>
      </c>
    </row>
    <row r="177" spans="1:5" ht="14.25" customHeight="1" x14ac:dyDescent="0.55000000000000004">
      <c r="A177" s="91">
        <v>46106</v>
      </c>
      <c r="B177" s="92" t="s">
        <v>28</v>
      </c>
      <c r="C177" s="92" t="s">
        <v>29</v>
      </c>
      <c r="D177" s="92" t="s">
        <v>30</v>
      </c>
      <c r="E177" s="92">
        <v>0.25545455750238799</v>
      </c>
    </row>
    <row r="178" spans="1:5" ht="14.25" customHeight="1" x14ac:dyDescent="0.55000000000000004">
      <c r="A178" s="91">
        <v>46106</v>
      </c>
      <c r="B178" s="92" t="s">
        <v>31</v>
      </c>
      <c r="C178" s="92" t="s">
        <v>16</v>
      </c>
      <c r="D178" s="92" t="s">
        <v>32</v>
      </c>
      <c r="E178" s="92">
        <v>9.6367305510171794E-3</v>
      </c>
    </row>
    <row r="179" spans="1:5" ht="14.25" customHeight="1" x14ac:dyDescent="0.55000000000000004">
      <c r="A179" s="91">
        <v>46106</v>
      </c>
      <c r="B179" s="92" t="s">
        <v>33</v>
      </c>
      <c r="C179" s="92" t="s">
        <v>24</v>
      </c>
      <c r="D179" s="92" t="s">
        <v>27</v>
      </c>
      <c r="E179" s="92">
        <v>0.89777423546132096</v>
      </c>
    </row>
    <row r="180" spans="1:5" ht="14.25" customHeight="1" x14ac:dyDescent="0.55000000000000004">
      <c r="A180" s="91">
        <v>46106</v>
      </c>
      <c r="B180" s="92" t="s">
        <v>34</v>
      </c>
      <c r="C180" s="92" t="s">
        <v>21</v>
      </c>
      <c r="D180" s="92" t="s">
        <v>35</v>
      </c>
      <c r="E180" s="92">
        <v>-7.1924641833771105E-2</v>
      </c>
    </row>
    <row r="181" spans="1:5" ht="14.25" customHeight="1" x14ac:dyDescent="0.55000000000000004">
      <c r="A181" s="91">
        <v>46106</v>
      </c>
      <c r="B181" s="92" t="s">
        <v>36</v>
      </c>
      <c r="C181" s="92" t="s">
        <v>16</v>
      </c>
      <c r="D181" s="92" t="s">
        <v>37</v>
      </c>
      <c r="E181" s="92">
        <v>1.3440883607690699</v>
      </c>
    </row>
    <row r="182" spans="1:5" ht="14.25" customHeight="1" x14ac:dyDescent="0.55000000000000004">
      <c r="A182" s="91">
        <v>46107</v>
      </c>
      <c r="B182" s="92" t="s">
        <v>15</v>
      </c>
      <c r="C182" s="92" t="s">
        <v>16</v>
      </c>
      <c r="D182" s="92" t="s">
        <v>17</v>
      </c>
      <c r="E182" s="92">
        <v>0.270510078528027</v>
      </c>
    </row>
    <row r="183" spans="1:5" ht="14.25" customHeight="1" x14ac:dyDescent="0.55000000000000004">
      <c r="A183" s="91">
        <v>46107</v>
      </c>
      <c r="B183" s="92" t="s">
        <v>18</v>
      </c>
      <c r="C183" s="92" t="s">
        <v>16</v>
      </c>
      <c r="D183" s="92" t="s">
        <v>19</v>
      </c>
      <c r="E183" s="92">
        <v>-0.58236499588998603</v>
      </c>
    </row>
    <row r="184" spans="1:5" ht="14.25" customHeight="1" x14ac:dyDescent="0.55000000000000004">
      <c r="A184" s="91">
        <v>46107</v>
      </c>
      <c r="B184" s="92" t="s">
        <v>20</v>
      </c>
      <c r="C184" s="92" t="s">
        <v>21</v>
      </c>
      <c r="D184" s="92" t="s">
        <v>22</v>
      </c>
      <c r="E184" s="92">
        <v>-0.39686157021719098</v>
      </c>
    </row>
    <row r="185" spans="1:5" ht="14.25" customHeight="1" x14ac:dyDescent="0.55000000000000004">
      <c r="A185" s="91">
        <v>46107</v>
      </c>
      <c r="B185" s="92" t="s">
        <v>23</v>
      </c>
      <c r="C185" s="92" t="s">
        <v>24</v>
      </c>
      <c r="D185" s="92" t="s">
        <v>22</v>
      </c>
      <c r="E185" s="92">
        <v>0.26819885373167102</v>
      </c>
    </row>
    <row r="186" spans="1:5" ht="14.25" customHeight="1" x14ac:dyDescent="0.55000000000000004">
      <c r="A186" s="91">
        <v>46107</v>
      </c>
      <c r="B186" s="92" t="s">
        <v>25</v>
      </c>
      <c r="C186" s="92" t="s">
        <v>26</v>
      </c>
      <c r="D186" s="92" t="s">
        <v>27</v>
      </c>
      <c r="E186" s="92">
        <v>-7.7292108431129394E-2</v>
      </c>
    </row>
    <row r="187" spans="1:5" ht="14.25" customHeight="1" x14ac:dyDescent="0.55000000000000004">
      <c r="A187" s="91">
        <v>46107</v>
      </c>
      <c r="B187" s="92" t="s">
        <v>28</v>
      </c>
      <c r="C187" s="92" t="s">
        <v>29</v>
      </c>
      <c r="D187" s="92" t="s">
        <v>30</v>
      </c>
      <c r="E187" s="92">
        <v>0.22050093553917999</v>
      </c>
    </row>
    <row r="188" spans="1:5" ht="14.25" customHeight="1" x14ac:dyDescent="0.55000000000000004">
      <c r="A188" s="91">
        <v>46107</v>
      </c>
      <c r="B188" s="92" t="s">
        <v>31</v>
      </c>
      <c r="C188" s="92" t="s">
        <v>16</v>
      </c>
      <c r="D188" s="92" t="s">
        <v>32</v>
      </c>
      <c r="E188" s="92">
        <v>0.35075383778324398</v>
      </c>
    </row>
    <row r="189" spans="1:5" ht="14.25" customHeight="1" x14ac:dyDescent="0.55000000000000004">
      <c r="A189" s="91">
        <v>46107</v>
      </c>
      <c r="B189" s="92" t="s">
        <v>33</v>
      </c>
      <c r="C189" s="92" t="s">
        <v>24</v>
      </c>
      <c r="D189" s="92" t="s">
        <v>27</v>
      </c>
      <c r="E189" s="92">
        <v>-4.49827234239151E-2</v>
      </c>
    </row>
    <row r="190" spans="1:5" ht="14.25" customHeight="1" x14ac:dyDescent="0.55000000000000004">
      <c r="A190" s="91">
        <v>46107</v>
      </c>
      <c r="B190" s="92" t="s">
        <v>34</v>
      </c>
      <c r="C190" s="92" t="s">
        <v>21</v>
      </c>
      <c r="D190" s="92" t="s">
        <v>35</v>
      </c>
      <c r="E190" s="92">
        <v>-0.230129462874653</v>
      </c>
    </row>
    <row r="191" spans="1:5" ht="14.25" customHeight="1" x14ac:dyDescent="0.55000000000000004">
      <c r="A191" s="91">
        <v>46107</v>
      </c>
      <c r="B191" s="92" t="s">
        <v>36</v>
      </c>
      <c r="C191" s="92" t="s">
        <v>16</v>
      </c>
      <c r="D191" s="92" t="s">
        <v>37</v>
      </c>
      <c r="E191" s="92">
        <v>-0.74851540413434103</v>
      </c>
    </row>
    <row r="192" spans="1:5" ht="14.25" customHeight="1" x14ac:dyDescent="0.55000000000000004">
      <c r="A192" s="91">
        <v>46108</v>
      </c>
      <c r="B192" s="92" t="s">
        <v>15</v>
      </c>
      <c r="C192" s="92" t="s">
        <v>16</v>
      </c>
      <c r="D192" s="92" t="s">
        <v>17</v>
      </c>
      <c r="E192" s="92">
        <v>-0.193052738294654</v>
      </c>
    </row>
    <row r="193" spans="1:5" ht="14.25" customHeight="1" x14ac:dyDescent="0.55000000000000004">
      <c r="A193" s="91">
        <v>46108</v>
      </c>
      <c r="B193" s="92" t="s">
        <v>18</v>
      </c>
      <c r="C193" s="92" t="s">
        <v>16</v>
      </c>
      <c r="D193" s="92" t="s">
        <v>19</v>
      </c>
      <c r="E193" s="92">
        <v>0.58184948216703802</v>
      </c>
    </row>
    <row r="194" spans="1:5" ht="14.25" customHeight="1" x14ac:dyDescent="0.55000000000000004">
      <c r="A194" s="91">
        <v>46108</v>
      </c>
      <c r="B194" s="92" t="s">
        <v>20</v>
      </c>
      <c r="C194" s="92" t="s">
        <v>21</v>
      </c>
      <c r="D194" s="92" t="s">
        <v>22</v>
      </c>
      <c r="E194" s="92">
        <v>7.9340904547396895E-2</v>
      </c>
    </row>
    <row r="195" spans="1:5" ht="14.25" customHeight="1" x14ac:dyDescent="0.55000000000000004">
      <c r="A195" s="91">
        <v>46108</v>
      </c>
      <c r="B195" s="92" t="s">
        <v>23</v>
      </c>
      <c r="C195" s="92" t="s">
        <v>24</v>
      </c>
      <c r="D195" s="92" t="s">
        <v>22</v>
      </c>
      <c r="E195" s="92">
        <v>-0.69248666233331602</v>
      </c>
    </row>
    <row r="196" spans="1:5" ht="14.25" customHeight="1" x14ac:dyDescent="0.55000000000000004">
      <c r="A196" s="91">
        <v>46108</v>
      </c>
      <c r="B196" s="92" t="s">
        <v>25</v>
      </c>
      <c r="C196" s="92" t="s">
        <v>26</v>
      </c>
      <c r="D196" s="92" t="s">
        <v>27</v>
      </c>
      <c r="E196" s="92">
        <v>5.9900438811654202E-2</v>
      </c>
    </row>
    <row r="197" spans="1:5" ht="14.25" customHeight="1" x14ac:dyDescent="0.55000000000000004">
      <c r="A197" s="91">
        <v>46108</v>
      </c>
      <c r="B197" s="92" t="s">
        <v>28</v>
      </c>
      <c r="C197" s="92" t="s">
        <v>29</v>
      </c>
      <c r="D197" s="92" t="s">
        <v>30</v>
      </c>
      <c r="E197" s="92">
        <v>0.118995495679244</v>
      </c>
    </row>
    <row r="198" spans="1:5" ht="14.25" customHeight="1" x14ac:dyDescent="0.55000000000000004">
      <c r="A198" s="91">
        <v>46108</v>
      </c>
      <c r="B198" s="92" t="s">
        <v>31</v>
      </c>
      <c r="C198" s="92" t="s">
        <v>16</v>
      </c>
      <c r="D198" s="92" t="s">
        <v>32</v>
      </c>
      <c r="E198" s="92">
        <v>-0.65509666117561105</v>
      </c>
    </row>
    <row r="199" spans="1:5" ht="14.25" customHeight="1" x14ac:dyDescent="0.55000000000000004">
      <c r="A199" s="91">
        <v>46108</v>
      </c>
      <c r="B199" s="92" t="s">
        <v>33</v>
      </c>
      <c r="C199" s="92" t="s">
        <v>24</v>
      </c>
      <c r="D199" s="92" t="s">
        <v>27</v>
      </c>
      <c r="E199" s="92">
        <v>9.4948196695439399E-2</v>
      </c>
    </row>
    <row r="200" spans="1:5" ht="14.25" customHeight="1" x14ac:dyDescent="0.55000000000000004">
      <c r="A200" s="91">
        <v>46108</v>
      </c>
      <c r="B200" s="92" t="s">
        <v>34</v>
      </c>
      <c r="C200" s="92" t="s">
        <v>21</v>
      </c>
      <c r="D200" s="92" t="s">
        <v>35</v>
      </c>
      <c r="E200" s="92">
        <v>1.58191314186364E-2</v>
      </c>
    </row>
    <row r="201" spans="1:5" ht="14.25" customHeight="1" x14ac:dyDescent="0.55000000000000004">
      <c r="A201" s="91">
        <v>46108</v>
      </c>
      <c r="B201" s="92" t="s">
        <v>36</v>
      </c>
      <c r="C201" s="92" t="s">
        <v>16</v>
      </c>
      <c r="D201" s="92" t="s">
        <v>37</v>
      </c>
      <c r="E201" s="92">
        <v>-0.56476379957830303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zoomScale="87" zoomScaleNormal="100" workbookViewId="0">
      <pane ySplit="3" topLeftCell="A27" activePane="bottomLeft" state="frozen"/>
      <selection pane="bottomLeft" activeCell="C32" sqref="C32:D32"/>
    </sheetView>
  </sheetViews>
  <sheetFormatPr defaultColWidth="8.62890625" defaultRowHeight="14.4" x14ac:dyDescent="0.55000000000000004"/>
  <cols>
    <col min="1" max="1" width="14.1015625" customWidth="1"/>
    <col min="2" max="3" width="20.15625" customWidth="1"/>
    <col min="4" max="4" width="17.5234375" customWidth="1"/>
  </cols>
  <sheetData>
    <row r="1" spans="1:4" ht="33.75" customHeight="1" thickBot="1" x14ac:dyDescent="0.6">
      <c r="A1" s="136" t="s">
        <v>129</v>
      </c>
      <c r="B1" s="136"/>
      <c r="C1" s="136"/>
      <c r="D1" s="136"/>
    </row>
    <row r="2" spans="1:4" ht="27.75" customHeight="1" x14ac:dyDescent="0.55000000000000004">
      <c r="A2" s="137" t="s">
        <v>38</v>
      </c>
      <c r="B2" s="137"/>
      <c r="C2" s="137"/>
      <c r="D2" s="137"/>
    </row>
    <row r="3" spans="1:4" ht="21.75" customHeight="1" thickBot="1" x14ac:dyDescent="0.6">
      <c r="A3" s="138" t="s">
        <v>10</v>
      </c>
      <c r="B3" s="139" t="s">
        <v>39</v>
      </c>
      <c r="C3" s="140" t="s">
        <v>40</v>
      </c>
      <c r="D3" s="141" t="s">
        <v>41</v>
      </c>
    </row>
    <row r="4" spans="1:4" ht="18" customHeight="1" x14ac:dyDescent="0.55000000000000004">
      <c r="A4" s="153">
        <f>SMALL('Position_PnL(data)'!$A$2:$A$201,(ROW()-3)*10-9)</f>
        <v>46083</v>
      </c>
      <c r="B4" s="154">
        <f>SUMIF('Position_PnL(data)'!$A:$A,A4,'Position_PnL(data)'!$E:$E)</f>
        <v>2.8391632722319016</v>
      </c>
      <c r="C4" s="155">
        <f>SUM($B$4:B4)</f>
        <v>2.8391632722319016</v>
      </c>
      <c r="D4" s="156" t="s">
        <v>130</v>
      </c>
    </row>
    <row r="5" spans="1:4" ht="18" customHeight="1" x14ac:dyDescent="0.55000000000000004">
      <c r="A5" s="151">
        <f>SMALL('Position_PnL(data)'!$A$2:$A$201,(ROW()-3)*10-9)</f>
        <v>46084</v>
      </c>
      <c r="B5" s="149">
        <f>SUMIF('Position_PnL(data)'!$A:$A,A5,'Position_PnL(data)'!$E:$E)</f>
        <v>-3.762157977730781</v>
      </c>
      <c r="C5" s="152">
        <f>SUM($B$4:B5)</f>
        <v>-0.92299470549887941</v>
      </c>
      <c r="D5" s="150">
        <f t="shared" ref="D5:D23" si="0">B5-B4</f>
        <v>-6.6013212499626821</v>
      </c>
    </row>
    <row r="6" spans="1:4" ht="18" customHeight="1" x14ac:dyDescent="0.55000000000000004">
      <c r="A6" s="142">
        <f>SMALL('Position_PnL(data)'!$A$2:$A$201,(ROW()-3)*10-9)</f>
        <v>46085</v>
      </c>
      <c r="B6" s="7">
        <f>SUMIF('Position_PnL(data)'!$A:$A,A6,'Position_PnL(data)'!$E:$E)</f>
        <v>-1.3691304757287441</v>
      </c>
      <c r="C6" s="144">
        <f>SUM($B$4:B6)</f>
        <v>-2.2921251812276235</v>
      </c>
      <c r="D6" s="8">
        <f t="shared" si="0"/>
        <v>2.3930275020020368</v>
      </c>
    </row>
    <row r="7" spans="1:4" ht="18" customHeight="1" x14ac:dyDescent="0.55000000000000004">
      <c r="A7" s="142">
        <f>SMALL('Position_PnL(data)'!$A$2:$A$201,(ROW()-3)*10-9)</f>
        <v>46086</v>
      </c>
      <c r="B7" s="7">
        <f>SUMIF('Position_PnL(data)'!$A:$A,A7,'Position_PnL(data)'!$E:$E)</f>
        <v>-1.0064410213496859</v>
      </c>
      <c r="C7" s="145">
        <f>SUM($B$4:B7)</f>
        <v>-3.2985662025773097</v>
      </c>
      <c r="D7" s="9">
        <f t="shared" si="0"/>
        <v>0.3626894543790582</v>
      </c>
    </row>
    <row r="8" spans="1:4" ht="18" customHeight="1" x14ac:dyDescent="0.55000000000000004">
      <c r="A8" s="142">
        <f>SMALL('Position_PnL(data)'!$A$2:$A$201,(ROW()-3)*10-9)</f>
        <v>46087</v>
      </c>
      <c r="B8" s="7">
        <f>SUMIF('Position_PnL(data)'!$A:$A,A8,'Position_PnL(data)'!$E:$E)</f>
        <v>-0.97448336813151715</v>
      </c>
      <c r="C8" s="144">
        <f>SUM($B$4:B8)</f>
        <v>-4.2730495707088272</v>
      </c>
      <c r="D8" s="8">
        <f t="shared" si="0"/>
        <v>3.1957653218168791E-2</v>
      </c>
    </row>
    <row r="9" spans="1:4" ht="18" customHeight="1" x14ac:dyDescent="0.55000000000000004">
      <c r="A9" s="142">
        <f>SMALL('Position_PnL(data)'!$A$2:$A$201,(ROW()-3)*10-9)</f>
        <v>46090</v>
      </c>
      <c r="B9" s="143">
        <f>SUMIF('Position_PnL(data)'!$A:$A,A9,'Position_PnL(data)'!$E:$E)</f>
        <v>0.3709243972717175</v>
      </c>
      <c r="C9" s="145">
        <f>SUM($B$4:B9)</f>
        <v>-3.9021251734371099</v>
      </c>
      <c r="D9" s="9">
        <f t="shared" si="0"/>
        <v>1.3454077654032346</v>
      </c>
    </row>
    <row r="10" spans="1:4" ht="18" customHeight="1" x14ac:dyDescent="0.55000000000000004">
      <c r="A10" s="142">
        <f>SMALL('Position_PnL(data)'!$A$2:$A$201,(ROW()-3)*10-9)</f>
        <v>46091</v>
      </c>
      <c r="B10" s="7">
        <f>SUMIF('Position_PnL(data)'!$A:$A,A10,'Position_PnL(data)'!$E:$E)</f>
        <v>-0.3624084858804133</v>
      </c>
      <c r="C10" s="144">
        <f>SUM($B$4:B10)</f>
        <v>-4.2645336593175234</v>
      </c>
      <c r="D10" s="8">
        <f t="shared" si="0"/>
        <v>-0.73333288315213085</v>
      </c>
    </row>
    <row r="11" spans="1:4" ht="18" customHeight="1" x14ac:dyDescent="0.55000000000000004">
      <c r="A11" s="142">
        <f>SMALL('Position_PnL(data)'!$A$2:$A$201,(ROW()-3)*10-9)</f>
        <v>46092</v>
      </c>
      <c r="B11" s="143">
        <f>SUMIF('Position_PnL(data)'!$A:$A,A11,'Position_PnL(data)'!$E:$E)</f>
        <v>0.32807276873994262</v>
      </c>
      <c r="C11" s="145">
        <f>SUM($B$4:B11)</f>
        <v>-3.9364608905775809</v>
      </c>
      <c r="D11" s="9">
        <f t="shared" si="0"/>
        <v>0.69048125462035592</v>
      </c>
    </row>
    <row r="12" spans="1:4" ht="18" customHeight="1" x14ac:dyDescent="0.55000000000000004">
      <c r="A12" s="142">
        <f>SMALL('Position_PnL(data)'!$A$2:$A$201,(ROW()-3)*10-9)</f>
        <v>46093</v>
      </c>
      <c r="B12" s="143">
        <f>SUMIF('Position_PnL(data)'!$A:$A,A12,'Position_PnL(data)'!$E:$E)</f>
        <v>0.96381998184508433</v>
      </c>
      <c r="C12" s="144">
        <f>SUM($B$4:B12)</f>
        <v>-2.9726409087324965</v>
      </c>
      <c r="D12" s="8">
        <f t="shared" si="0"/>
        <v>0.63574721310514171</v>
      </c>
    </row>
    <row r="13" spans="1:4" ht="18" customHeight="1" x14ac:dyDescent="0.55000000000000004">
      <c r="A13" s="142">
        <f>SMALL('Position_PnL(data)'!$A$2:$A$201,(ROW()-3)*10-9)</f>
        <v>46094</v>
      </c>
      <c r="B13" s="7">
        <f>SUMIF('Position_PnL(data)'!$A:$A,A13,'Position_PnL(data)'!$E:$E)</f>
        <v>-6.3631606429622525E-2</v>
      </c>
      <c r="C13" s="145">
        <f>SUM($B$4:B13)</f>
        <v>-3.036272515162119</v>
      </c>
      <c r="D13" s="9">
        <f t="shared" si="0"/>
        <v>-1.0274515882747068</v>
      </c>
    </row>
    <row r="14" spans="1:4" ht="18" customHeight="1" x14ac:dyDescent="0.55000000000000004">
      <c r="A14" s="142">
        <f>SMALL('Position_PnL(data)'!$A$2:$A$201,(ROW()-3)*10-9)</f>
        <v>46097</v>
      </c>
      <c r="B14" s="143">
        <f>SUMIF('Position_PnL(data)'!$A:$A,A14,'Position_PnL(data)'!$E:$E)</f>
        <v>0.13731833677039129</v>
      </c>
      <c r="C14" s="144">
        <f>SUM($B$4:B14)</f>
        <v>-2.8989541783917279</v>
      </c>
      <c r="D14" s="8">
        <f t="shared" si="0"/>
        <v>0.2009499432000138</v>
      </c>
    </row>
    <row r="15" spans="1:4" ht="18" customHeight="1" x14ac:dyDescent="0.55000000000000004">
      <c r="A15" s="142">
        <f>SMALL('Position_PnL(data)'!$A$2:$A$201,(ROW()-3)*10-9)</f>
        <v>46098</v>
      </c>
      <c r="B15" s="146">
        <f>SUMIF('Position_PnL(data)'!$A:$A,A15,'Position_PnL(data)'!$E:$E)</f>
        <v>-5.0536934239783324</v>
      </c>
      <c r="C15" s="147">
        <f>SUM($B$4:B15)</f>
        <v>-7.9526476023700603</v>
      </c>
      <c r="D15" s="148">
        <f t="shared" si="0"/>
        <v>-5.1910117607487241</v>
      </c>
    </row>
    <row r="16" spans="1:4" ht="18" customHeight="1" x14ac:dyDescent="0.55000000000000004">
      <c r="A16" s="142">
        <f>SMALL('Position_PnL(data)'!$A$2:$A$201,(ROW()-3)*10-9)</f>
        <v>46099</v>
      </c>
      <c r="B16" s="7">
        <f>SUMIF('Position_PnL(data)'!$A:$A,A16,'Position_PnL(data)'!$E:$E)</f>
        <v>-0.96143323589792506</v>
      </c>
      <c r="C16" s="144">
        <f>SUM($B$4:B16)</f>
        <v>-8.914080838267985</v>
      </c>
      <c r="D16" s="8">
        <f t="shared" si="0"/>
        <v>4.0922601880804077</v>
      </c>
    </row>
    <row r="17" spans="1:4" ht="18" customHeight="1" x14ac:dyDescent="0.55000000000000004">
      <c r="A17" s="142">
        <f>SMALL('Position_PnL(data)'!$A$2:$A$201,(ROW()-3)*10-9)</f>
        <v>46100</v>
      </c>
      <c r="B17" s="7">
        <f>SUMIF('Position_PnL(data)'!$A:$A,A17,'Position_PnL(data)'!$E:$E)</f>
        <v>-1.7601854132583585</v>
      </c>
      <c r="C17" s="145">
        <f>SUM($B$4:B17)</f>
        <v>-10.674266251526344</v>
      </c>
      <c r="D17" s="9">
        <f t="shared" si="0"/>
        <v>-0.79875217736043347</v>
      </c>
    </row>
    <row r="18" spans="1:4" ht="18" customHeight="1" x14ac:dyDescent="0.55000000000000004">
      <c r="A18" s="142">
        <f>SMALL('Position_PnL(data)'!$A$2:$A$201,(ROW()-3)*10-9)</f>
        <v>46101</v>
      </c>
      <c r="B18" s="7">
        <f>SUMIF('Position_PnL(data)'!$A:$A,A18,'Position_PnL(data)'!$E:$E)</f>
        <v>-0.6191008031441555</v>
      </c>
      <c r="C18" s="144">
        <f>SUM($B$4:B18)</f>
        <v>-11.293367054670499</v>
      </c>
      <c r="D18" s="8">
        <f t="shared" si="0"/>
        <v>1.1410846101142029</v>
      </c>
    </row>
    <row r="19" spans="1:4" ht="18" customHeight="1" x14ac:dyDescent="0.55000000000000004">
      <c r="A19" s="142">
        <f>SMALL('Position_PnL(data)'!$A$2:$A$201,(ROW()-3)*10-9)</f>
        <v>46104</v>
      </c>
      <c r="B19" s="143">
        <f>SUMIF('Position_PnL(data)'!$A:$A,A19,'Position_PnL(data)'!$E:$E)</f>
        <v>1.7777354197581161</v>
      </c>
      <c r="C19" s="145">
        <f>SUM($B$4:B19)</f>
        <v>-9.5156316349123831</v>
      </c>
      <c r="D19" s="9">
        <f t="shared" si="0"/>
        <v>2.3968362229022717</v>
      </c>
    </row>
    <row r="20" spans="1:4" ht="18" customHeight="1" x14ac:dyDescent="0.55000000000000004">
      <c r="A20" s="142">
        <f>SMALL('Position_PnL(data)'!$A$2:$A$201,(ROW()-3)*10-9)</f>
        <v>46105</v>
      </c>
      <c r="B20" s="143">
        <f>SUMIF('Position_PnL(data)'!$A:$A,A20,'Position_PnL(data)'!$E:$E)</f>
        <v>0.53009482931348084</v>
      </c>
      <c r="C20" s="144">
        <f>SUM($B$4:B20)</f>
        <v>-8.9855368055989029</v>
      </c>
      <c r="D20" s="8">
        <f t="shared" si="0"/>
        <v>-1.2476405904446353</v>
      </c>
    </row>
    <row r="21" spans="1:4" ht="18" customHeight="1" x14ac:dyDescent="0.55000000000000004">
      <c r="A21" s="142">
        <f>SMALL('Position_PnL(data)'!$A$2:$A$201,(ROW()-3)*10-9)</f>
        <v>46106</v>
      </c>
      <c r="B21" s="143">
        <f>SUMIF('Position_PnL(data)'!$A:$A,A21,'Position_PnL(data)'!$E:$E)</f>
        <v>1.7529413760111388</v>
      </c>
      <c r="C21" s="145">
        <f>SUM($B$4:B21)</f>
        <v>-7.2325954295877644</v>
      </c>
      <c r="D21" s="9">
        <f t="shared" si="0"/>
        <v>1.2228465466976579</v>
      </c>
    </row>
    <row r="22" spans="1:4" ht="18" customHeight="1" x14ac:dyDescent="0.55000000000000004">
      <c r="A22" s="142">
        <f>SMALL('Position_PnL(data)'!$A$2:$A$201,(ROW()-3)*10-9)</f>
        <v>46107</v>
      </c>
      <c r="B22" s="7">
        <f>SUMIF('Position_PnL(data)'!$A:$A,A22,'Position_PnL(data)'!$E:$E)</f>
        <v>-0.97018255938909359</v>
      </c>
      <c r="C22" s="144">
        <f>SUM($B$4:B22)</f>
        <v>-8.2027779889768588</v>
      </c>
      <c r="D22" s="8">
        <f t="shared" si="0"/>
        <v>-2.7231239354002321</v>
      </c>
    </row>
    <row r="23" spans="1:4" ht="18" customHeight="1" x14ac:dyDescent="0.55000000000000004">
      <c r="A23" s="157">
        <f>SMALL('Position_PnL(data)'!$A$2:$A$201,(ROW()-3)*10-9)</f>
        <v>46108</v>
      </c>
      <c r="B23" s="158">
        <f>SUMIF('Position_PnL(data)'!$A:$A,A23,'Position_PnL(data)'!$E:$E)</f>
        <v>-1.154546212062475</v>
      </c>
      <c r="C23" s="145">
        <f>SUM($B$4:B23)</f>
        <v>-9.3573242010393329</v>
      </c>
      <c r="D23" s="9">
        <f t="shared" si="0"/>
        <v>-0.1843636526733814</v>
      </c>
    </row>
    <row r="24" spans="1:4" ht="19.5" customHeight="1" thickBot="1" x14ac:dyDescent="0.6">
      <c r="A24" s="159" t="s">
        <v>42</v>
      </c>
      <c r="B24" s="160">
        <f>SUM(B4:B23)</f>
        <v>-9.3573242010393329</v>
      </c>
      <c r="C24" s="161" t="s">
        <v>43</v>
      </c>
      <c r="D24" s="162"/>
    </row>
    <row r="25" spans="1:4" x14ac:dyDescent="0.55000000000000004">
      <c r="A25" s="163"/>
      <c r="B25" s="163"/>
      <c r="C25" s="163"/>
      <c r="D25" s="163"/>
    </row>
    <row r="26" spans="1:4" ht="21.75" customHeight="1" x14ac:dyDescent="0.55000000000000004">
      <c r="A26" s="164" t="s">
        <v>44</v>
      </c>
      <c r="B26" s="165"/>
      <c r="C26" s="165"/>
      <c r="D26" s="166"/>
    </row>
    <row r="27" spans="1:4" ht="18" customHeight="1" x14ac:dyDescent="0.55000000000000004">
      <c r="A27" s="167" t="s">
        <v>45</v>
      </c>
      <c r="B27" s="169"/>
      <c r="C27" s="170">
        <f>MAX(B4:B23)</f>
        <v>2.8391632722319016</v>
      </c>
      <c r="D27" s="171"/>
    </row>
    <row r="28" spans="1:4" ht="18" customHeight="1" x14ac:dyDescent="0.55000000000000004">
      <c r="A28" s="172" t="s">
        <v>46</v>
      </c>
      <c r="B28" s="173"/>
      <c r="C28" s="174">
        <f>MIN(B4:B23)</f>
        <v>-5.0536934239783324</v>
      </c>
      <c r="D28" s="175"/>
    </row>
    <row r="29" spans="1:4" ht="18" customHeight="1" x14ac:dyDescent="0.55000000000000004">
      <c r="A29" s="167" t="s">
        <v>47</v>
      </c>
      <c r="B29" s="169"/>
      <c r="C29" s="176">
        <f>AVERAGE(B4:B23)</f>
        <v>-0.46786621005196666</v>
      </c>
      <c r="D29" s="171"/>
    </row>
    <row r="30" spans="1:4" ht="18" customHeight="1" x14ac:dyDescent="0.55000000000000004">
      <c r="A30" s="172" t="s">
        <v>48</v>
      </c>
      <c r="B30" s="173"/>
      <c r="C30" s="177">
        <f>COUNTIF(B4:B23,"&lt;0")</f>
        <v>12</v>
      </c>
      <c r="D30" s="178"/>
    </row>
    <row r="31" spans="1:4" ht="18" customHeight="1" x14ac:dyDescent="0.55000000000000004">
      <c r="A31" s="167" t="s">
        <v>49</v>
      </c>
      <c r="B31" s="169"/>
      <c r="C31" s="180">
        <f>COUNTIF(B4:B23,"&gt;0")</f>
        <v>8</v>
      </c>
      <c r="D31" s="183"/>
    </row>
    <row r="32" spans="1:4" ht="18" customHeight="1" thickBot="1" x14ac:dyDescent="0.6">
      <c r="A32" s="168" t="s">
        <v>50</v>
      </c>
      <c r="B32" s="179"/>
      <c r="C32" s="182">
        <f>STDEV(B4:B23)</f>
        <v>1.8025751072961387</v>
      </c>
      <c r="D32" s="181"/>
    </row>
  </sheetData>
  <mergeCells count="15">
    <mergeCell ref="A1:D1"/>
    <mergeCell ref="A2:D2"/>
    <mergeCell ref="A26:D26"/>
    <mergeCell ref="A27:B27"/>
    <mergeCell ref="C27:D27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zoomScaleNormal="100" workbookViewId="0">
      <pane ySplit="2" topLeftCell="A43" activePane="bottomLeft" state="frozen"/>
      <selection pane="bottomLeft" activeCell="F48" sqref="F48"/>
    </sheetView>
  </sheetViews>
  <sheetFormatPr defaultColWidth="8.62890625" defaultRowHeight="14.4" x14ac:dyDescent="0.55000000000000004"/>
  <cols>
    <col min="1" max="1" width="28.1015625" customWidth="1"/>
    <col min="2" max="2" width="19.26171875" customWidth="1"/>
    <col min="3" max="3" width="14.89453125" customWidth="1"/>
    <col min="4" max="4" width="14.1015625" customWidth="1"/>
    <col min="5" max="5" width="13.15625" customWidth="1"/>
    <col min="6" max="6" width="14.1015625" customWidth="1"/>
    <col min="7" max="7" width="19.26171875" customWidth="1"/>
  </cols>
  <sheetData>
    <row r="1" spans="1:7" ht="33.75" customHeight="1" x14ac:dyDescent="0.55000000000000004">
      <c r="A1" s="106" t="s">
        <v>131</v>
      </c>
      <c r="B1" s="106"/>
      <c r="C1" s="106"/>
      <c r="D1" s="106"/>
      <c r="E1" s="106"/>
      <c r="F1" s="106"/>
      <c r="G1" s="106"/>
    </row>
    <row r="2" spans="1:7" x14ac:dyDescent="0.55000000000000004">
      <c r="A2" s="194"/>
      <c r="B2" s="194"/>
      <c r="C2" s="194"/>
      <c r="D2" s="194"/>
      <c r="E2" s="194"/>
      <c r="F2" s="194"/>
      <c r="G2" s="194"/>
    </row>
    <row r="3" spans="1:7" ht="21.75" customHeight="1" x14ac:dyDescent="0.55000000000000004">
      <c r="A3" s="103" t="s">
        <v>51</v>
      </c>
      <c r="B3" s="103"/>
      <c r="C3" s="103"/>
      <c r="D3" s="103"/>
      <c r="E3" s="103"/>
      <c r="F3" s="103"/>
      <c r="G3" s="103"/>
    </row>
    <row r="4" spans="1:7" ht="19.5" customHeight="1" x14ac:dyDescent="0.55000000000000004">
      <c r="A4" s="10" t="s">
        <v>52</v>
      </c>
      <c r="B4" s="11">
        <v>5</v>
      </c>
      <c r="C4" s="107" t="s">
        <v>53</v>
      </c>
      <c r="D4" s="107"/>
      <c r="E4" s="107"/>
      <c r="F4" s="107"/>
      <c r="G4" s="107"/>
    </row>
    <row r="5" spans="1:7" ht="19.5" customHeight="1" x14ac:dyDescent="0.55000000000000004">
      <c r="A5" s="12" t="s">
        <v>54</v>
      </c>
      <c r="B5" s="13">
        <v>0.99</v>
      </c>
      <c r="C5" s="108" t="s">
        <v>55</v>
      </c>
      <c r="D5" s="108"/>
      <c r="E5" s="108"/>
      <c r="F5" s="108"/>
      <c r="G5" s="108"/>
    </row>
    <row r="6" spans="1:7" ht="19.5" customHeight="1" x14ac:dyDescent="0.55000000000000004">
      <c r="A6" s="10" t="s">
        <v>56</v>
      </c>
      <c r="B6" s="14">
        <v>20</v>
      </c>
      <c r="C6" s="107" t="s">
        <v>57</v>
      </c>
      <c r="D6" s="107"/>
      <c r="E6" s="107"/>
      <c r="F6" s="107"/>
      <c r="G6" s="107"/>
    </row>
    <row r="7" spans="1:7" ht="19.5" customHeight="1" x14ac:dyDescent="0.55000000000000004">
      <c r="A7" s="15" t="s">
        <v>58</v>
      </c>
      <c r="B7" s="185"/>
      <c r="C7" s="102" t="s">
        <v>132</v>
      </c>
      <c r="D7" s="102"/>
      <c r="E7" s="102"/>
      <c r="F7" s="102"/>
      <c r="G7" s="102"/>
    </row>
    <row r="8" spans="1:7" ht="19.5" customHeight="1" thickBot="1" x14ac:dyDescent="0.6">
      <c r="A8" s="195" t="s">
        <v>59</v>
      </c>
      <c r="B8" s="196">
        <v>0.85</v>
      </c>
      <c r="C8" s="197" t="s">
        <v>60</v>
      </c>
      <c r="D8" s="197"/>
      <c r="E8" s="197"/>
      <c r="F8" s="197"/>
      <c r="G8" s="197"/>
    </row>
    <row r="9" spans="1:7" x14ac:dyDescent="0.55000000000000004">
      <c r="A9" s="198"/>
      <c r="B9" s="198"/>
      <c r="C9" s="198"/>
      <c r="D9" s="198"/>
      <c r="E9" s="198"/>
      <c r="F9" s="198"/>
      <c r="G9" s="198"/>
    </row>
    <row r="10" spans="1:7" ht="21.75" customHeight="1" x14ac:dyDescent="0.55000000000000004">
      <c r="A10" s="103" t="s">
        <v>61</v>
      </c>
      <c r="B10" s="103"/>
      <c r="C10" s="103"/>
      <c r="D10" s="103"/>
      <c r="E10" s="103"/>
      <c r="F10" s="103"/>
      <c r="G10" s="103"/>
    </row>
    <row r="11" spans="1:7" ht="25.5" customHeight="1" x14ac:dyDescent="0.55000000000000004">
      <c r="A11" s="16" t="s">
        <v>62</v>
      </c>
      <c r="B11" s="17">
        <f>_xlfn.PERCENTILE.INC(Desk_PnL!B4:B23,0.01)*-1</f>
        <v>4.808301689191298</v>
      </c>
      <c r="C11" s="104" t="s">
        <v>63</v>
      </c>
      <c r="D11" s="104"/>
      <c r="E11" s="104"/>
      <c r="F11" s="104"/>
      <c r="G11" s="104"/>
    </row>
    <row r="12" spans="1:7" ht="25.5" customHeight="1" x14ac:dyDescent="0.55000000000000004">
      <c r="A12" s="10" t="s">
        <v>52</v>
      </c>
      <c r="B12" s="11">
        <f>$B$4</f>
        <v>5</v>
      </c>
      <c r="C12" s="105" t="s">
        <v>64</v>
      </c>
      <c r="D12" s="105"/>
      <c r="E12" s="105"/>
      <c r="F12" s="105"/>
      <c r="G12" s="105"/>
    </row>
    <row r="13" spans="1:7" ht="25.5" customHeight="1" x14ac:dyDescent="0.55000000000000004">
      <c r="A13" s="186" t="s">
        <v>65</v>
      </c>
      <c r="B13" s="19">
        <f>B11/B12</f>
        <v>0.96166033783825955</v>
      </c>
      <c r="C13" s="187" t="s">
        <v>66</v>
      </c>
      <c r="D13" s="187"/>
      <c r="E13" s="187"/>
      <c r="F13" s="187"/>
      <c r="G13" s="187"/>
    </row>
    <row r="14" spans="1:7" ht="25.5" customHeight="1" thickBot="1" x14ac:dyDescent="0.6">
      <c r="A14" s="186" t="s">
        <v>67</v>
      </c>
      <c r="B14" s="199" t="str">
        <f>IF(B13&gt;1,"In Breach",IF(B13&gt;=$B$8,"Near Limit","Within Limit"))</f>
        <v>Near Limit</v>
      </c>
      <c r="C14" s="187" t="s">
        <v>133</v>
      </c>
      <c r="D14" s="187"/>
      <c r="E14" s="187"/>
      <c r="F14" s="187"/>
      <c r="G14" s="187"/>
    </row>
    <row r="15" spans="1:7" x14ac:dyDescent="0.55000000000000004">
      <c r="A15" s="198"/>
      <c r="B15" s="198"/>
      <c r="C15" s="198"/>
      <c r="D15" s="198"/>
      <c r="E15" s="198"/>
      <c r="F15" s="198"/>
      <c r="G15" s="198"/>
    </row>
    <row r="16" spans="1:7" x14ac:dyDescent="0.55000000000000004">
      <c r="A16" s="184"/>
      <c r="B16" s="184"/>
      <c r="C16" s="184"/>
      <c r="D16" s="184"/>
      <c r="E16" s="184"/>
      <c r="F16" s="184"/>
      <c r="G16" s="184"/>
    </row>
    <row r="17" spans="1:7" ht="21.75" customHeight="1" x14ac:dyDescent="0.55000000000000004">
      <c r="A17" s="103" t="s">
        <v>68</v>
      </c>
      <c r="B17" s="103"/>
      <c r="C17" s="103"/>
      <c r="D17" s="103"/>
      <c r="E17" s="103"/>
      <c r="F17" s="103"/>
      <c r="G17" s="103"/>
    </row>
    <row r="18" spans="1:7" ht="30" customHeight="1" x14ac:dyDescent="0.55000000000000004">
      <c r="A18" s="20" t="s">
        <v>10</v>
      </c>
      <c r="B18" s="20" t="s">
        <v>69</v>
      </c>
      <c r="C18" s="20" t="s">
        <v>62</v>
      </c>
      <c r="D18" s="20" t="s">
        <v>52</v>
      </c>
      <c r="E18" s="20" t="s">
        <v>70</v>
      </c>
      <c r="F18" s="20" t="s">
        <v>67</v>
      </c>
      <c r="G18" s="20" t="s">
        <v>71</v>
      </c>
    </row>
    <row r="19" spans="1:7" ht="18" customHeight="1" x14ac:dyDescent="0.55000000000000004">
      <c r="A19" s="188">
        <f>Desk_PnL!A4</f>
        <v>46083</v>
      </c>
      <c r="B19" s="189">
        <f>VLOOKUP(A19,Desk_PnL!$A$4:$B$23,2,0)</f>
        <v>2.8391632722319016</v>
      </c>
      <c r="C19" s="21">
        <f t="shared" ref="C19:C38" si="0">$B$11</f>
        <v>4.808301689191298</v>
      </c>
      <c r="D19" s="22">
        <f t="shared" ref="D19:D38" si="1">$B$12</f>
        <v>5</v>
      </c>
      <c r="E19" s="23">
        <f t="shared" ref="E19:E38" si="2">C19/D19</f>
        <v>0.96166033783825955</v>
      </c>
      <c r="F19" s="24" t="str">
        <f t="shared" ref="F19:F38" si="3">IF(E19&gt;1,"In Breach",IF(E19&gt;=$B$8,"Near Limit","Within Limit"))</f>
        <v>Near Limit</v>
      </c>
      <c r="G19" s="24" t="str">
        <f t="shared" ref="G19:G38" si="4">IF(B19&lt;-C19,"YES - EXCEPTION","No")</f>
        <v>No</v>
      </c>
    </row>
    <row r="20" spans="1:7" ht="18" customHeight="1" x14ac:dyDescent="0.55000000000000004">
      <c r="A20" s="190">
        <f>Desk_PnL!A5</f>
        <v>46084</v>
      </c>
      <c r="B20" s="191">
        <f>VLOOKUP(A20,Desk_PnL!$A$4:$B$23,2,0)</f>
        <v>-3.762157977730781</v>
      </c>
      <c r="C20" s="25">
        <f t="shared" si="0"/>
        <v>4.808301689191298</v>
      </c>
      <c r="D20" s="26">
        <f t="shared" si="1"/>
        <v>5</v>
      </c>
      <c r="E20" s="27">
        <f t="shared" si="2"/>
        <v>0.96166033783825955</v>
      </c>
      <c r="F20" s="28" t="str">
        <f t="shared" si="3"/>
        <v>Near Limit</v>
      </c>
      <c r="G20" s="28" t="str">
        <f t="shared" si="4"/>
        <v>No</v>
      </c>
    </row>
    <row r="21" spans="1:7" ht="18" customHeight="1" x14ac:dyDescent="0.55000000000000004">
      <c r="A21" s="188">
        <f>Desk_PnL!A6</f>
        <v>46085</v>
      </c>
      <c r="B21" s="189">
        <f>VLOOKUP(A21,Desk_PnL!$A$4:$B$23,2,0)</f>
        <v>-1.3691304757287441</v>
      </c>
      <c r="C21" s="21">
        <f t="shared" si="0"/>
        <v>4.808301689191298</v>
      </c>
      <c r="D21" s="22">
        <f t="shared" si="1"/>
        <v>5</v>
      </c>
      <c r="E21" s="23">
        <f t="shared" si="2"/>
        <v>0.96166033783825955</v>
      </c>
      <c r="F21" s="24" t="str">
        <f t="shared" si="3"/>
        <v>Near Limit</v>
      </c>
      <c r="G21" s="24" t="str">
        <f t="shared" si="4"/>
        <v>No</v>
      </c>
    </row>
    <row r="22" spans="1:7" ht="18" customHeight="1" x14ac:dyDescent="0.55000000000000004">
      <c r="A22" s="190">
        <f>Desk_PnL!A7</f>
        <v>46086</v>
      </c>
      <c r="B22" s="191">
        <f>VLOOKUP(A22,Desk_PnL!$A$4:$B$23,2,0)</f>
        <v>-1.0064410213496859</v>
      </c>
      <c r="C22" s="25">
        <f t="shared" si="0"/>
        <v>4.808301689191298</v>
      </c>
      <c r="D22" s="26">
        <f t="shared" si="1"/>
        <v>5</v>
      </c>
      <c r="E22" s="27">
        <f t="shared" si="2"/>
        <v>0.96166033783825955</v>
      </c>
      <c r="F22" s="28" t="str">
        <f t="shared" si="3"/>
        <v>Near Limit</v>
      </c>
      <c r="G22" s="28" t="str">
        <f t="shared" si="4"/>
        <v>No</v>
      </c>
    </row>
    <row r="23" spans="1:7" ht="18" customHeight="1" x14ac:dyDescent="0.55000000000000004">
      <c r="A23" s="188">
        <f>Desk_PnL!A8</f>
        <v>46087</v>
      </c>
      <c r="B23" s="189">
        <f>VLOOKUP(A23,Desk_PnL!$A$4:$B$23,2,0)</f>
        <v>-0.97448336813151715</v>
      </c>
      <c r="C23" s="21">
        <f t="shared" si="0"/>
        <v>4.808301689191298</v>
      </c>
      <c r="D23" s="22">
        <f t="shared" si="1"/>
        <v>5</v>
      </c>
      <c r="E23" s="23">
        <f t="shared" si="2"/>
        <v>0.96166033783825955</v>
      </c>
      <c r="F23" s="24" t="str">
        <f t="shared" si="3"/>
        <v>Near Limit</v>
      </c>
      <c r="G23" s="24" t="str">
        <f t="shared" si="4"/>
        <v>No</v>
      </c>
    </row>
    <row r="24" spans="1:7" ht="18" customHeight="1" x14ac:dyDescent="0.55000000000000004">
      <c r="A24" s="190">
        <f>Desk_PnL!A9</f>
        <v>46090</v>
      </c>
      <c r="B24" s="191">
        <f>VLOOKUP(A24,Desk_PnL!$A$4:$B$23,2,0)</f>
        <v>0.3709243972717175</v>
      </c>
      <c r="C24" s="25">
        <f t="shared" si="0"/>
        <v>4.808301689191298</v>
      </c>
      <c r="D24" s="26">
        <f t="shared" si="1"/>
        <v>5</v>
      </c>
      <c r="E24" s="27">
        <f t="shared" si="2"/>
        <v>0.96166033783825955</v>
      </c>
      <c r="F24" s="28" t="str">
        <f t="shared" si="3"/>
        <v>Near Limit</v>
      </c>
      <c r="G24" s="28" t="str">
        <f t="shared" si="4"/>
        <v>No</v>
      </c>
    </row>
    <row r="25" spans="1:7" ht="18" customHeight="1" x14ac:dyDescent="0.55000000000000004">
      <c r="A25" s="188">
        <f>Desk_PnL!A10</f>
        <v>46091</v>
      </c>
      <c r="B25" s="189">
        <f>VLOOKUP(A25,Desk_PnL!$A$4:$B$23,2,0)</f>
        <v>-0.3624084858804133</v>
      </c>
      <c r="C25" s="21">
        <f t="shared" si="0"/>
        <v>4.808301689191298</v>
      </c>
      <c r="D25" s="22">
        <f t="shared" si="1"/>
        <v>5</v>
      </c>
      <c r="E25" s="23">
        <f t="shared" si="2"/>
        <v>0.96166033783825955</v>
      </c>
      <c r="F25" s="24" t="str">
        <f t="shared" si="3"/>
        <v>Near Limit</v>
      </c>
      <c r="G25" s="24" t="str">
        <f t="shared" si="4"/>
        <v>No</v>
      </c>
    </row>
    <row r="26" spans="1:7" ht="18" customHeight="1" x14ac:dyDescent="0.55000000000000004">
      <c r="A26" s="190">
        <f>Desk_PnL!A11</f>
        <v>46092</v>
      </c>
      <c r="B26" s="191">
        <f>VLOOKUP(A26,Desk_PnL!$A$4:$B$23,2,0)</f>
        <v>0.32807276873994262</v>
      </c>
      <c r="C26" s="25">
        <f t="shared" si="0"/>
        <v>4.808301689191298</v>
      </c>
      <c r="D26" s="26">
        <f t="shared" si="1"/>
        <v>5</v>
      </c>
      <c r="E26" s="27">
        <f t="shared" si="2"/>
        <v>0.96166033783825955</v>
      </c>
      <c r="F26" s="28" t="str">
        <f t="shared" si="3"/>
        <v>Near Limit</v>
      </c>
      <c r="G26" s="28" t="str">
        <f t="shared" si="4"/>
        <v>No</v>
      </c>
    </row>
    <row r="27" spans="1:7" ht="18" customHeight="1" x14ac:dyDescent="0.55000000000000004">
      <c r="A27" s="188">
        <f>Desk_PnL!A12</f>
        <v>46093</v>
      </c>
      <c r="B27" s="189">
        <f>VLOOKUP(A27,Desk_PnL!$A$4:$B$23,2,0)</f>
        <v>0.96381998184508433</v>
      </c>
      <c r="C27" s="21">
        <f t="shared" si="0"/>
        <v>4.808301689191298</v>
      </c>
      <c r="D27" s="22">
        <f t="shared" si="1"/>
        <v>5</v>
      </c>
      <c r="E27" s="23">
        <f t="shared" si="2"/>
        <v>0.96166033783825955</v>
      </c>
      <c r="F27" s="24" t="str">
        <f t="shared" si="3"/>
        <v>Near Limit</v>
      </c>
      <c r="G27" s="24" t="str">
        <f t="shared" si="4"/>
        <v>No</v>
      </c>
    </row>
    <row r="28" spans="1:7" ht="18" customHeight="1" x14ac:dyDescent="0.55000000000000004">
      <c r="A28" s="190">
        <f>Desk_PnL!A13</f>
        <v>46094</v>
      </c>
      <c r="B28" s="191">
        <f>VLOOKUP(A28,Desk_PnL!$A$4:$B$23,2,0)</f>
        <v>-6.3631606429622525E-2</v>
      </c>
      <c r="C28" s="25">
        <f t="shared" si="0"/>
        <v>4.808301689191298</v>
      </c>
      <c r="D28" s="26">
        <f t="shared" si="1"/>
        <v>5</v>
      </c>
      <c r="E28" s="27">
        <f t="shared" si="2"/>
        <v>0.96166033783825955</v>
      </c>
      <c r="F28" s="28" t="str">
        <f t="shared" si="3"/>
        <v>Near Limit</v>
      </c>
      <c r="G28" s="28" t="str">
        <f t="shared" si="4"/>
        <v>No</v>
      </c>
    </row>
    <row r="29" spans="1:7" ht="18" customHeight="1" x14ac:dyDescent="0.55000000000000004">
      <c r="A29" s="188">
        <f>Desk_PnL!A14</f>
        <v>46097</v>
      </c>
      <c r="B29" s="189">
        <f>VLOOKUP(A29,Desk_PnL!$A$4:$B$23,2,0)</f>
        <v>0.13731833677039129</v>
      </c>
      <c r="C29" s="21">
        <f t="shared" si="0"/>
        <v>4.808301689191298</v>
      </c>
      <c r="D29" s="22">
        <f t="shared" si="1"/>
        <v>5</v>
      </c>
      <c r="E29" s="23">
        <f t="shared" si="2"/>
        <v>0.96166033783825955</v>
      </c>
      <c r="F29" s="24" t="str">
        <f t="shared" si="3"/>
        <v>Near Limit</v>
      </c>
      <c r="G29" s="24" t="str">
        <f t="shared" si="4"/>
        <v>No</v>
      </c>
    </row>
    <row r="30" spans="1:7" ht="18" customHeight="1" x14ac:dyDescent="0.55000000000000004">
      <c r="A30" s="192">
        <f>Desk_PnL!A15</f>
        <v>46098</v>
      </c>
      <c r="B30" s="29">
        <f>VLOOKUP(A30,Desk_PnL!$A$4:$B$23,2,0)</f>
        <v>-5.0536934239783324</v>
      </c>
      <c r="C30" s="30">
        <f t="shared" si="0"/>
        <v>4.808301689191298</v>
      </c>
      <c r="D30" s="31">
        <f t="shared" si="1"/>
        <v>5</v>
      </c>
      <c r="E30" s="32">
        <f t="shared" si="2"/>
        <v>0.96166033783825955</v>
      </c>
      <c r="F30" s="18" t="str">
        <f t="shared" si="3"/>
        <v>Near Limit</v>
      </c>
      <c r="G30" s="18" t="str">
        <f t="shared" si="4"/>
        <v>YES - EXCEPTION</v>
      </c>
    </row>
    <row r="31" spans="1:7" ht="18" customHeight="1" x14ac:dyDescent="0.55000000000000004">
      <c r="A31" s="188">
        <f>Desk_PnL!A16</f>
        <v>46099</v>
      </c>
      <c r="B31" s="189">
        <f>VLOOKUP(A31,Desk_PnL!$A$4:$B$23,2,0)</f>
        <v>-0.96143323589792506</v>
      </c>
      <c r="C31" s="21">
        <f t="shared" si="0"/>
        <v>4.808301689191298</v>
      </c>
      <c r="D31" s="22">
        <f t="shared" si="1"/>
        <v>5</v>
      </c>
      <c r="E31" s="23">
        <f t="shared" si="2"/>
        <v>0.96166033783825955</v>
      </c>
      <c r="F31" s="24" t="str">
        <f t="shared" si="3"/>
        <v>Near Limit</v>
      </c>
      <c r="G31" s="24" t="str">
        <f t="shared" si="4"/>
        <v>No</v>
      </c>
    </row>
    <row r="32" spans="1:7" ht="18" customHeight="1" x14ac:dyDescent="0.55000000000000004">
      <c r="A32" s="190">
        <f>Desk_PnL!A17</f>
        <v>46100</v>
      </c>
      <c r="B32" s="191">
        <f>VLOOKUP(A32,Desk_PnL!$A$4:$B$23,2,0)</f>
        <v>-1.7601854132583585</v>
      </c>
      <c r="C32" s="25">
        <f t="shared" si="0"/>
        <v>4.808301689191298</v>
      </c>
      <c r="D32" s="26">
        <f t="shared" si="1"/>
        <v>5</v>
      </c>
      <c r="E32" s="27">
        <f t="shared" si="2"/>
        <v>0.96166033783825955</v>
      </c>
      <c r="F32" s="28" t="str">
        <f t="shared" si="3"/>
        <v>Near Limit</v>
      </c>
      <c r="G32" s="28" t="str">
        <f t="shared" si="4"/>
        <v>No</v>
      </c>
    </row>
    <row r="33" spans="1:7" ht="18" customHeight="1" x14ac:dyDescent="0.55000000000000004">
      <c r="A33" s="188">
        <f>Desk_PnL!A18</f>
        <v>46101</v>
      </c>
      <c r="B33" s="189">
        <f>VLOOKUP(A33,Desk_PnL!$A$4:$B$23,2,0)</f>
        <v>-0.6191008031441555</v>
      </c>
      <c r="C33" s="21">
        <f t="shared" si="0"/>
        <v>4.808301689191298</v>
      </c>
      <c r="D33" s="22">
        <f t="shared" si="1"/>
        <v>5</v>
      </c>
      <c r="E33" s="23">
        <f t="shared" si="2"/>
        <v>0.96166033783825955</v>
      </c>
      <c r="F33" s="24" t="str">
        <f t="shared" si="3"/>
        <v>Near Limit</v>
      </c>
      <c r="G33" s="24" t="str">
        <f t="shared" si="4"/>
        <v>No</v>
      </c>
    </row>
    <row r="34" spans="1:7" ht="18" customHeight="1" x14ac:dyDescent="0.55000000000000004">
      <c r="A34" s="190">
        <f>Desk_PnL!A19</f>
        <v>46104</v>
      </c>
      <c r="B34" s="191">
        <f>VLOOKUP(A34,Desk_PnL!$A$4:$B$23,2,0)</f>
        <v>1.7777354197581161</v>
      </c>
      <c r="C34" s="25">
        <f t="shared" si="0"/>
        <v>4.808301689191298</v>
      </c>
      <c r="D34" s="26">
        <f t="shared" si="1"/>
        <v>5</v>
      </c>
      <c r="E34" s="27">
        <f t="shared" si="2"/>
        <v>0.96166033783825955</v>
      </c>
      <c r="F34" s="28" t="str">
        <f t="shared" si="3"/>
        <v>Near Limit</v>
      </c>
      <c r="G34" s="28" t="str">
        <f t="shared" si="4"/>
        <v>No</v>
      </c>
    </row>
    <row r="35" spans="1:7" ht="18" customHeight="1" x14ac:dyDescent="0.55000000000000004">
      <c r="A35" s="188">
        <f>Desk_PnL!A20</f>
        <v>46105</v>
      </c>
      <c r="B35" s="189">
        <f>VLOOKUP(A35,Desk_PnL!$A$4:$B$23,2,0)</f>
        <v>0.53009482931348084</v>
      </c>
      <c r="C35" s="21">
        <f t="shared" si="0"/>
        <v>4.808301689191298</v>
      </c>
      <c r="D35" s="22">
        <f t="shared" si="1"/>
        <v>5</v>
      </c>
      <c r="E35" s="23">
        <f t="shared" si="2"/>
        <v>0.96166033783825955</v>
      </c>
      <c r="F35" s="24" t="str">
        <f t="shared" si="3"/>
        <v>Near Limit</v>
      </c>
      <c r="G35" s="24" t="str">
        <f t="shared" si="4"/>
        <v>No</v>
      </c>
    </row>
    <row r="36" spans="1:7" ht="18" customHeight="1" x14ac:dyDescent="0.55000000000000004">
      <c r="A36" s="190">
        <f>Desk_PnL!A21</f>
        <v>46106</v>
      </c>
      <c r="B36" s="191">
        <f>VLOOKUP(A36,Desk_PnL!$A$4:$B$23,2,0)</f>
        <v>1.7529413760111388</v>
      </c>
      <c r="C36" s="25">
        <f t="shared" si="0"/>
        <v>4.808301689191298</v>
      </c>
      <c r="D36" s="26">
        <f t="shared" si="1"/>
        <v>5</v>
      </c>
      <c r="E36" s="27">
        <f t="shared" si="2"/>
        <v>0.96166033783825955</v>
      </c>
      <c r="F36" s="28" t="str">
        <f t="shared" si="3"/>
        <v>Near Limit</v>
      </c>
      <c r="G36" s="28" t="str">
        <f t="shared" si="4"/>
        <v>No</v>
      </c>
    </row>
    <row r="37" spans="1:7" ht="18" customHeight="1" x14ac:dyDescent="0.55000000000000004">
      <c r="A37" s="200">
        <f>Desk_PnL!A22</f>
        <v>46107</v>
      </c>
      <c r="B37" s="193">
        <f>VLOOKUP(A37,Desk_PnL!$A$4:$B$23,2,0)</f>
        <v>-0.97018255938909359</v>
      </c>
      <c r="C37" s="33">
        <f t="shared" si="0"/>
        <v>4.808301689191298</v>
      </c>
      <c r="D37" s="34">
        <f t="shared" si="1"/>
        <v>5</v>
      </c>
      <c r="E37" s="35">
        <f t="shared" si="2"/>
        <v>0.96166033783825955</v>
      </c>
      <c r="F37" s="36" t="str">
        <f t="shared" si="3"/>
        <v>Near Limit</v>
      </c>
      <c r="G37" s="36" t="str">
        <f t="shared" si="4"/>
        <v>No</v>
      </c>
    </row>
    <row r="38" spans="1:7" ht="18" customHeight="1" thickBot="1" x14ac:dyDescent="0.6">
      <c r="A38" s="201">
        <f>Desk_PnL!A23</f>
        <v>46108</v>
      </c>
      <c r="B38" s="202">
        <f>VLOOKUP(A38,Desk_PnL!$A$4:$B$23,2,0)</f>
        <v>-1.154546212062475</v>
      </c>
      <c r="C38" s="49">
        <f t="shared" si="0"/>
        <v>4.808301689191298</v>
      </c>
      <c r="D38" s="203">
        <f t="shared" si="1"/>
        <v>5</v>
      </c>
      <c r="E38" s="204">
        <f t="shared" si="2"/>
        <v>0.96166033783825955</v>
      </c>
      <c r="F38" s="48" t="str">
        <f t="shared" si="3"/>
        <v>Near Limit</v>
      </c>
      <c r="G38" s="48" t="str">
        <f t="shared" si="4"/>
        <v>No</v>
      </c>
    </row>
    <row r="39" spans="1:7" x14ac:dyDescent="0.55000000000000004">
      <c r="A39" s="198"/>
      <c r="B39" s="198"/>
      <c r="C39" s="198"/>
      <c r="D39" s="198"/>
      <c r="E39" s="198"/>
      <c r="F39" s="198"/>
      <c r="G39" s="198"/>
    </row>
    <row r="40" spans="1:7" x14ac:dyDescent="0.55000000000000004">
      <c r="A40" s="194"/>
      <c r="B40" s="194"/>
      <c r="C40" s="194"/>
      <c r="D40" s="194"/>
      <c r="E40" s="194"/>
      <c r="F40" s="194"/>
      <c r="G40" s="194"/>
    </row>
    <row r="41" spans="1:7" ht="21.75" customHeight="1" x14ac:dyDescent="0.55000000000000004">
      <c r="A41" s="164" t="s">
        <v>72</v>
      </c>
      <c r="B41" s="165"/>
      <c r="C41" s="165"/>
      <c r="D41" s="165"/>
      <c r="E41" s="165"/>
      <c r="F41" s="165"/>
      <c r="G41" s="166"/>
    </row>
    <row r="42" spans="1:7" ht="49.5" customHeight="1" x14ac:dyDescent="0.55000000000000004">
      <c r="A42" s="205" t="s">
        <v>134</v>
      </c>
      <c r="B42" s="206" t="s">
        <v>135</v>
      </c>
      <c r="C42" s="207"/>
      <c r="D42" s="99"/>
      <c r="E42" s="99"/>
      <c r="F42" s="99"/>
      <c r="G42" s="99"/>
    </row>
    <row r="43" spans="1:7" ht="49.5" customHeight="1" x14ac:dyDescent="0.55000000000000004">
      <c r="A43" s="208" t="s">
        <v>136</v>
      </c>
      <c r="B43" s="209" t="s">
        <v>73</v>
      </c>
      <c r="C43" s="210"/>
      <c r="D43" s="211"/>
      <c r="E43" s="211"/>
      <c r="F43" s="211"/>
      <c r="G43" s="211"/>
    </row>
    <row r="44" spans="1:7" ht="49.5" customHeight="1" x14ac:dyDescent="0.55000000000000004">
      <c r="A44" s="205" t="s">
        <v>137</v>
      </c>
      <c r="B44" s="206" t="s">
        <v>74</v>
      </c>
      <c r="C44" s="207"/>
      <c r="D44" s="99"/>
      <c r="E44" s="99"/>
      <c r="F44" s="99"/>
      <c r="G44" s="99"/>
    </row>
    <row r="45" spans="1:7" ht="49.5" customHeight="1" x14ac:dyDescent="0.55000000000000004">
      <c r="A45" s="208" t="s">
        <v>138</v>
      </c>
      <c r="B45" s="209" t="s">
        <v>75</v>
      </c>
      <c r="C45" s="210"/>
      <c r="D45" s="211"/>
      <c r="E45" s="211"/>
      <c r="F45" s="211"/>
      <c r="G45" s="211"/>
    </row>
    <row r="46" spans="1:7" ht="49.5" customHeight="1" x14ac:dyDescent="0.55000000000000004">
      <c r="A46" s="205" t="s">
        <v>139</v>
      </c>
      <c r="B46" s="206" t="s">
        <v>76</v>
      </c>
      <c r="C46" s="207"/>
      <c r="D46" s="99"/>
      <c r="E46" s="99"/>
      <c r="F46" s="99"/>
      <c r="G46" s="99"/>
    </row>
    <row r="47" spans="1:7" ht="49.5" customHeight="1" x14ac:dyDescent="0.55000000000000004">
      <c r="A47" s="212" t="s">
        <v>77</v>
      </c>
      <c r="B47" s="213" t="s">
        <v>140</v>
      </c>
      <c r="C47" s="214"/>
      <c r="D47" s="100"/>
      <c r="E47" s="100"/>
      <c r="F47" s="100"/>
      <c r="G47" s="100"/>
    </row>
    <row r="48" spans="1:7" x14ac:dyDescent="0.55000000000000004">
      <c r="A48" s="37"/>
      <c r="B48" s="38"/>
      <c r="C48" s="38"/>
      <c r="D48" s="38"/>
      <c r="E48" s="38"/>
      <c r="F48" s="38"/>
      <c r="G48" s="38"/>
    </row>
  </sheetData>
  <mergeCells count="20">
    <mergeCell ref="A1:G1"/>
    <mergeCell ref="A3:G3"/>
    <mergeCell ref="C4:G4"/>
    <mergeCell ref="C5:G5"/>
    <mergeCell ref="C6:G6"/>
    <mergeCell ref="C7:G7"/>
    <mergeCell ref="C8:G8"/>
    <mergeCell ref="A10:G10"/>
    <mergeCell ref="C11:G11"/>
    <mergeCell ref="C12:G12"/>
    <mergeCell ref="C13:G13"/>
    <mergeCell ref="C14:G14"/>
    <mergeCell ref="A17:G17"/>
    <mergeCell ref="A41:G41"/>
    <mergeCell ref="B42:G42"/>
    <mergeCell ref="B43:G43"/>
    <mergeCell ref="B44:G44"/>
    <mergeCell ref="B45:G45"/>
    <mergeCell ref="B46:G46"/>
    <mergeCell ref="B47:G4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zoomScaleNormal="100" workbookViewId="0">
      <pane ySplit="4" topLeftCell="A5" activePane="bottomLeft" state="frozen"/>
      <selection pane="bottomLeft" activeCell="D18" sqref="D18"/>
    </sheetView>
  </sheetViews>
  <sheetFormatPr defaultColWidth="8.62890625" defaultRowHeight="14.4" x14ac:dyDescent="0.55000000000000004"/>
  <cols>
    <col min="1" max="3" width="19.26171875" customWidth="1"/>
    <col min="4" max="4" width="17.5234375" customWidth="1"/>
    <col min="5" max="5" width="19.26171875" customWidth="1"/>
    <col min="6" max="6" width="22" customWidth="1"/>
  </cols>
  <sheetData>
    <row r="1" spans="1:5" ht="33.75" customHeight="1" x14ac:dyDescent="0.55000000000000004">
      <c r="A1" s="106" t="s">
        <v>141</v>
      </c>
      <c r="B1" s="106"/>
      <c r="C1" s="106"/>
      <c r="D1" s="106"/>
      <c r="E1" s="106"/>
    </row>
    <row r="2" spans="1:5" x14ac:dyDescent="0.55000000000000004">
      <c r="A2" s="184"/>
      <c r="B2" s="184"/>
      <c r="C2" s="184"/>
      <c r="D2" s="184"/>
      <c r="E2" s="184"/>
    </row>
    <row r="3" spans="1:5" ht="21.75" customHeight="1" x14ac:dyDescent="0.55000000000000004">
      <c r="A3" s="101" t="s">
        <v>78</v>
      </c>
      <c r="B3" s="101"/>
      <c r="C3" s="101"/>
      <c r="D3" s="101"/>
      <c r="E3" s="101"/>
    </row>
    <row r="4" spans="1:5" ht="30" customHeight="1" x14ac:dyDescent="0.55000000000000004">
      <c r="A4" s="98" t="s">
        <v>126</v>
      </c>
      <c r="B4" s="98"/>
      <c r="C4" s="98"/>
      <c r="D4" s="98"/>
      <c r="E4" s="98"/>
    </row>
    <row r="5" spans="1:5" x14ac:dyDescent="0.55000000000000004">
      <c r="A5" s="184"/>
      <c r="B5" s="184"/>
      <c r="C5" s="184"/>
      <c r="D5" s="184"/>
      <c r="E5" s="184"/>
    </row>
    <row r="6" spans="1:5" ht="21.75" customHeight="1" x14ac:dyDescent="0.55000000000000004">
      <c r="A6" s="215" t="s">
        <v>79</v>
      </c>
      <c r="B6" s="215"/>
      <c r="C6" s="215"/>
      <c r="D6" s="215"/>
      <c r="E6" s="215"/>
    </row>
    <row r="7" spans="1:5" ht="30" customHeight="1" x14ac:dyDescent="0.55000000000000004">
      <c r="A7" s="20" t="s">
        <v>80</v>
      </c>
      <c r="B7" s="20" t="s">
        <v>12</v>
      </c>
      <c r="C7" s="20" t="s">
        <v>81</v>
      </c>
      <c r="D7" s="20" t="s">
        <v>82</v>
      </c>
      <c r="E7" s="20" t="s">
        <v>83</v>
      </c>
    </row>
    <row r="8" spans="1:5" ht="21.75" customHeight="1" x14ac:dyDescent="0.55000000000000004">
      <c r="A8" s="39">
        <f>RANK(C8,$C$8:$C$12,0)</f>
        <v>1</v>
      </c>
      <c r="B8" s="39" t="s">
        <v>16</v>
      </c>
      <c r="C8" s="40" cm="1">
        <f t="array" ref="C8">STDEV(SUMIFS('Position_PnL(data)'!$E:$E,'Position_PnL(data)'!$C:$C,B8,'Position_PnL(data)'!$A:$A,Desk_PnL!$A$4:$A$23))</f>
        <v>1.2213619826184332</v>
      </c>
      <c r="D8" s="41">
        <f>C8/SUM($C$8:$C$12)</f>
        <v>0.38363863553849664</v>
      </c>
      <c r="E8" s="42" t="s">
        <v>84</v>
      </c>
    </row>
    <row r="9" spans="1:5" ht="21.75" customHeight="1" x14ac:dyDescent="0.55000000000000004">
      <c r="A9" s="43">
        <f>RANK(C9,$C$8:$C$12,0)</f>
        <v>2</v>
      </c>
      <c r="B9" s="43" t="s">
        <v>24</v>
      </c>
      <c r="C9" s="44" cm="1">
        <f t="array" ref="C9">STDEV(SUMIFS('Position_PnL(data)'!$E:$E,'Position_PnL(data)'!$C:$C,B9,'Position_PnL(data)'!$A:$A,Desk_PnL!$A$4:$A$23))</f>
        <v>0.97713754172660605</v>
      </c>
      <c r="D9" s="45">
        <f>C9/SUM($C$8:$C$12)</f>
        <v>0.30692597164173296</v>
      </c>
      <c r="E9" s="46" t="s">
        <v>85</v>
      </c>
    </row>
    <row r="10" spans="1:5" ht="21.75" customHeight="1" x14ac:dyDescent="0.55000000000000004">
      <c r="A10" s="24">
        <f>RANK(C10,$C$8:$C$12,0)</f>
        <v>3</v>
      </c>
      <c r="B10" s="24" t="s">
        <v>21</v>
      </c>
      <c r="C10" s="21" cm="1">
        <f t="array" ref="C10">STDEV(SUMIFS('Position_PnL(data)'!$E:$E,'Position_PnL(data)'!$C:$C,B10,'Position_PnL(data)'!$A:$A,Desk_PnL!$A$4:$A$23))</f>
        <v>0.36511839262160006</v>
      </c>
      <c r="D10" s="47">
        <f>C10/SUM($C$8:$C$12)</f>
        <v>0.11468632882698811</v>
      </c>
      <c r="E10" s="24"/>
    </row>
    <row r="11" spans="1:5" ht="21.75" customHeight="1" x14ac:dyDescent="0.55000000000000004">
      <c r="A11" s="48">
        <f>RANK(C11,$C$8:$C$12,0)</f>
        <v>4</v>
      </c>
      <c r="B11" s="48" t="s">
        <v>26</v>
      </c>
      <c r="C11" s="49" cm="1">
        <f t="array" ref="C11">STDEV(SUMIFS('Position_PnL(data)'!$E:$E,'Position_PnL(data)'!$C:$C,B11,'Position_PnL(data)'!$A:$A,Desk_PnL!$A$4:$A$23))</f>
        <v>0.32948710491760846</v>
      </c>
      <c r="D11" s="50">
        <f>C11/SUM($C$8:$C$12)</f>
        <v>0.10349428355967651</v>
      </c>
      <c r="E11" s="48"/>
    </row>
    <row r="12" spans="1:5" ht="21.75" customHeight="1" thickBot="1" x14ac:dyDescent="0.6">
      <c r="A12" s="36">
        <f>RANK(C12,$C$8:$C$12,0)</f>
        <v>5</v>
      </c>
      <c r="B12" s="36" t="s">
        <v>29</v>
      </c>
      <c r="C12" s="33" cm="1">
        <f t="array" ref="C12">STDEV(SUMIFS('Position_PnL(data)'!$E:$E,'Position_PnL(data)'!$C:$C,B12,'Position_PnL(data)'!$A:$A,Desk_PnL!$A$4:$A$23))</f>
        <v>0.29052110300815581</v>
      </c>
      <c r="D12" s="216">
        <f>C12/SUM($C$8:$C$12)</f>
        <v>9.1254780433105823E-2</v>
      </c>
      <c r="E12" s="36"/>
    </row>
    <row r="13" spans="1:5" x14ac:dyDescent="0.55000000000000004">
      <c r="A13" s="198"/>
      <c r="B13" s="198"/>
      <c r="C13" s="198"/>
      <c r="D13" s="198"/>
      <c r="E13" s="198"/>
    </row>
    <row r="14" spans="1:5" x14ac:dyDescent="0.55000000000000004">
      <c r="A14" s="184"/>
      <c r="B14" s="184"/>
      <c r="C14" s="184"/>
      <c r="D14" s="184"/>
      <c r="E14" s="184"/>
    </row>
    <row r="15" spans="1:5" ht="21.75" customHeight="1" x14ac:dyDescent="0.55000000000000004">
      <c r="A15" s="215" t="s">
        <v>86</v>
      </c>
      <c r="B15" s="215"/>
      <c r="C15" s="215"/>
      <c r="D15" s="215"/>
      <c r="E15" s="215"/>
    </row>
    <row r="16" spans="1:5" ht="21.75" customHeight="1" x14ac:dyDescent="0.55000000000000004">
      <c r="A16" s="51" t="s">
        <v>80</v>
      </c>
      <c r="B16" s="51" t="s">
        <v>13</v>
      </c>
      <c r="C16" s="51" t="s">
        <v>12</v>
      </c>
      <c r="D16" s="51" t="s">
        <v>81</v>
      </c>
      <c r="E16" s="51" t="s">
        <v>87</v>
      </c>
    </row>
    <row r="17" spans="1:5" ht="19.5" customHeight="1" x14ac:dyDescent="0.55000000000000004">
      <c r="A17" s="39">
        <f t="shared" ref="A17:A24" si="0">RANK(D17,$D$17:$D$24,0)</f>
        <v>1</v>
      </c>
      <c r="B17" s="39" t="s">
        <v>27</v>
      </c>
      <c r="C17" s="39" t="s">
        <v>26</v>
      </c>
      <c r="D17" s="40" cm="1">
        <f t="array" ref="D17">STDEV(SUMIFS('Position_PnL(data)'!$E:$E,'Position_PnL(data)'!$D:$D,B17,'Position_PnL(data)'!$A:$A,Desk_PnL!$A$4:$A$23))</f>
        <v>0.81230971856130763</v>
      </c>
      <c r="E17" s="42" t="s">
        <v>88</v>
      </c>
    </row>
    <row r="18" spans="1:5" ht="19.5" customHeight="1" x14ac:dyDescent="0.55000000000000004">
      <c r="A18" s="52">
        <f t="shared" si="0"/>
        <v>2</v>
      </c>
      <c r="B18" s="52" t="s">
        <v>32</v>
      </c>
      <c r="C18" s="52" t="s">
        <v>16</v>
      </c>
      <c r="D18" s="53" cm="1">
        <f t="array" ref="D18">STDEV(SUMIFS('Position_PnL(data)'!$E:$E,'Position_PnL(data)'!$D:$D,B18,'Position_PnL(data)'!$A:$A,Desk_PnL!$A$4:$A$23))</f>
        <v>0.77753237393461783</v>
      </c>
      <c r="E18" s="54" t="s">
        <v>88</v>
      </c>
    </row>
    <row r="19" spans="1:5" ht="19.5" customHeight="1" x14ac:dyDescent="0.55000000000000004">
      <c r="A19" s="24">
        <f t="shared" si="0"/>
        <v>3</v>
      </c>
      <c r="B19" s="24" t="s">
        <v>19</v>
      </c>
      <c r="C19" s="24" t="s">
        <v>16</v>
      </c>
      <c r="D19" s="21" cm="1">
        <f t="array" ref="D19">STDEV(SUMIFS('Position_PnL(data)'!$E:$E,'Position_PnL(data)'!$D:$D,B19,'Position_PnL(data)'!$A:$A,Desk_PnL!$A$4:$A$23))</f>
        <v>0.60095112213853008</v>
      </c>
      <c r="E19" s="24"/>
    </row>
    <row r="20" spans="1:5" ht="19.5" customHeight="1" x14ac:dyDescent="0.55000000000000004">
      <c r="A20" s="24">
        <f t="shared" si="0"/>
        <v>4</v>
      </c>
      <c r="B20" s="24" t="s">
        <v>22</v>
      </c>
      <c r="C20" s="24" t="s">
        <v>21</v>
      </c>
      <c r="D20" s="21" cm="1">
        <f t="array" ref="D20">STDEV(SUMIFS('Position_PnL(data)'!$E:$E,'Position_PnL(data)'!$D:$D,B20,'Position_PnL(data)'!$A:$A,Desk_PnL!$A$4:$A$23))</f>
        <v>0.56376168459591536</v>
      </c>
      <c r="E20" s="24"/>
    </row>
    <row r="21" spans="1:5" ht="19.5" customHeight="1" x14ac:dyDescent="0.55000000000000004">
      <c r="A21" s="24">
        <f t="shared" si="0"/>
        <v>5</v>
      </c>
      <c r="B21" s="24" t="s">
        <v>37</v>
      </c>
      <c r="C21" s="24" t="s">
        <v>16</v>
      </c>
      <c r="D21" s="21" cm="1">
        <f t="array" ref="D21">STDEV(SUMIFS('Position_PnL(data)'!$E:$E,'Position_PnL(data)'!$D:$D,B21,'Position_PnL(data)'!$A:$A,Desk_PnL!$A$4:$A$23))</f>
        <v>0.55977103144519935</v>
      </c>
      <c r="E21" s="24"/>
    </row>
    <row r="22" spans="1:5" ht="19.5" customHeight="1" x14ac:dyDescent="0.55000000000000004">
      <c r="A22" s="28">
        <f t="shared" si="0"/>
        <v>6</v>
      </c>
      <c r="B22" s="28" t="s">
        <v>17</v>
      </c>
      <c r="C22" s="28" t="s">
        <v>16</v>
      </c>
      <c r="D22" s="25" cm="1">
        <f t="array" ref="D22">STDEV(SUMIFS('Position_PnL(data)'!$E:$E,'Position_PnL(data)'!$D:$D,B22,'Position_PnL(data)'!$A:$A,Desk_PnL!$A$4:$A$23))</f>
        <v>0.3784857788278303</v>
      </c>
      <c r="E22" s="28"/>
    </row>
    <row r="23" spans="1:5" ht="19.5" customHeight="1" x14ac:dyDescent="0.55000000000000004">
      <c r="A23" s="36">
        <f t="shared" si="0"/>
        <v>7</v>
      </c>
      <c r="B23" s="36" t="s">
        <v>30</v>
      </c>
      <c r="C23" s="36" t="s">
        <v>29</v>
      </c>
      <c r="D23" s="33" cm="1">
        <f t="array" ref="D23">STDEV(SUMIFS('Position_PnL(data)'!$E:$E,'Position_PnL(data)'!$D:$D,B23,'Position_PnL(data)'!$A:$A,Desk_PnL!$A$4:$A$23))</f>
        <v>0.29052110300815581</v>
      </c>
      <c r="E23" s="36"/>
    </row>
    <row r="24" spans="1:5" ht="19.5" customHeight="1" thickBot="1" x14ac:dyDescent="0.6">
      <c r="A24" s="48">
        <f t="shared" si="0"/>
        <v>8</v>
      </c>
      <c r="B24" s="48" t="s">
        <v>35</v>
      </c>
      <c r="C24" s="48" t="s">
        <v>21</v>
      </c>
      <c r="D24" s="49" cm="1">
        <f t="array" ref="D24">STDEV(SUMIFS('Position_PnL(data)'!$E:$E,'Position_PnL(data)'!$D:$D,B24,'Position_PnL(data)'!$A:$A,Desk_PnL!$A$4:$A$23))</f>
        <v>0.21353689050044794</v>
      </c>
      <c r="E24" s="48"/>
    </row>
    <row r="25" spans="1:5" x14ac:dyDescent="0.55000000000000004">
      <c r="A25" s="198"/>
      <c r="B25" s="198"/>
      <c r="C25" s="198"/>
      <c r="D25" s="198"/>
      <c r="E25" s="198"/>
    </row>
    <row r="26" spans="1:5" ht="21.75" customHeight="1" x14ac:dyDescent="0.55000000000000004">
      <c r="A26" s="217" t="s">
        <v>142</v>
      </c>
      <c r="B26" s="217"/>
      <c r="C26" s="217"/>
      <c r="D26" s="217"/>
      <c r="E26" s="217"/>
    </row>
    <row r="27" spans="1:5" ht="14.25" customHeight="1" x14ac:dyDescent="0.55000000000000004">
      <c r="A27" s="51" t="s">
        <v>12</v>
      </c>
      <c r="B27" s="51" t="s">
        <v>13</v>
      </c>
      <c r="C27" s="51" t="s">
        <v>14</v>
      </c>
      <c r="D27" s="51" t="s">
        <v>89</v>
      </c>
      <c r="E27" s="51" t="s">
        <v>90</v>
      </c>
    </row>
    <row r="28" spans="1:5" ht="19.5" customHeight="1" x14ac:dyDescent="0.55000000000000004">
      <c r="A28" s="94" t="s">
        <v>24</v>
      </c>
      <c r="B28" s="55" t="s">
        <v>27</v>
      </c>
      <c r="C28" s="56">
        <f>SUMIFS('Position_PnL(data)'!$E:$E,'Position_PnL(data)'!$C:$C,A28,'Position_PnL(data)'!$D:$D,B28,'Position_PnL(data)'!$A:$A,VaR_and_Limits!$A$30)</f>
        <v>-2.2041913204383201</v>
      </c>
      <c r="D28" s="57">
        <f>C28/ABS(Desk_PnL!$B$15)</f>
        <v>-0.43615453798207499</v>
      </c>
      <c r="E28" s="94"/>
    </row>
    <row r="29" spans="1:5" ht="19.5" customHeight="1" x14ac:dyDescent="0.55000000000000004">
      <c r="A29" s="95" t="s">
        <v>16</v>
      </c>
      <c r="B29" s="58" t="s">
        <v>32</v>
      </c>
      <c r="C29" s="59">
        <f>SUMIFS('Position_PnL(data)'!$E:$E,'Position_PnL(data)'!$C:$C,A29,'Position_PnL(data)'!$D:$D,B29,'Position_PnL(data)'!$A:$A,VaR_and_Limits!$A$30)</f>
        <v>-1.1374962918477201</v>
      </c>
      <c r="D29" s="41">
        <f>C29/ABS(Desk_PnL!$B$15)</f>
        <v>-0.22508217187267929</v>
      </c>
      <c r="E29" s="58"/>
    </row>
    <row r="30" spans="1:5" ht="19.5" customHeight="1" x14ac:dyDescent="0.55000000000000004">
      <c r="A30" s="95" t="s">
        <v>16</v>
      </c>
      <c r="B30" s="58" t="s">
        <v>19</v>
      </c>
      <c r="C30" s="59">
        <f>SUMIFS('Position_PnL(data)'!$E:$E,'Position_PnL(data)'!$C:$C,A30,'Position_PnL(data)'!$D:$D,B30,'Position_PnL(data)'!$A:$A,VaR_and_Limits!$A$30)</f>
        <v>-1.0062527060151001</v>
      </c>
      <c r="D30" s="41">
        <f>C30/ABS(Desk_PnL!$B$15)</f>
        <v>-0.19911233658154218</v>
      </c>
      <c r="E30" s="58"/>
    </row>
    <row r="31" spans="1:5" ht="19.5" customHeight="1" x14ac:dyDescent="0.55000000000000004">
      <c r="A31" s="95" t="s">
        <v>16</v>
      </c>
      <c r="B31" s="58" t="s">
        <v>17</v>
      </c>
      <c r="C31" s="59">
        <f>SUMIFS('Position_PnL(data)'!$E:$E,'Position_PnL(data)'!$C:$C,A31,'Position_PnL(data)'!$D:$D,B31,'Position_PnL(data)'!$A:$A,VaR_and_Limits!$A$30)</f>
        <v>-0.82958932407450703</v>
      </c>
      <c r="D31" s="41">
        <f>C31/ABS(Desk_PnL!$B$15)</f>
        <v>-0.16415505541716136</v>
      </c>
      <c r="E31" s="58"/>
    </row>
    <row r="32" spans="1:5" ht="19.5" customHeight="1" x14ac:dyDescent="0.55000000000000004">
      <c r="A32" s="95" t="s">
        <v>24</v>
      </c>
      <c r="B32" s="58" t="s">
        <v>22</v>
      </c>
      <c r="C32" s="59">
        <f>SUMIFS('Position_PnL(data)'!$E:$E,'Position_PnL(data)'!$C:$C,A32,'Position_PnL(data)'!$D:$D,B32,'Position_PnL(data)'!$A:$A,VaR_and_Limits!$A$30)</f>
        <v>-0.60719992292093905</v>
      </c>
      <c r="D32" s="41">
        <f>C32/ABS(Desk_PnL!$B$15)</f>
        <v>-0.12014973445756499</v>
      </c>
      <c r="E32" s="58"/>
    </row>
    <row r="33" spans="1:5" ht="19.5" customHeight="1" x14ac:dyDescent="0.55000000000000004">
      <c r="A33" s="95" t="s">
        <v>26</v>
      </c>
      <c r="B33" s="58" t="s">
        <v>27</v>
      </c>
      <c r="C33" s="59">
        <f>SUMIFS('Position_PnL(data)'!$E:$E,'Position_PnL(data)'!$C:$C,A33,'Position_PnL(data)'!$D:$D,B33,'Position_PnL(data)'!$A:$A,VaR_and_Limits!$A$30)</f>
        <v>-6.6534499362383204E-2</v>
      </c>
      <c r="D33" s="41">
        <f>C33/ABS(Desk_PnL!$B$15)</f>
        <v>-1.3165519508305747E-2</v>
      </c>
      <c r="E33" s="58"/>
    </row>
    <row r="34" spans="1:5" ht="19.5" customHeight="1" x14ac:dyDescent="0.55000000000000004">
      <c r="A34" s="96" t="s">
        <v>21</v>
      </c>
      <c r="B34" s="60" t="s">
        <v>22</v>
      </c>
      <c r="C34" s="61">
        <f>SUMIFS('Position_PnL(data)'!$E:$E,'Position_PnL(data)'!$C:$C,A34,'Position_PnL(data)'!$D:$D,B34,'Position_PnL(data)'!$A:$A,VaR_and_Limits!$A$30)</f>
        <v>2.2320686469448701E-2</v>
      </c>
      <c r="D34" s="62">
        <f>C34/ABS(Desk_PnL!$B$15)</f>
        <v>4.4167076624678928E-3</v>
      </c>
      <c r="E34" s="60"/>
    </row>
    <row r="35" spans="1:5" ht="19.5" customHeight="1" x14ac:dyDescent="0.55000000000000004">
      <c r="A35" s="96" t="s">
        <v>29</v>
      </c>
      <c r="B35" s="60" t="s">
        <v>30</v>
      </c>
      <c r="C35" s="61">
        <f>SUMIFS('Position_PnL(data)'!$E:$E,'Position_PnL(data)'!$C:$C,A35,'Position_PnL(data)'!$D:$D,B35,'Position_PnL(data)'!$A:$A,VaR_and_Limits!$A$30)</f>
        <v>9.3125245212139607E-2</v>
      </c>
      <c r="D35" s="62">
        <f>C35/ABS(Desk_PnL!$B$15)</f>
        <v>1.8427165520228612E-2</v>
      </c>
      <c r="E35" s="60"/>
    </row>
    <row r="36" spans="1:5" ht="19.5" customHeight="1" x14ac:dyDescent="0.55000000000000004">
      <c r="A36" s="97" t="s">
        <v>21</v>
      </c>
      <c r="B36" s="63" t="s">
        <v>35</v>
      </c>
      <c r="C36" s="64">
        <f>SUMIFS('Position_PnL(data)'!$E:$E,'Position_PnL(data)'!$C:$C,A36,'Position_PnL(data)'!$D:$D,B36,'Position_PnL(data)'!$A:$A,VaR_and_Limits!$A$30)</f>
        <v>0.31058000886586101</v>
      </c>
      <c r="D36" s="65">
        <f>C36/ABS(Desk_PnL!$B$15)</f>
        <v>6.1456044680559277E-2</v>
      </c>
      <c r="E36" s="63"/>
    </row>
    <row r="37" spans="1:5" ht="19.5" customHeight="1" thickBot="1" x14ac:dyDescent="0.6">
      <c r="A37" s="97" t="s">
        <v>16</v>
      </c>
      <c r="B37" s="63" t="s">
        <v>37</v>
      </c>
      <c r="C37" s="64">
        <f>SUMIFS('Position_PnL(data)'!$E:$E,'Position_PnL(data)'!$C:$C,A37,'Position_PnL(data)'!$D:$D,B37,'Position_PnL(data)'!$A:$A,VaR_and_Limits!$A$30)</f>
        <v>0.37154470013318802</v>
      </c>
      <c r="D37" s="65">
        <f>C37/ABS(Desk_PnL!$B$15)</f>
        <v>7.3519437956072783E-2</v>
      </c>
      <c r="E37" s="63"/>
    </row>
    <row r="38" spans="1:5" x14ac:dyDescent="0.55000000000000004">
      <c r="A38" s="198"/>
      <c r="B38" s="198"/>
      <c r="C38" s="198"/>
      <c r="D38" s="198"/>
      <c r="E38" s="218"/>
    </row>
    <row r="39" spans="1:5" ht="21.75" customHeight="1" x14ac:dyDescent="0.55000000000000004">
      <c r="A39" s="164" t="s">
        <v>91</v>
      </c>
      <c r="B39" s="165"/>
      <c r="C39" s="165"/>
      <c r="D39" s="165"/>
      <c r="E39" s="166"/>
    </row>
    <row r="40" spans="1:5" ht="39.75" customHeight="1" x14ac:dyDescent="0.55000000000000004">
      <c r="A40" s="205" t="s">
        <v>143</v>
      </c>
      <c r="B40" s="206" t="s">
        <v>144</v>
      </c>
      <c r="C40" s="207"/>
      <c r="D40" s="99"/>
      <c r="E40" s="99"/>
    </row>
    <row r="41" spans="1:5" ht="39.75" customHeight="1" x14ac:dyDescent="0.55000000000000004">
      <c r="A41" s="208" t="s">
        <v>145</v>
      </c>
      <c r="B41" s="209" t="s">
        <v>146</v>
      </c>
      <c r="C41" s="210"/>
      <c r="D41" s="211"/>
      <c r="E41" s="211"/>
    </row>
    <row r="42" spans="1:5" ht="39.75" customHeight="1" x14ac:dyDescent="0.55000000000000004">
      <c r="A42" s="205" t="s">
        <v>92</v>
      </c>
      <c r="B42" s="206" t="s">
        <v>93</v>
      </c>
      <c r="C42" s="207"/>
      <c r="D42" s="99"/>
      <c r="E42" s="99"/>
    </row>
    <row r="43" spans="1:5" ht="39.75" customHeight="1" x14ac:dyDescent="0.55000000000000004">
      <c r="A43" s="212" t="s">
        <v>94</v>
      </c>
      <c r="B43" s="213" t="s">
        <v>95</v>
      </c>
      <c r="C43" s="214"/>
      <c r="D43" s="100"/>
      <c r="E43" s="100"/>
    </row>
  </sheetData>
  <mergeCells count="11">
    <mergeCell ref="A1:E1"/>
    <mergeCell ref="A3:E3"/>
    <mergeCell ref="A4:E4"/>
    <mergeCell ref="A6:E6"/>
    <mergeCell ref="A15:E15"/>
    <mergeCell ref="B43:E43"/>
    <mergeCell ref="A26:E26"/>
    <mergeCell ref="A39:E39"/>
    <mergeCell ref="B40:E40"/>
    <mergeCell ref="B41:E41"/>
    <mergeCell ref="B42:E4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topLeftCell="A3" zoomScale="115" zoomScaleNormal="115" workbookViewId="0">
      <selection activeCell="B25" sqref="B25:F25"/>
    </sheetView>
  </sheetViews>
  <sheetFormatPr defaultColWidth="8.62890625" defaultRowHeight="14.4" x14ac:dyDescent="0.55000000000000004"/>
  <cols>
    <col min="1" max="1" width="3.15625" customWidth="1"/>
    <col min="2" max="2" width="21.05078125" customWidth="1"/>
    <col min="3" max="3" width="59.62890625" customWidth="1"/>
    <col min="4" max="6" width="12.26171875" customWidth="1"/>
  </cols>
  <sheetData>
    <row r="1" spans="1:6" ht="22" customHeight="1" x14ac:dyDescent="0.55000000000000004">
      <c r="A1" s="106" t="s">
        <v>147</v>
      </c>
      <c r="B1" s="106"/>
      <c r="C1" s="106"/>
      <c r="D1" s="106"/>
      <c r="E1" s="106"/>
      <c r="F1" s="106"/>
    </row>
    <row r="2" spans="1:6" ht="16" customHeight="1" x14ac:dyDescent="0.55000000000000004">
      <c r="A2" s="121" t="s">
        <v>148</v>
      </c>
      <c r="B2" s="121"/>
      <c r="C2" s="121"/>
      <c r="D2" s="121"/>
      <c r="E2" s="121"/>
      <c r="F2" s="121"/>
    </row>
    <row r="3" spans="1:6" ht="6" customHeight="1" x14ac:dyDescent="0.55000000000000004">
      <c r="A3" s="124"/>
      <c r="B3" s="124"/>
      <c r="C3" s="124"/>
      <c r="D3" s="124"/>
      <c r="E3" s="124"/>
      <c r="F3" s="124"/>
    </row>
    <row r="4" spans="1:6" ht="18" customHeight="1" x14ac:dyDescent="0.55000000000000004">
      <c r="A4" s="126" t="s">
        <v>96</v>
      </c>
      <c r="B4" s="126"/>
      <c r="C4" s="126"/>
      <c r="D4" s="126"/>
      <c r="E4" s="126"/>
      <c r="F4" s="126"/>
    </row>
    <row r="5" spans="1:6" ht="16" customHeight="1" x14ac:dyDescent="0.55000000000000004">
      <c r="A5" s="51" t="s">
        <v>97</v>
      </c>
      <c r="B5" s="51" t="s">
        <v>98</v>
      </c>
      <c r="C5" s="122" t="s">
        <v>99</v>
      </c>
      <c r="D5" s="122"/>
      <c r="E5" s="122"/>
      <c r="F5" s="122"/>
    </row>
    <row r="6" spans="1:6" ht="42" customHeight="1" x14ac:dyDescent="0.55000000000000004">
      <c r="A6" s="66" t="s">
        <v>62</v>
      </c>
      <c r="B6" s="67" t="str">
        <f>"$"&amp;TEXT(VaR_and_Limits!B11,"#,##0.0000")&amp;"mm"</f>
        <v>$4.8083mm</v>
      </c>
      <c r="C6" s="123" t="s">
        <v>100</v>
      </c>
      <c r="D6" s="123"/>
      <c r="E6" s="123"/>
      <c r="F6" s="123"/>
    </row>
    <row r="7" spans="1:6" ht="28" customHeight="1" x14ac:dyDescent="0.55000000000000004">
      <c r="A7" s="68" t="s">
        <v>52</v>
      </c>
      <c r="B7" s="69" t="str">
        <f>"$"&amp;TEXT(VaR_and_Limits!B12,"#,##0.0000")&amp;"mm"</f>
        <v>$5.0000mm</v>
      </c>
      <c r="C7" s="116" t="s">
        <v>101</v>
      </c>
      <c r="D7" s="116"/>
      <c r="E7" s="116"/>
      <c r="F7" s="116"/>
    </row>
    <row r="8" spans="1:6" ht="42" customHeight="1" x14ac:dyDescent="0.55000000000000004">
      <c r="A8" s="70" t="s">
        <v>102</v>
      </c>
      <c r="B8" s="71" t="str">
        <f>TEXT(VaR_and_Limits!B13,"0.00%")</f>
        <v>96.17%</v>
      </c>
      <c r="C8" s="120" t="s">
        <v>124</v>
      </c>
      <c r="D8" s="120"/>
      <c r="E8" s="120"/>
      <c r="F8" s="120"/>
    </row>
    <row r="9" spans="1:6" ht="28" customHeight="1" x14ac:dyDescent="0.55000000000000004">
      <c r="A9" s="70" t="s">
        <v>103</v>
      </c>
      <c r="B9" s="72" t="str">
        <f>IF(VaR_and_Limits!B14="In Breach","🔴 IN BREACH",IF(VaR_and_Limits!B14="Near Limit","⚠ NEAR LIMIT","✅ WITHIN LIMIT"))</f>
        <v>⚠ NEAR LIMIT</v>
      </c>
      <c r="C9" s="120" t="s">
        <v>149</v>
      </c>
      <c r="D9" s="120"/>
      <c r="E9" s="120"/>
      <c r="F9" s="120"/>
    </row>
    <row r="10" spans="1:6" ht="42" customHeight="1" x14ac:dyDescent="0.55000000000000004">
      <c r="A10" s="73" t="s">
        <v>104</v>
      </c>
      <c r="B10" s="74" t="str">
        <f>COUNTIF(VaR_and_Limits!$G$19:$G$38,"*EXCEPTION*")&amp;" (Mar 17, 2026)"</f>
        <v>1 (Mar 17, 2026)</v>
      </c>
      <c r="C10" s="115" t="s">
        <v>105</v>
      </c>
      <c r="D10" s="115"/>
      <c r="E10" s="115"/>
      <c r="F10" s="115"/>
    </row>
    <row r="11" spans="1:6" ht="28" customHeight="1" x14ac:dyDescent="0.55000000000000004">
      <c r="A11" s="73" t="s">
        <v>106</v>
      </c>
      <c r="B11" s="74" t="str">
        <f>"$("&amp;TEXT(ABS(Desk_PnL!C28),"#,##0.000")&amp;")mm"</f>
        <v>$(5.054)mm</v>
      </c>
      <c r="C11" s="115" t="s">
        <v>107</v>
      </c>
      <c r="D11" s="115"/>
      <c r="E11" s="115"/>
      <c r="F11" s="115"/>
    </row>
    <row r="12" spans="1:6" ht="28" customHeight="1" x14ac:dyDescent="0.55000000000000004">
      <c r="A12" s="73" t="s">
        <v>108</v>
      </c>
      <c r="B12" s="74" t="str">
        <f>"$("&amp;TEXT(ABS(Desk_PnL!C29),"#,##0.000")&amp;")mm"</f>
        <v>$(0.468)mm</v>
      </c>
      <c r="C12" s="115" t="s">
        <v>150</v>
      </c>
      <c r="D12" s="115"/>
      <c r="E12" s="115"/>
      <c r="F12" s="115"/>
    </row>
    <row r="13" spans="1:6" ht="28" customHeight="1" x14ac:dyDescent="0.55000000000000004">
      <c r="A13" s="75" t="s">
        <v>109</v>
      </c>
      <c r="B13" s="76" t="str">
        <f>"$"&amp;TEXT(Desk_PnL!C27,"#,##0.000")&amp;"mm (Mar 2)"</f>
        <v>$2.839mm (Mar 2)</v>
      </c>
      <c r="C13" s="117" t="s">
        <v>110</v>
      </c>
      <c r="D13" s="117"/>
      <c r="E13" s="117"/>
      <c r="F13" s="117"/>
    </row>
    <row r="14" spans="1:6" ht="28" customHeight="1" thickBot="1" x14ac:dyDescent="0.6">
      <c r="A14" s="78" t="s">
        <v>111</v>
      </c>
      <c r="B14" s="79">
        <f>Desk_PnL!C32</f>
        <v>1.8025751072961387</v>
      </c>
      <c r="C14" s="93" t="s">
        <v>125</v>
      </c>
      <c r="D14" s="78"/>
      <c r="E14" s="80"/>
      <c r="F14" s="127"/>
    </row>
    <row r="15" spans="1:6" ht="6" customHeight="1" thickBot="1" x14ac:dyDescent="0.6">
      <c r="A15" s="81"/>
      <c r="B15" s="81"/>
      <c r="C15" s="81"/>
      <c r="D15" s="81"/>
      <c r="E15" s="130"/>
      <c r="F15" s="128"/>
    </row>
    <row r="16" spans="1:6" ht="6" customHeight="1" thickBot="1" x14ac:dyDescent="0.6">
      <c r="A16" s="77"/>
      <c r="B16" s="77"/>
      <c r="C16" s="77"/>
      <c r="D16" s="77"/>
      <c r="E16" s="131"/>
      <c r="F16" s="129"/>
    </row>
    <row r="17" spans="1:6" ht="6" customHeight="1" thickBot="1" x14ac:dyDescent="0.6">
      <c r="A17" s="77"/>
      <c r="B17" s="77"/>
      <c r="C17" s="77"/>
      <c r="D17" s="77"/>
      <c r="E17" s="131"/>
      <c r="F17" s="129"/>
    </row>
    <row r="18" spans="1:6" ht="6" customHeight="1" thickBot="1" x14ac:dyDescent="0.6">
      <c r="A18" s="132"/>
      <c r="B18" s="132"/>
      <c r="C18" s="132"/>
      <c r="D18" s="132"/>
      <c r="E18" s="133"/>
      <c r="F18" s="134"/>
    </row>
    <row r="19" spans="1:6" ht="6" customHeight="1" x14ac:dyDescent="0.55000000000000004">
      <c r="A19" s="135"/>
      <c r="B19" s="135"/>
      <c r="C19" s="135"/>
      <c r="D19" s="135"/>
      <c r="E19" s="135"/>
      <c r="F19" s="135"/>
    </row>
    <row r="20" spans="1:6" ht="18" customHeight="1" x14ac:dyDescent="0.55000000000000004">
      <c r="A20" s="118" t="s">
        <v>112</v>
      </c>
      <c r="B20" s="118"/>
      <c r="C20" s="118"/>
      <c r="D20" s="118"/>
      <c r="E20" s="118"/>
      <c r="F20" s="118"/>
    </row>
    <row r="21" spans="1:6" ht="16" customHeight="1" x14ac:dyDescent="0.55000000000000004">
      <c r="A21" s="10" t="s">
        <v>113</v>
      </c>
      <c r="B21" s="112" t="s">
        <v>114</v>
      </c>
      <c r="C21" s="112"/>
      <c r="D21" s="112"/>
      <c r="E21" s="112"/>
      <c r="F21" s="112"/>
    </row>
    <row r="22" spans="1:6" ht="16" customHeight="1" x14ac:dyDescent="0.55000000000000004">
      <c r="A22" s="12" t="s">
        <v>115</v>
      </c>
      <c r="B22" s="111" t="s">
        <v>151</v>
      </c>
      <c r="C22" s="111"/>
      <c r="D22" s="111"/>
      <c r="E22" s="111"/>
      <c r="F22" s="111"/>
    </row>
    <row r="23" spans="1:6" ht="16" customHeight="1" x14ac:dyDescent="0.55000000000000004">
      <c r="A23" s="10" t="s">
        <v>116</v>
      </c>
      <c r="B23" s="125">
        <v>46108</v>
      </c>
      <c r="C23" s="112"/>
      <c r="D23" s="112"/>
      <c r="E23" s="112"/>
      <c r="F23" s="112"/>
    </row>
    <row r="24" spans="1:6" ht="28" customHeight="1" x14ac:dyDescent="0.55000000000000004">
      <c r="A24" s="12" t="s">
        <v>117</v>
      </c>
      <c r="B24" s="116" t="s">
        <v>152</v>
      </c>
      <c r="C24" s="116"/>
      <c r="D24" s="116"/>
      <c r="E24" s="116"/>
      <c r="F24" s="116"/>
    </row>
    <row r="25" spans="1:6" ht="84" customHeight="1" x14ac:dyDescent="0.55000000000000004">
      <c r="A25" s="82" t="s">
        <v>118</v>
      </c>
      <c r="B25" s="113" t="s">
        <v>153</v>
      </c>
      <c r="C25" s="113"/>
      <c r="D25" s="113"/>
      <c r="E25" s="113"/>
      <c r="F25" s="113"/>
    </row>
    <row r="26" spans="1:6" ht="84" customHeight="1" x14ac:dyDescent="0.55000000000000004">
      <c r="A26" s="83" t="s">
        <v>119</v>
      </c>
      <c r="B26" s="114" t="s">
        <v>120</v>
      </c>
      <c r="C26" s="114"/>
      <c r="D26" s="114"/>
      <c r="E26" s="114"/>
      <c r="F26" s="114"/>
    </row>
    <row r="27" spans="1:6" ht="126" customHeight="1" x14ac:dyDescent="0.55000000000000004">
      <c r="A27" s="84" t="s">
        <v>121</v>
      </c>
      <c r="B27" s="119" t="s">
        <v>154</v>
      </c>
      <c r="C27" s="119"/>
      <c r="D27" s="119"/>
      <c r="E27" s="119"/>
      <c r="F27" s="119"/>
    </row>
    <row r="28" spans="1:6" ht="84" customHeight="1" x14ac:dyDescent="0.55000000000000004">
      <c r="A28" s="85" t="s">
        <v>122</v>
      </c>
      <c r="B28" s="109" t="s">
        <v>155</v>
      </c>
      <c r="C28" s="109"/>
      <c r="D28" s="109"/>
      <c r="E28" s="109"/>
      <c r="F28" s="109"/>
    </row>
    <row r="29" spans="1:6" ht="100" customHeight="1" thickBot="1" x14ac:dyDescent="0.6">
      <c r="A29" s="86" t="s">
        <v>123</v>
      </c>
      <c r="B29" s="110" t="s">
        <v>156</v>
      </c>
      <c r="C29" s="110"/>
      <c r="D29" s="110"/>
      <c r="E29" s="110"/>
      <c r="F29" s="110"/>
    </row>
  </sheetData>
  <mergeCells count="22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A20:F20"/>
    <mergeCell ref="B21:F21"/>
    <mergeCell ref="B27:F27"/>
    <mergeCell ref="B28:F28"/>
    <mergeCell ref="B29:F29"/>
    <mergeCell ref="B22:F22"/>
    <mergeCell ref="B23:F23"/>
    <mergeCell ref="B24:F24"/>
    <mergeCell ref="B25:F25"/>
    <mergeCell ref="B26:F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Position_PnL(data)</vt:lpstr>
      <vt:lpstr>Desk_PnL</vt:lpstr>
      <vt:lpstr>VaR_and_Limits</vt:lpstr>
      <vt:lpstr>Risk_Drivers</vt:lpstr>
      <vt:lpstr>Equity_Risk_Report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Chaudhary</dc:creator>
  <dc:description/>
  <cp:lastModifiedBy>Deepak Chaudhary</cp:lastModifiedBy>
  <cp:revision>0</cp:revision>
  <dcterms:created xsi:type="dcterms:W3CDTF">2026-04-13T22:16:58Z</dcterms:created>
  <dcterms:modified xsi:type="dcterms:W3CDTF">2026-04-17T22:27:11Z</dcterms:modified>
  <dc:language>en-US</dc:language>
</cp:coreProperties>
</file>